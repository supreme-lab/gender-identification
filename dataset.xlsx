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nomy" sheetId="1" r:id="rId4"/>
    <sheet state="visible" name="policy" sheetId="2" r:id="rId5"/>
    <sheet state="visible" name="social" sheetId="3" r:id="rId6"/>
    <sheet state="visible" name="sport" sheetId="4" r:id="rId7"/>
    <sheet state="visible" name="negative" sheetId="5" r:id="rId8"/>
  </sheets>
  <definedNames/>
  <calcPr/>
</workbook>
</file>

<file path=xl/sharedStrings.xml><?xml version="1.0" encoding="utf-8"?>
<sst xmlns="http://schemas.openxmlformats.org/spreadsheetml/2006/main" count="13397" uniqueCount="8484">
  <si>
    <t>Arabic</t>
  </si>
  <si>
    <t>Bangla</t>
  </si>
  <si>
    <t>﻿اموال الدوله</t>
  </si>
  <si>
    <t>بنوك</t>
  </si>
  <si>
    <t>بنك</t>
  </si>
  <si>
    <t>البنك الدولي</t>
  </si>
  <si>
    <t>ميزانيه للعام</t>
  </si>
  <si>
    <t>ميزانيه عام</t>
  </si>
  <si>
    <t>ميزانيه العام</t>
  </si>
  <si>
    <t>مصارف</t>
  </si>
  <si>
    <t>نفط</t>
  </si>
  <si>
    <t>النفط مقابل الغذاء</t>
  </si>
  <si>
    <t>كساد اقتصادي</t>
  </si>
  <si>
    <t>انهيار اقتصادي</t>
  </si>
  <si>
    <t>خسائر ماديه</t>
  </si>
  <si>
    <t>غلاء اسعار</t>
  </si>
  <si>
    <t>غلاء الاسعار</t>
  </si>
  <si>
    <t>ضرائب</t>
  </si>
  <si>
    <t>ضريبه</t>
  </si>
  <si>
    <t>مبيعات</t>
  </si>
  <si>
    <t>مديونيه</t>
  </si>
  <si>
    <t>تمويل</t>
  </si>
  <si>
    <t>راسمال</t>
  </si>
  <si>
    <t>قرض مالي</t>
  </si>
  <si>
    <t>قروض ماليه</t>
  </si>
  <si>
    <t>راتب</t>
  </si>
  <si>
    <t>رواتب</t>
  </si>
  <si>
    <t>احتياطي</t>
  </si>
  <si>
    <t>مخزون نفطي</t>
  </si>
  <si>
    <t>فواىد بنكيه</t>
  </si>
  <si>
    <t>فواىد مصرفيه</t>
  </si>
  <si>
    <t>اقتصاديه</t>
  </si>
  <si>
    <t>وظاىف</t>
  </si>
  <si>
    <t>وظيفه</t>
  </si>
  <si>
    <t>رجل اعمال</t>
  </si>
  <si>
    <t>رجال الاعمال</t>
  </si>
  <si>
    <t>اشغال عامه</t>
  </si>
  <si>
    <t>مناقصه</t>
  </si>
  <si>
    <t>شركات</t>
  </si>
  <si>
    <t>شركه</t>
  </si>
  <si>
    <t>استثماريه</t>
  </si>
  <si>
    <t>مستثمر</t>
  </si>
  <si>
    <t>رفع الاسعار</t>
  </si>
  <si>
    <t>مشتقات النفطيه</t>
  </si>
  <si>
    <t>مشتقات نفطيه</t>
  </si>
  <si>
    <t>صندوق النقد الدولي</t>
  </si>
  <si>
    <t>بنك المركزي</t>
  </si>
  <si>
    <t>اسعار الصرف</t>
  </si>
  <si>
    <t>سعر الصرف</t>
  </si>
  <si>
    <t>دعم اقتصادي</t>
  </si>
  <si>
    <t>دعم الاقتصادي</t>
  </si>
  <si>
    <t>قمه اقتصاديه</t>
  </si>
  <si>
    <t>عقارات</t>
  </si>
  <si>
    <t>مقاولات</t>
  </si>
  <si>
    <t>مناقصات</t>
  </si>
  <si>
    <t>فساد مالي</t>
  </si>
  <si>
    <t>فساد اداري</t>
  </si>
  <si>
    <t>نهب الاموال العامه</t>
  </si>
  <si>
    <t>نهب اموال الشعب</t>
  </si>
  <si>
    <t>مصرف</t>
  </si>
  <si>
    <t>تضخم</t>
  </si>
  <si>
    <t>خصخصه</t>
  </si>
  <si>
    <t>تبادل تجاري</t>
  </si>
  <si>
    <t>تجاره</t>
  </si>
  <si>
    <t>عملات</t>
  </si>
  <si>
    <t>العمله</t>
  </si>
  <si>
    <t>اقتصاد العالمي</t>
  </si>
  <si>
    <t>اقتصاد عالمي</t>
  </si>
  <si>
    <t>الدول الصناعيه</t>
  </si>
  <si>
    <t>محلات التجاريه</t>
  </si>
  <si>
    <t>محلات تجاريه</t>
  </si>
  <si>
    <t>دراسة جدوى</t>
  </si>
  <si>
    <t>جدوى اقتصاديه</t>
  </si>
  <si>
    <t>الجدوى الاقتصاديه</t>
  </si>
  <si>
    <t>شركه مساهمه</t>
  </si>
  <si>
    <t>شركه المساهمه</t>
  </si>
  <si>
    <t>ازمه اقتصاديه</t>
  </si>
  <si>
    <t>ازمه الاقتصاديه</t>
  </si>
  <si>
    <t>اضرار ماديه</t>
  </si>
  <si>
    <t>دخل قومي</t>
  </si>
  <si>
    <t>دخل القومي</t>
  </si>
  <si>
    <t>استثمار</t>
  </si>
  <si>
    <t>اعلانات</t>
  </si>
  <si>
    <t>تدقيق حسابي</t>
  </si>
  <si>
    <t>تجاري</t>
  </si>
  <si>
    <t>سياحه</t>
  </si>
  <si>
    <t>دخل الفرد</t>
  </si>
  <si>
    <t>دخل الاسره</t>
  </si>
  <si>
    <t>بنيه تحتيه</t>
  </si>
  <si>
    <t>بنيه التحتيه</t>
  </si>
  <si>
    <t>مشاريع استثماريه</t>
  </si>
  <si>
    <t>مشاريع تنميه</t>
  </si>
  <si>
    <t>تنميه اقتصاديه</t>
  </si>
  <si>
    <t>تنميه الاقتصاديه</t>
  </si>
  <si>
    <t>عوامل اقتصاديه</t>
  </si>
  <si>
    <t>عوامل الاقتصاديه</t>
  </si>
  <si>
    <t>الصادرات</t>
  </si>
  <si>
    <t>الاستهلاك الاقتصادي</t>
  </si>
  <si>
    <t>ايرادات</t>
  </si>
  <si>
    <t>سيوله</t>
  </si>
  <si>
    <t>سعر الفائده</t>
  </si>
  <si>
    <t>ازمه الماليه</t>
  </si>
  <si>
    <t>ازمه ماليه</t>
  </si>
  <si>
    <t>الانتاج العالمي</t>
  </si>
  <si>
    <t>الانتاج المحلي</t>
  </si>
  <si>
    <t>قيمه الشرائيه</t>
  </si>
  <si>
    <t>ركود الاقتصادي</t>
  </si>
  <si>
    <t>ركود اقتصادي</t>
  </si>
  <si>
    <t>انخفاض سعر العمله</t>
  </si>
  <si>
    <t>ارتفاع الاسعار</t>
  </si>
  <si>
    <t>ارتفاع سعر</t>
  </si>
  <si>
    <t>ارتفاع السعر</t>
  </si>
  <si>
    <t>ثروه</t>
  </si>
  <si>
    <t>رؤوس الاموال</t>
  </si>
  <si>
    <t>رؤوس اموال</t>
  </si>
  <si>
    <t>معدل الانفاق</t>
  </si>
  <si>
    <t>معدل انفاق</t>
  </si>
  <si>
    <t>ترشيد الاستهلاك</t>
  </si>
  <si>
    <t>عمله نقديه</t>
  </si>
  <si>
    <t>سوق الاسهم</t>
  </si>
  <si>
    <t>بورصه</t>
  </si>
  <si>
    <t>نشاط اقتصادي</t>
  </si>
  <si>
    <t>نشاط الاقتصادي</t>
  </si>
  <si>
    <t>تدفق النقدي</t>
  </si>
  <si>
    <t>تدفق نقدي</t>
  </si>
  <si>
    <t>نمو اقتصادي</t>
  </si>
  <si>
    <t>تمو الاقتصادي</t>
  </si>
  <si>
    <t>سياسه ماليه</t>
  </si>
  <si>
    <t>سياسه الماليه</t>
  </si>
  <si>
    <t>الاقتصاديين</t>
  </si>
  <si>
    <t>الاقتصاديون</t>
  </si>
  <si>
    <t>مكافحه الفساد</t>
  </si>
  <si>
    <t>الاقتصاد</t>
  </si>
  <si>
    <t>سياسات الاقتصاديه</t>
  </si>
  <si>
    <t>الشراء والبيع</t>
  </si>
  <si>
    <t>السوق</t>
  </si>
  <si>
    <t>سلع</t>
  </si>
  <si>
    <t>سوق العمل</t>
  </si>
  <si>
    <t>الارباح</t>
  </si>
  <si>
    <t>ادخار الشركات</t>
  </si>
  <si>
    <t>الانتاج</t>
  </si>
  <si>
    <t>الاوراق الماليه</t>
  </si>
  <si>
    <t>بطاله</t>
  </si>
  <si>
    <t>التقدم الاقتصادي</t>
  </si>
  <si>
    <t>تاميم</t>
  </si>
  <si>
    <t>﻿انقلاب فاشل</t>
  </si>
  <si>
    <t>هجوم عسكري فاشل</t>
  </si>
  <si>
    <t>انعدام المصداقية</t>
  </si>
  <si>
    <t>عدم التبص   في الدبلوماسية</t>
  </si>
  <si>
    <t>أغلب ية مطلقة</t>
  </si>
  <si>
    <t>استبدادية</t>
  </si>
  <si>
    <t>يمتنع عن التصويت</t>
  </si>
  <si>
    <t>إساءة استخدام القوة</t>
  </si>
  <si>
    <t>استغلال النفوذ السياسي</t>
  </si>
  <si>
    <t>إساءة استعمال السلطة</t>
  </si>
  <si>
    <t>ضحايا إساءة المعاملة</t>
  </si>
  <si>
    <t>انضمام إلى تحالف</t>
  </si>
  <si>
    <t>يتأقلم مع الوضع السياسي</t>
  </si>
  <si>
    <t>يؤدي المهمة الدبلوماسية</t>
  </si>
  <si>
    <t>بموجب الأعراف الدبلوماسية</t>
  </si>
  <si>
    <t>يعتمد الاتفاق</t>
  </si>
  <si>
    <t>دولة معتمدة  مفو ضة</t>
  </si>
  <si>
    <t>سفير معتمد</t>
  </si>
  <si>
    <t>صحفي ممعتمد</t>
  </si>
  <si>
    <t>يمنجز المهمة الدبلوماسية</t>
  </si>
  <si>
    <t>يمحقق الأهداف السياسية</t>
  </si>
  <si>
    <t>جنسية مكتسبة</t>
  </si>
  <si>
    <t>حقوق مكتسبة</t>
  </si>
  <si>
    <t>اكتساب المعرفة السياسية</t>
  </si>
  <si>
    <t>يتص ف بموجب القوانين</t>
  </si>
  <si>
    <t>يحكم بالاستناد إلى المظاهر</t>
  </si>
  <si>
    <t>يتص  ف بصفة رسمية</t>
  </si>
  <si>
    <t>تص  ف مجاملة</t>
  </si>
  <si>
    <t>نائب الحاكم</t>
  </si>
  <si>
    <t>وزير بالوكالة</t>
  </si>
  <si>
    <t>يمدلي بح جة</t>
  </si>
  <si>
    <t>الالتزام بجدول الأعمال</t>
  </si>
  <si>
    <t>يمؤج ل المناقشات الدبلوماسية</t>
  </si>
  <si>
    <t>يمسو ي الموقف الدبلوماسي</t>
  </si>
  <si>
    <t>يتب نى اقتراحا أو رأي في</t>
  </si>
  <si>
    <t>مداولة</t>
  </si>
  <si>
    <t>يتبن ى المقترحات الدبلوماسية</t>
  </si>
  <si>
    <t>يأخذ برأي الفقهاء</t>
  </si>
  <si>
    <t>يتبنى الرأي السياسي</t>
  </si>
  <si>
    <t>يأخذ برأي الأغلبية</t>
  </si>
  <si>
    <t>رأي معاكس مضاد</t>
  </si>
  <si>
    <t>رأي استشاري</t>
  </si>
  <si>
    <t>هيئة استشارية</t>
  </si>
  <si>
    <t>لجنة استشارية</t>
  </si>
  <si>
    <t>يمس  العلاقات الدبلوماسية</t>
  </si>
  <si>
    <t>يمس  الحقوق الإنسانية</t>
  </si>
  <si>
    <t>يمس  المصالح الوطنية</t>
  </si>
  <si>
    <t>يمس  المصالح السياسية</t>
  </si>
  <si>
    <t>تصويت بالموافقة</t>
  </si>
  <si>
    <t>تفاقم النزاعات الدبلوماسية</t>
  </si>
  <si>
    <t>تفاقم المشكلات الدبلوماسية</t>
  </si>
  <si>
    <t>تفاقم الوضع السياسي</t>
  </si>
  <si>
    <t>عدوان</t>
  </si>
  <si>
    <t>أعمال استفزازية</t>
  </si>
  <si>
    <t>موقف دبلوماسي عدائي</t>
  </si>
  <si>
    <t>نوايا عدوانية</t>
  </si>
  <si>
    <t>يتفق على حل  وسط</t>
  </si>
  <si>
    <t>مهمة إغاثة</t>
  </si>
  <si>
    <t>لجنة الإغاثة</t>
  </si>
  <si>
    <t>معركة جوية</t>
  </si>
  <si>
    <t>حصار جو ي</t>
  </si>
  <si>
    <t>قصف جوي</t>
  </si>
  <si>
    <t>قو ات جوية</t>
  </si>
  <si>
    <t>عمليات جوية</t>
  </si>
  <si>
    <t>غارات جوية</t>
  </si>
  <si>
    <t>خبراء أمن الطائرات</t>
  </si>
  <si>
    <t>هجوم بالطائرات</t>
  </si>
  <si>
    <t>ضربات جوية</t>
  </si>
  <si>
    <t>غريب عن البلد</t>
  </si>
  <si>
    <t>انحياز</t>
  </si>
  <si>
    <t>البشر متساوون في الحقوق</t>
  </si>
  <si>
    <t>والواجبات</t>
  </si>
  <si>
    <t>تحديد مصادر الانتهاكات</t>
  </si>
  <si>
    <t>ولاء طاعة</t>
  </si>
  <si>
    <t>يمين الولاء للوطن</t>
  </si>
  <si>
    <t>ق سم الولاء للوطن</t>
  </si>
  <si>
    <t>ولاء للدولة</t>
  </si>
  <si>
    <t>تحالف</t>
  </si>
  <si>
    <t>قو ات التحالف</t>
  </si>
  <si>
    <t>معاهدة تحالفيه</t>
  </si>
  <si>
    <t>دول التحالف</t>
  </si>
  <si>
    <t>يمكد س الأسلحة</t>
  </si>
  <si>
    <t>سفير</t>
  </si>
  <si>
    <t>تحسين وضع السجناء</t>
  </si>
  <si>
    <t>السياسيين</t>
  </si>
  <si>
    <t>تحسين وضع اللاجئين</t>
  </si>
  <si>
    <t>عفو عام</t>
  </si>
  <si>
    <t>قواعد مماثلة</t>
  </si>
  <si>
    <t>أسلوب القياس في اتخاذ</t>
  </si>
  <si>
    <t>القرارات</t>
  </si>
  <si>
    <t>يمحل ل المشكلات الدولية</t>
  </si>
  <si>
    <t>مذهب الفوضويين</t>
  </si>
  <si>
    <t>فوضوي</t>
  </si>
  <si>
    <t>نظام حكم فوضوي</t>
  </si>
  <si>
    <t>فوضى</t>
  </si>
  <si>
    <t>يقضي على الجنس البشري</t>
  </si>
  <si>
    <t>إبادة شعب</t>
  </si>
  <si>
    <t>م ي مع لن القرار السياسي</t>
  </si>
  <si>
    <t>يمعلن الانتصار</t>
  </si>
  <si>
    <t>تقرير دبلوماسي سنوي</t>
  </si>
  <si>
    <t>م مضاد للدستورية</t>
  </si>
  <si>
    <t>م مناوئ للحكومة</t>
  </si>
  <si>
    <t>ضد  السامية</t>
  </si>
  <si>
    <t>أعمال تمس  المجتمع</t>
  </si>
  <si>
    <t>يطلب النجدة</t>
  </si>
  <si>
    <t>دعوة لوقف إطلاق النار</t>
  </si>
  <si>
    <t>يمهد ئ الاحتجاجات</t>
  </si>
  <si>
    <t>يمط بق إجراءات الطوارئ</t>
  </si>
  <si>
    <t>م ي طبق القانون الدولي</t>
  </si>
  <si>
    <t>يمطبق القوانين</t>
  </si>
  <si>
    <t>تعيين بالانتخاب</t>
  </si>
  <si>
    <t>تعيين الأجهزة الحكومية</t>
  </si>
  <si>
    <t>تعيين الوزراء</t>
  </si>
  <si>
    <t>الهيئة ا لمختصة</t>
  </si>
  <si>
    <t>م متوافق مع الأنظمة</t>
  </si>
  <si>
    <t>موافقة بالهتاف</t>
  </si>
  <si>
    <t>يموافق على التوصيات</t>
  </si>
  <si>
    <t>الدبلوماسية</t>
  </si>
  <si>
    <t>الجامعة العربية</t>
  </si>
  <si>
    <t>ميثاق الجامعة العربية</t>
  </si>
  <si>
    <t>مجلس الجامعة العربية</t>
  </si>
  <si>
    <t>القومية العربية</t>
  </si>
  <si>
    <t>مفهوم القومية العربية</t>
  </si>
  <si>
    <t>الوحدة العربية</t>
  </si>
  <si>
    <t>تدخ ل تعسفي</t>
  </si>
  <si>
    <t>تحكيم</t>
  </si>
  <si>
    <t>قوة عسكرية</t>
  </si>
  <si>
    <t>س باق التسل ح</t>
  </si>
  <si>
    <t>ن زاع مسل ح</t>
  </si>
  <si>
    <t>قو ات عسكرية</t>
  </si>
  <si>
    <t>حياد مسل ح</t>
  </si>
  <si>
    <t>تمر د مسل ح</t>
  </si>
  <si>
    <t>ثورة مسل حة</t>
  </si>
  <si>
    <t>منطقة مسلحة</t>
  </si>
  <si>
    <t>لجنة الهدنة</t>
  </si>
  <si>
    <t>هدنة</t>
  </si>
  <si>
    <t>منطقة عزاء  منزوعة</t>
  </si>
  <si>
    <t>السلاح</t>
  </si>
  <si>
    <t>ترسانة الأسلحة</t>
  </si>
  <si>
    <t>فيلق عسكري</t>
  </si>
  <si>
    <t>ناطق عسكري</t>
  </si>
  <si>
    <t>بصفة مراقب</t>
  </si>
  <si>
    <t>ظروف متصاعدة</t>
  </si>
  <si>
    <t>قاعة الاجتماعات</t>
  </si>
  <si>
    <t>عضو مساعد</t>
  </si>
  <si>
    <t>يتولى المنصب السياسي</t>
  </si>
  <si>
    <t>يتولى زمام الحكم</t>
  </si>
  <si>
    <t>أسلحة ذرية</t>
  </si>
  <si>
    <t>قنبلة ذر ية</t>
  </si>
  <si>
    <t>يمعلق أهمية على المحادثات</t>
  </si>
  <si>
    <t>م ي غير على العدو</t>
  </si>
  <si>
    <t>يمحق ق الأغلبية</t>
  </si>
  <si>
    <t>يمس  بالممتلكات العامة</t>
  </si>
  <si>
    <t>يمحق ق النصاب القانوني</t>
  </si>
  <si>
    <t>م محاولة المساس بأمن الدولة</t>
  </si>
  <si>
    <t>موقف الدولة تجاه رعاياها</t>
  </si>
  <si>
    <t>جلسة استماع</t>
  </si>
  <si>
    <t>قاعة الاجتماعات الرسمية</t>
  </si>
  <si>
    <t>رعاية</t>
  </si>
  <si>
    <t>تقشف</t>
  </si>
  <si>
    <t>سياسة التقش ف</t>
  </si>
  <si>
    <t>حكم استبدادي</t>
  </si>
  <si>
    <t>نطاق السلطة</t>
  </si>
  <si>
    <t>حصانة السلطة</t>
  </si>
  <si>
    <t>م ممثل السلطة</t>
  </si>
  <si>
    <t>وكيل مفو ض</t>
  </si>
  <si>
    <t>مصدر مخ ول بإعطاء</t>
  </si>
  <si>
    <t>المعلومات</t>
  </si>
  <si>
    <t>حكم مطلق</t>
  </si>
  <si>
    <t>حاكم مطلق</t>
  </si>
  <si>
    <t>نظرية الحكم المطلق</t>
  </si>
  <si>
    <t>حكم ذاتي</t>
  </si>
  <si>
    <t>قانون الحكم الذاتي</t>
  </si>
  <si>
    <t>عضو احتياطي</t>
  </si>
  <si>
    <t>يتجنب المواجهات</t>
  </si>
  <si>
    <t>دول الأقطاب</t>
  </si>
  <si>
    <t>دول المحور</t>
  </si>
  <si>
    <t>تقارير دبلوماسية عن فترة سابقة</t>
  </si>
  <si>
    <t>حرب جرثومية</t>
  </si>
  <si>
    <t>توازن القوى</t>
  </si>
  <si>
    <t>ميزان العدالة</t>
  </si>
  <si>
    <t>توازن السلطات</t>
  </si>
  <si>
    <t>تمثيل دبلوماسي متكافئ</t>
  </si>
  <si>
    <t>انسحاب متوازن للقو ات</t>
  </si>
  <si>
    <t>العسكرية</t>
  </si>
  <si>
    <t>اقتراع</t>
  </si>
  <si>
    <t>صندوق الاقتراع</t>
  </si>
  <si>
    <t>مباحثات أساسية</t>
  </si>
  <si>
    <t>أسس القوانين الدستورية</t>
  </si>
  <si>
    <t>مواقع القتال</t>
  </si>
  <si>
    <t>ميدان المعارك</t>
  </si>
  <si>
    <t>خلف القضبان</t>
  </si>
  <si>
    <t>وعد بلفور</t>
  </si>
  <si>
    <t>يمحاصر المدن</t>
  </si>
  <si>
    <t>يخون الأمة</t>
  </si>
  <si>
    <t>إفشاء الأسرار خيانة</t>
  </si>
  <si>
    <t>ازدواجية الجنسية</t>
  </si>
  <si>
    <t>مفاوضات ثنائية</t>
  </si>
  <si>
    <t>م مزدوج الجنسية</t>
  </si>
  <si>
    <t>قرارات سياسية ملزمة</t>
  </si>
  <si>
    <t>أقلية سوداء</t>
  </si>
  <si>
    <t>تصويت إجمالي</t>
  </si>
  <si>
    <t>حصار</t>
  </si>
  <si>
    <t>يمحاصر الأبنية</t>
  </si>
  <si>
    <t>روابط الدم والعرق بين</t>
  </si>
  <si>
    <t>الشعوب</t>
  </si>
  <si>
    <t>حم ام دم</t>
  </si>
  <si>
    <t>ثورة بيضاء</t>
  </si>
  <si>
    <t>أحداث سياسية دامية</t>
  </si>
  <si>
    <t>يمفج ر الطائرات</t>
  </si>
  <si>
    <t>مجلس المحافظين  نظام</t>
  </si>
  <si>
    <t>بريطاني</t>
  </si>
  <si>
    <t>هيئة التحقيق</t>
  </si>
  <si>
    <t>ص دامات الحدود</t>
  </si>
  <si>
    <t>ي قصف المدن</t>
  </si>
  <si>
    <t>قصف المدن</t>
  </si>
  <si>
    <t>م مخطط لتفجير البنية</t>
  </si>
  <si>
    <t>التحتية</t>
  </si>
  <si>
    <t>معاهدات الحدود</t>
  </si>
  <si>
    <t>هجرة الأدمغة</t>
  </si>
  <si>
    <t>غسيل الأدمغة</t>
  </si>
  <si>
    <t>خرق آداب السلوك</t>
  </si>
  <si>
    <t>الدبلوماسي</t>
  </si>
  <si>
    <t>خرق القانون الدولي</t>
  </si>
  <si>
    <t>خرق السلام</t>
  </si>
  <si>
    <t>نقض العهد</t>
  </si>
  <si>
    <t>إخلال بالأمن</t>
  </si>
  <si>
    <t>يخترق المجال الجوي</t>
  </si>
  <si>
    <t>آخر الأنباء السياسية</t>
  </si>
  <si>
    <t>جلسة تمهيدية</t>
  </si>
  <si>
    <t>حرب الإذاعات</t>
  </si>
  <si>
    <t>منطقة فاصلة بين الحدود</t>
  </si>
  <si>
    <t>يحرق أعلام الدول الأجنبية</t>
  </si>
  <si>
    <t>سياسة الأرض المحروقة</t>
  </si>
  <si>
    <t>عن طريق القنوات</t>
  </si>
  <si>
    <t>عن طريق التسلسل</t>
  </si>
  <si>
    <t>مجلس الوزراء</t>
  </si>
  <si>
    <t>بيان وزاري</t>
  </si>
  <si>
    <t>يمناشد الحماية الدولية</t>
  </si>
  <si>
    <t>يطلب التدخ ل الدولي</t>
  </si>
  <si>
    <t>معسكر</t>
  </si>
  <si>
    <t>ح ملة عدائية</t>
  </si>
  <si>
    <t>يملغي المهمة الدبلوماسية</t>
  </si>
  <si>
    <t>يملغي الزيارة الرسمية</t>
  </si>
  <si>
    <t>م مرشح للانتخابات</t>
  </si>
  <si>
    <t>عاصمة</t>
  </si>
  <si>
    <t>رأسمالية</t>
  </si>
  <si>
    <t>حكومة رأسمالية</t>
  </si>
  <si>
    <t>ع قلية رأسمالية</t>
  </si>
  <si>
    <t>دولة رأسمالية</t>
  </si>
  <si>
    <t>تنازلات بموجب اتفاقيات</t>
  </si>
  <si>
    <t>حقوق الأسرى</t>
  </si>
  <si>
    <t>يتولى السلطات السياسية</t>
  </si>
  <si>
    <t>يتولى المسؤوليات السياسية</t>
  </si>
  <si>
    <t>قرار سياسي حاسم</t>
  </si>
  <si>
    <t>يتسبب بالأضرار</t>
  </si>
  <si>
    <t>وقف إطلاق النار</t>
  </si>
  <si>
    <t>احتفال رسمي</t>
  </si>
  <si>
    <t>رقابة على المطبوعات</t>
  </si>
  <si>
    <t>مركز الخطورة</t>
  </si>
  <si>
    <t>سلطة مركزية</t>
  </si>
  <si>
    <t>قوات مركزية</t>
  </si>
  <si>
    <t>حكومة مركزية</t>
  </si>
  <si>
    <t>مكتب مركزي</t>
  </si>
  <si>
    <t>حزب الوسط</t>
  </si>
  <si>
    <t>تخطيط مركزي</t>
  </si>
  <si>
    <t>مركز ية</t>
  </si>
  <si>
    <t>تمر كز السلطة</t>
  </si>
  <si>
    <t>م يل إلى المركزية</t>
  </si>
  <si>
    <t>يممركز السلطة</t>
  </si>
  <si>
    <t>دولة مركزية</t>
  </si>
  <si>
    <t>نظام المراسم</t>
  </si>
  <si>
    <t>سلسلة الاتصالات</t>
  </si>
  <si>
    <t>سلسلة الاتصالات السياسية</t>
  </si>
  <si>
    <t>رئاسة الجلسة</t>
  </si>
  <si>
    <t>م مقتضيات المنصب</t>
  </si>
  <si>
    <t>مجلس العموم   نظام</t>
  </si>
  <si>
    <t>مجلس النواب</t>
  </si>
  <si>
    <t>مجلس اللوردات  نظام</t>
  </si>
  <si>
    <t>مقر  البعثة الدبلوماسية</t>
  </si>
  <si>
    <t>طابع المحادثات الدبلوماسية</t>
  </si>
  <si>
    <t>قائم بالأعمال</t>
  </si>
  <si>
    <t>ميثاق أو عهد</t>
  </si>
  <si>
    <t>نعرة قومية</t>
  </si>
  <si>
    <t>أسلحة كيميائية</t>
  </si>
  <si>
    <t>رئيس الوفد الدبلوماسي</t>
  </si>
  <si>
    <t>مدير المراسم</t>
  </si>
  <si>
    <t>يمعم التقرير الدبلوماسي</t>
  </si>
  <si>
    <t>يمعم التقرير السياسي</t>
  </si>
  <si>
    <t>م مذكرة دبلوماسية معممة</t>
  </si>
  <si>
    <t>م مذكرة سياسية معم مة</t>
  </si>
  <si>
    <t>مم قيم</t>
  </si>
  <si>
    <t>حقوق المواطنين</t>
  </si>
  <si>
    <t>صفة المواطنة</t>
  </si>
  <si>
    <t>فتنة داخلية</t>
  </si>
  <si>
    <t>أضرار مدنية</t>
  </si>
  <si>
    <t>دفاع مدني</t>
  </si>
  <si>
    <t>حرية مدنية</t>
  </si>
  <si>
    <t>حقوق مدن ية</t>
  </si>
  <si>
    <t>حرب أهلية</t>
  </si>
  <si>
    <t>س لامة المدنيين</t>
  </si>
  <si>
    <t>دول متحض ة</t>
  </si>
  <si>
    <t>مجتمع ط بقي</t>
  </si>
  <si>
    <t>تصنيف المهام الدبلوماسية</t>
  </si>
  <si>
    <t>مجتمع غير طبقي</t>
  </si>
  <si>
    <t>يوضح الموقف السياسي</t>
  </si>
  <si>
    <t>تعاون وثيق بين الدول</t>
  </si>
  <si>
    <t>جلسة مغلقة</t>
  </si>
  <si>
    <t>اجتماع مغلق</t>
  </si>
  <si>
    <t>جلسة ختامية</t>
  </si>
  <si>
    <t>إغلاق الحدود</t>
  </si>
  <si>
    <t>اختتام المباحثات</t>
  </si>
  <si>
    <t>إغلاق الجلسة</t>
  </si>
  <si>
    <t>قوات الائتلاف</t>
  </si>
  <si>
    <t>وزارة ائتلافية</t>
  </si>
  <si>
    <t>نائب رئيس الجلسة</t>
  </si>
  <si>
    <t>قانون السلوك الدبلوماسي</t>
  </si>
  <si>
    <t>قانون الأمم</t>
  </si>
  <si>
    <t>قانون الأحزاب السياسية</t>
  </si>
  <si>
    <t>نظام حكم ديكتاتوري</t>
  </si>
  <si>
    <t>سلطة قسرية</t>
  </si>
  <si>
    <t>حرب باردة</t>
  </si>
  <si>
    <t>تعاون بين السلطة الأحزاب</t>
  </si>
  <si>
    <t>السياسية</t>
  </si>
  <si>
    <t>م مفاوضات جماعية</t>
  </si>
  <si>
    <t>استقالة اجتماعية</t>
  </si>
  <si>
    <t>مبدأ الجماعية  المشاعة</t>
  </si>
  <si>
    <t>احتلال</t>
  </si>
  <si>
    <t>قو ات استعمارية</t>
  </si>
  <si>
    <t>م مستعمرة</t>
  </si>
  <si>
    <t>م محارب</t>
  </si>
  <si>
    <t>فدائي</t>
  </si>
  <si>
    <t>يمخل د ذكرى الشهداء</t>
  </si>
  <si>
    <t>احتفال لتخليد ذكرى</t>
  </si>
  <si>
    <t>يمعق ب على الخطاب السياسي</t>
  </si>
  <si>
    <t>تعقيب على الخطاب</t>
  </si>
  <si>
    <t>لجنة دراسة المشكلات</t>
  </si>
  <si>
    <t>التطل عات المشتركة</t>
  </si>
  <si>
    <t>للمجتمعات</t>
  </si>
  <si>
    <t>دفاع مشترك</t>
  </si>
  <si>
    <t>المصالح الإنسانية المشتركة</t>
  </si>
  <si>
    <t>هيئات سياسية مشتركة</t>
  </si>
  <si>
    <t>دول الكومنولث  الشعوب</t>
  </si>
  <si>
    <t>البريطانية ذات الثروات</t>
  </si>
  <si>
    <t>المشتركة</t>
  </si>
  <si>
    <t>فتنة</t>
  </si>
  <si>
    <t>اتصالات بين اللجان</t>
  </si>
  <si>
    <t>شيوعية</t>
  </si>
  <si>
    <t>شيوعي</t>
  </si>
  <si>
    <t>مكاسب اشتراكية</t>
  </si>
  <si>
    <t>خلية شيوعية</t>
  </si>
  <si>
    <t>حكومة شيوعية</t>
  </si>
  <si>
    <t>حزب شيوعي</t>
  </si>
  <si>
    <t>جماعة جالية</t>
  </si>
  <si>
    <t>يشكو من سوء المعاملة</t>
  </si>
  <si>
    <t>تعق د المشكلات الدولية</t>
  </si>
  <si>
    <t>اشتراك في مؤامرة</t>
  </si>
  <si>
    <t>يلتزم بالأعراف الدبلوماسية</t>
  </si>
  <si>
    <t>يتقيد ببنود المعاهدة</t>
  </si>
  <si>
    <t>يتقيد بالنظام الدولي</t>
  </si>
  <si>
    <t>يتقي د بالقوانين</t>
  </si>
  <si>
    <t>يتقي د بالأنظمة</t>
  </si>
  <si>
    <t>سياسة متشد دة</t>
  </si>
  <si>
    <t>قرار سياسي ملزم</t>
  </si>
  <si>
    <t>قواعد ملزمة</t>
  </si>
  <si>
    <t>م معسكر اعتقال</t>
  </si>
  <si>
    <t>حق  الامتياز</t>
  </si>
  <si>
    <t>بيان دبلوماسي موجز</t>
  </si>
  <si>
    <t>يعقد هدنة</t>
  </si>
  <si>
    <t>يمنهي الإضراب</t>
  </si>
  <si>
    <t>توافق الآراء السياسية</t>
  </si>
  <si>
    <t>توافق وجهات النظر</t>
  </si>
  <si>
    <t>يمندد يمدين</t>
  </si>
  <si>
    <t>يمند د بشدة</t>
  </si>
  <si>
    <t>يمند د بالعنف</t>
  </si>
  <si>
    <t>قبول شرطي</t>
  </si>
  <si>
    <t>بند شرطي</t>
  </si>
  <si>
    <t>حياد مشروط</t>
  </si>
  <si>
    <t>يموج ه المحادثات الدبلوماسية</t>
  </si>
  <si>
    <t>تحالف بين مجموعة من</t>
  </si>
  <si>
    <t>الدول كونفدرالية</t>
  </si>
  <si>
    <t>قص  المؤتمرات</t>
  </si>
  <si>
    <t>مذكرة دبلوماسية سر ية</t>
  </si>
  <si>
    <t>تقارير دبلوماسية سر ية</t>
  </si>
  <si>
    <t>تقارير سياسية سر ية</t>
  </si>
  <si>
    <t>يمؤكد على الموقف السياسي</t>
  </si>
  <si>
    <t>م مذكرة تأكيد</t>
  </si>
  <si>
    <t>تنازع المصالح السياسية</t>
  </si>
  <si>
    <t>تنازع المصالح الدولية</t>
  </si>
  <si>
    <t>منطقة متنازع عليها</t>
  </si>
  <si>
    <t>تنازع القوانين الدولية في</t>
  </si>
  <si>
    <t>الحي ز المكاني</t>
  </si>
  <si>
    <t>انسجام الآراء السياسية</t>
  </si>
  <si>
    <t>سياسة المواجهة</t>
  </si>
  <si>
    <t>الصلة بين القانون والعرف</t>
  </si>
  <si>
    <t>حقوق الفاتحين</t>
  </si>
  <si>
    <t>إجماع في التصويت</t>
  </si>
  <si>
    <t>الحفاظ على السلام</t>
  </si>
  <si>
    <t>مبدأ المحافظين</t>
  </si>
  <si>
    <t>نظام حكم محافظ</t>
  </si>
  <si>
    <t>أحزاب محافظة</t>
  </si>
  <si>
    <t>يتدارس الوضع الدولي</t>
  </si>
  <si>
    <t>م مراعاة الظروف السياسية</t>
  </si>
  <si>
    <t>تعزيز العلاقات الدولية</t>
  </si>
  <si>
    <t>تعزيز العلاقات الدبلوماسية</t>
  </si>
  <si>
    <t>مؤامرة ضد  سلامة الدولة</t>
  </si>
  <si>
    <t>مهام الدستور</t>
  </si>
  <si>
    <t>ق سم الدستور</t>
  </si>
  <si>
    <t>رقابة دستورية</t>
  </si>
  <si>
    <t>إجراءات دستورية</t>
  </si>
  <si>
    <t>انتخابات دستورية</t>
  </si>
  <si>
    <t>حكومة دستورية</t>
  </si>
  <si>
    <t>قانون دستوري</t>
  </si>
  <si>
    <t>يمين الولاء للدستور</t>
  </si>
  <si>
    <t>حقوق دستورية</t>
  </si>
  <si>
    <t>دستورية</t>
  </si>
  <si>
    <t>مجلس تأسيسي</t>
  </si>
  <si>
    <t>العناصر التأسيسية للدول</t>
  </si>
  <si>
    <t>قسر إلزام</t>
  </si>
  <si>
    <t>م مفاوضات بناءة</t>
  </si>
  <si>
    <t>قنصل</t>
  </si>
  <si>
    <t>حصانة قنصلية</t>
  </si>
  <si>
    <t>السلك القنصلي</t>
  </si>
  <si>
    <t>خدمات قنصل ية</t>
  </si>
  <si>
    <t>قنصل ية</t>
  </si>
  <si>
    <t>يستشير الخبراء الدوليين</t>
  </si>
  <si>
    <t>يستشير المجتمع الدولي</t>
  </si>
  <si>
    <t>مستشار</t>
  </si>
  <si>
    <t>مجلس استشاري</t>
  </si>
  <si>
    <t>أنظمة سياسية معاصرة</t>
  </si>
  <si>
    <t>دول مشتركة الحدود</t>
  </si>
  <si>
    <t>دول متنازعة</t>
  </si>
  <si>
    <t>يساهم في اتخاذ القرارات</t>
  </si>
  <si>
    <t>يمساهم في حل  المشك لات</t>
  </si>
  <si>
    <t>الدولية</t>
  </si>
  <si>
    <t>يمساهم في التطو ر العالمي</t>
  </si>
  <si>
    <t>يضبط الحدود</t>
  </si>
  <si>
    <t>ضبط الحدود بين الدول</t>
  </si>
  <si>
    <t>م مراقب</t>
  </si>
  <si>
    <t>نقاط الخلاف في المفاوضات</t>
  </si>
  <si>
    <t>نقاط الخلاف السياسية</t>
  </si>
  <si>
    <t>جمعية سرية</t>
  </si>
  <si>
    <t>اتفاقية</t>
  </si>
  <si>
    <t>بروتوكول وثيقة المعاهدة</t>
  </si>
  <si>
    <t>قانون اتفاقي</t>
  </si>
  <si>
    <t>تقارب في وجهات النظر</t>
  </si>
  <si>
    <t>رسالة باستدعاء السفير</t>
  </si>
  <si>
    <t>يدعو لاجتماع سياسي</t>
  </si>
  <si>
    <t>يدعو إلى اجتماع عاجل</t>
  </si>
  <si>
    <t>لجنة الارتباط</t>
  </si>
  <si>
    <t>تعاون ود ي</t>
  </si>
  <si>
    <t>علاقات ودية بين الدول</t>
  </si>
  <si>
    <t>تتويج</t>
  </si>
  <si>
    <t>حكومة فاسدة</t>
  </si>
  <si>
    <t>عضو في مجلس</t>
  </si>
  <si>
    <t>مجلس الأعيان   نظام</t>
  </si>
  <si>
    <t>بيان المجلس النيابي</t>
  </si>
  <si>
    <t>م مستشار قانوني</t>
  </si>
  <si>
    <t>هجوم معاكس مضاد</t>
  </si>
  <si>
    <t>تص يح دبلوماسي معاكس</t>
  </si>
  <si>
    <t>م مضاد</t>
  </si>
  <si>
    <t>م مكافحة الجاسوسية</t>
  </si>
  <si>
    <t>اقتراح مضاد</t>
  </si>
  <si>
    <t>احتجاج مضاد  معاكس</t>
  </si>
  <si>
    <t>معارضة الإصلاح</t>
  </si>
  <si>
    <t>انقلاب</t>
  </si>
  <si>
    <t>م جرى الأحداث</t>
  </si>
  <si>
    <t>زيارة مجاملة</t>
  </si>
  <si>
    <t>عهد  ميثاق</t>
  </si>
  <si>
    <t>صك  عصبة الأمم</t>
  </si>
  <si>
    <t>يمغطي الأنباء السياسية</t>
  </si>
  <si>
    <t>تغطية انسحاب الجيوش</t>
  </si>
  <si>
    <t>تغطية الأحداث السياسية</t>
  </si>
  <si>
    <t>تغطية الوقائع السياسية</t>
  </si>
  <si>
    <t>يخلق الفوضى</t>
  </si>
  <si>
    <t>ي خلق الذعر</t>
  </si>
  <si>
    <t>يخلق الاضطرابات</t>
  </si>
  <si>
    <t>م صداقية السياسة الخارجية</t>
  </si>
  <si>
    <t>وضع دبلوماسي دقيق أو</t>
  </si>
  <si>
    <t>ح رج</t>
  </si>
  <si>
    <t>ظروف سياسية حرجة</t>
  </si>
  <si>
    <t>وضع دولي دقيق أو ح رج</t>
  </si>
  <si>
    <t>تخصيب اليورانيوم</t>
  </si>
  <si>
    <t>مستشار ثقافي</t>
  </si>
  <si>
    <t>م ملحق ثقافي</t>
  </si>
  <si>
    <t>مفهوم العرف</t>
  </si>
  <si>
    <t>دستور عرفي</t>
  </si>
  <si>
    <t>يقطع إمدادات النفط</t>
  </si>
  <si>
    <t>آخر موعد لانسحاب القوات</t>
  </si>
  <si>
    <t>يتعامل مع الشكاوى الدولية</t>
  </si>
  <si>
    <t>تحقير الأسرى</t>
  </si>
  <si>
    <t>إهانة السجناء السياسيين</t>
  </si>
  <si>
    <t>إلغاء المركزية</t>
  </si>
  <si>
    <t>يمقر  بالإجماع</t>
  </si>
  <si>
    <t>اللجنة المكلفة باتخاذ</t>
  </si>
  <si>
    <t>إعلان الاستقلال</t>
  </si>
  <si>
    <t>إعلان الأحكام العرفية</t>
  </si>
  <si>
    <t>يمعلن حالة الحرب</t>
  </si>
  <si>
    <t>يرفض   يمعرض  المنصب</t>
  </si>
  <si>
    <t>السياسي</t>
  </si>
  <si>
    <t>إنهاء الاحتلال</t>
  </si>
  <si>
    <t>مرسوم</t>
  </si>
  <si>
    <t>هزيمة</t>
  </si>
  <si>
    <t>يمدافع عن حقوق الإنسان</t>
  </si>
  <si>
    <t>يمدافع عن المصالح الوطنية</t>
  </si>
  <si>
    <t>يمدافع عن الأراضي</t>
  </si>
  <si>
    <t>تحالف دفاعي</t>
  </si>
  <si>
    <t>أسلحة دفاعية</t>
  </si>
  <si>
    <t>خطوط الدفاع</t>
  </si>
  <si>
    <t>ميثاق الدفاع</t>
  </si>
  <si>
    <t>استراتيجية الدفاع</t>
  </si>
  <si>
    <t>حلف دفاعي</t>
  </si>
  <si>
    <t>يمؤجل النظر</t>
  </si>
  <si>
    <t>يمحد د المسؤوليات</t>
  </si>
  <si>
    <t>يمحد د الموقف الدبلوماسي</t>
  </si>
  <si>
    <t>يمعي ن الحدود</t>
  </si>
  <si>
    <t>يمحد د خطة العمل السياسي</t>
  </si>
  <si>
    <t>يمحدد الأهداف السياسية</t>
  </si>
  <si>
    <t>يمحد د الخطة السياسية</t>
  </si>
  <si>
    <t>يتحد ى الرأي العام الدولي</t>
  </si>
  <si>
    <t>يتحد ى الرأي العام</t>
  </si>
  <si>
    <t>مبعوث  مندوب</t>
  </si>
  <si>
    <t>وفد</t>
  </si>
  <si>
    <t>تفويض بالسلطات</t>
  </si>
  <si>
    <t>رأي مدروس</t>
  </si>
  <si>
    <t>م مداولات على المستوى الدولي</t>
  </si>
  <si>
    <t>جلسة ا لمداولة</t>
  </si>
  <si>
    <t>م مداولات على المستوى المحلي</t>
  </si>
  <si>
    <t>غوغائية</t>
  </si>
  <si>
    <t>خطوط الهدنة</t>
  </si>
  <si>
    <t>ترسيم الحدود بين الدول</t>
  </si>
  <si>
    <t>ديموقراطية</t>
  </si>
  <si>
    <t>انتخابات ديموقراطية</t>
  </si>
  <si>
    <t>تجربة ديموقراطية</t>
  </si>
  <si>
    <t>لعبة الديموقراطية</t>
  </si>
  <si>
    <t>حكم ديموقراطي</t>
  </si>
  <si>
    <t>أغلبية ديموقراطية</t>
  </si>
  <si>
    <t>أسلوب ديموقراطي</t>
  </si>
  <si>
    <t>مبادئ ديموقراطية</t>
  </si>
  <si>
    <t>ديموقراطية اشتراكية</t>
  </si>
  <si>
    <t>دولة ديموقراطية</t>
  </si>
  <si>
    <t>يمهد الأبنية</t>
  </si>
  <si>
    <t>يمدم ر المدن</t>
  </si>
  <si>
    <t>يمدم ر البنية التحتية</t>
  </si>
  <si>
    <t>م مظاهرات</t>
  </si>
  <si>
    <t>م متظاهر</t>
  </si>
  <si>
    <t>يمتنع عن إحقاق الحق</t>
  </si>
  <si>
    <t>ينشر القو ات العسكرية</t>
  </si>
  <si>
    <t>ينشر القو ات الوطنية</t>
  </si>
  <si>
    <t>م مبعد منفي</t>
  </si>
  <si>
    <t>يمجرد من الحقوق السياسية</t>
  </si>
  <si>
    <t>نائب في المجلس النيابي</t>
  </si>
  <si>
    <t>نائب مفو ض</t>
  </si>
  <si>
    <t>مم فو ض برئاسة الجلسة</t>
  </si>
  <si>
    <t>يمدن س المرافق الدينية</t>
  </si>
  <si>
    <t>سفير مفو ض</t>
  </si>
  <si>
    <t>يتنازل لصالح دولة أخرى</t>
  </si>
  <si>
    <t>طبقة طاغية</t>
  </si>
  <si>
    <t>طغيان</t>
  </si>
  <si>
    <t>سلطة الاعتقال</t>
  </si>
  <si>
    <t>اعتقال</t>
  </si>
  <si>
    <t>اعتقال السجناء السياسيين</t>
  </si>
  <si>
    <t>تحديد المسؤوليات الدولية</t>
  </si>
  <si>
    <t>تحديد الالتزامات الدولية</t>
  </si>
  <si>
    <t>دول نامية</t>
  </si>
  <si>
    <t>ن زاع جدلي بين الدول</t>
  </si>
  <si>
    <t>شكل ديكتاتوري</t>
  </si>
  <si>
    <t>حكومة ديكتاتورية</t>
  </si>
  <si>
    <t>حكم ديكتاتوري  مستبد</t>
  </si>
  <si>
    <t>تعامل دبلوماسي متباين</t>
  </si>
  <si>
    <t>ينشر الخلافات بين الدول</t>
  </si>
  <si>
    <t>انتشار المعلومات بين الدول</t>
  </si>
  <si>
    <t>دبلوماسية</t>
  </si>
  <si>
    <t>دبلوماسي</t>
  </si>
  <si>
    <t>فعاليات دبلوماسية</t>
  </si>
  <si>
    <t>لباقة دبلوماسية</t>
  </si>
  <si>
    <t>مراسل الشؤون الدبلوماسية</t>
  </si>
  <si>
    <t>عمل في السلك الدبلوماسي</t>
  </si>
  <si>
    <t>طرق أو قنوات دبلوماسية</t>
  </si>
  <si>
    <t>تعه د دبلوماسي</t>
  </si>
  <si>
    <t>لجنة دبلوماسية</t>
  </si>
  <si>
    <t>اتصالات دبلوماسية</t>
  </si>
  <si>
    <t>لجنة الاتصالات الدبلوماسية</t>
  </si>
  <si>
    <t>ص لات دبلوماسية</t>
  </si>
  <si>
    <t>استشارة دبلوماسية</t>
  </si>
  <si>
    <t>هيئة دبلوماسية</t>
  </si>
  <si>
    <t>فساد دبلوماسي</t>
  </si>
  <si>
    <t>أزمة دبلوماسية</t>
  </si>
  <si>
    <t>أعراف دبلوماسية</t>
  </si>
  <si>
    <t>تص يح دبلوماسي</t>
  </si>
  <si>
    <t>وفد دبلوماسي</t>
  </si>
  <si>
    <t>م مداولات دبلوماسية</t>
  </si>
  <si>
    <t>م ساعي دبلوماسية</t>
  </si>
  <si>
    <t>ح وار دبلوماسي</t>
  </si>
  <si>
    <t>خلاف دبلوماسي</t>
  </si>
  <si>
    <t>العوامل المؤدية للخلافات</t>
  </si>
  <si>
    <t>جهود دبلوماسية</t>
  </si>
  <si>
    <t>محيط دبلوماسي</t>
  </si>
  <si>
    <t>آداب السلوك الدبلوماسي</t>
  </si>
  <si>
    <t>خبير دبلوماسي</t>
  </si>
  <si>
    <t>إطار دبلوماسي</t>
  </si>
  <si>
    <t>مهام دبلوماسية</t>
  </si>
  <si>
    <t>حصانة دبلوماسية</t>
  </si>
  <si>
    <t>نطاق التأثير الدبلوماسي</t>
  </si>
  <si>
    <t>مصالح دبلوماسية</t>
  </si>
  <si>
    <t>عزلة دبلوماسية</t>
  </si>
  <si>
    <t>بريد دبلوماسي</t>
  </si>
  <si>
    <t>مناورة دبلوماسية</t>
  </si>
  <si>
    <t>وساطة دبلوماسية</t>
  </si>
  <si>
    <t>لقاءات دبلوماسية</t>
  </si>
  <si>
    <t>مذكرة تفاهم دبلوماسية</t>
  </si>
  <si>
    <t>مهمة دبلوماسية</t>
  </si>
  <si>
    <t>برنامج المهمة الدبلوماسية</t>
  </si>
  <si>
    <t>مفاوضات دبلوماسية</t>
  </si>
  <si>
    <t>مذكرة دبلوماسية</t>
  </si>
  <si>
    <t>إشعار دبلوماسي</t>
  </si>
  <si>
    <t>عقبات دبلوماسية</t>
  </si>
  <si>
    <t>إساءات دبلوماسية</t>
  </si>
  <si>
    <t>وجهة نظر دبلوماسية</t>
  </si>
  <si>
    <t>منصب دبلوماسي</t>
  </si>
  <si>
    <t>امتيازات دبلوماسية</t>
  </si>
  <si>
    <t>ضغوط دبلوماسية</t>
  </si>
  <si>
    <t>اعتراف دبلوماسي</t>
  </si>
  <si>
    <t>توصية دبلوماسية</t>
  </si>
  <si>
    <t>مصالحة دبلوماسية</t>
  </si>
  <si>
    <t>تقارير دبلوماسية</t>
  </si>
  <si>
    <t>تمثيل دبلوماسي</t>
  </si>
  <si>
    <t>ممثل دبلوماسي</t>
  </si>
  <si>
    <t>حل دبلوماسي</t>
  </si>
  <si>
    <t>ناطق دبلوماسي</t>
  </si>
  <si>
    <t>بيان دبلوماسي</t>
  </si>
  <si>
    <t>قانون الدبلوماسية</t>
  </si>
  <si>
    <t>مباحثات دبلوماسية</t>
  </si>
  <si>
    <t>زيارة دبلوماسية</t>
  </si>
  <si>
    <t>أوامر مباشرة</t>
  </si>
  <si>
    <t>خلافات بين الدول</t>
  </si>
  <si>
    <t>استنكار التصريحات الدبلوماسية</t>
  </si>
  <si>
    <t>نزع السلاح</t>
  </si>
  <si>
    <t>منطقة منزوعة السلاح</t>
  </si>
  <si>
    <t>بلد منكوب</t>
  </si>
  <si>
    <t>خطاب رسمي</t>
  </si>
  <si>
    <t>تمييز عنصري</t>
  </si>
  <si>
    <t>ضحايا التمييز العنصري</t>
  </si>
  <si>
    <t>حرمان من الحقوق المدنية</t>
  </si>
  <si>
    <t>جرائم شائنة ضد المدنيين</t>
  </si>
  <si>
    <t>تباين الآراء الدولية</t>
  </si>
  <si>
    <t>استعداد للمصالحة الوطنية</t>
  </si>
  <si>
    <t>استعداد للمصالحة السياسية</t>
  </si>
  <si>
    <t>أراضي متنازع عليها</t>
  </si>
  <si>
    <t>يتجاهل التحذيرات</t>
  </si>
  <si>
    <t>يتجاهل الإنذارات</t>
  </si>
  <si>
    <t>صوت انتخابي مخالف</t>
  </si>
  <si>
    <t>رأي مخالف</t>
  </si>
  <si>
    <t>تصويت مخالف</t>
  </si>
  <si>
    <t>يحل البرلمان</t>
  </si>
  <si>
    <t>حل البرلمان</t>
  </si>
  <si>
    <t>يشوه العلاقات الدبلوماسية</t>
  </si>
  <si>
    <t>بين الدول</t>
  </si>
  <si>
    <t>يحرف الوقائع التاريخية</t>
  </si>
  <si>
    <t>يشوه الوقائع السياسية</t>
  </si>
  <si>
    <t>تقرير سياسي محور</t>
  </si>
  <si>
    <t>يوزع المنشورات السياسية</t>
  </si>
  <si>
    <t>توزيع المهام الدبلوماسية</t>
  </si>
  <si>
    <t>حرب الخنادق</t>
  </si>
  <si>
    <t>تشعب الآراء السياسية</t>
  </si>
  <si>
    <t>اختلاف وجهات النظر السياسية</t>
  </si>
  <si>
    <t>تنوع الأنظمة السياسية</t>
  </si>
  <si>
    <t>تنوع المتطلبات الدولية</t>
  </si>
  <si>
    <t>مبدأ فرق تسد</t>
  </si>
  <si>
    <t>نطاق السلطة الدستورية</t>
  </si>
  <si>
    <t>نطاق المسؤوليات الدبلوماسية</t>
  </si>
  <si>
    <t>نطاق المسؤوليات السياسية</t>
  </si>
  <si>
    <t>طبقة مسيطرة</t>
  </si>
  <si>
    <t>يسيطر على المواقع الاستراتيجية</t>
  </si>
  <si>
    <t>سيطرة</t>
  </si>
  <si>
    <t>نزعة إلى السيطرة</t>
  </si>
  <si>
    <t>يلقي الضوء على المشكلات</t>
  </si>
  <si>
    <t>السياسية الدولية</t>
  </si>
  <si>
    <t>يضع خطة العمل السياسي</t>
  </si>
  <si>
    <t>جنسية مزدوجة</t>
  </si>
  <si>
    <t>ازدواجية التعامل الدولي</t>
  </si>
  <si>
    <t>يخفف التوتر الدبلوماسي</t>
  </si>
  <si>
    <t>حرب اقتصادية</t>
  </si>
  <si>
    <t>فعالية المهمة الدبلوماسية</t>
  </si>
  <si>
    <t>فعالية المهمة السياسية</t>
  </si>
  <si>
    <t>ينتخب بالقرعة</t>
  </si>
  <si>
    <t>ينتخب بالإجماع</t>
  </si>
  <si>
    <t>ممثل منتخب</t>
  </si>
  <si>
    <t>انتخاب بالأغلبية</t>
  </si>
  <si>
    <t>شخص يعمل لصالح مرشح</t>
  </si>
  <si>
    <t>للانتخابات</t>
  </si>
  <si>
    <t>انتخابات</t>
  </si>
  <si>
    <t>ناخب</t>
  </si>
  <si>
    <t>هيئة الناخبين</t>
  </si>
  <si>
    <t>قانون الانتخاب</t>
  </si>
  <si>
    <t>إجراءات انتخابية</t>
  </si>
  <si>
    <t>دعاية انتخابية</t>
  </si>
  <si>
    <t>النصاب القانوني للترشيح</t>
  </si>
  <si>
    <t>سجل انتخابي</t>
  </si>
  <si>
    <t>حكومة الكترونية</t>
  </si>
  <si>
    <t>إعلام الكتروني</t>
  </si>
  <si>
    <t>أهلية الترشيح للانتخابات</t>
  </si>
  <si>
    <t>حق  الترش ح للانتخابات</t>
  </si>
  <si>
    <t>إلغاء التعذيب الجسدي</t>
  </si>
  <si>
    <t>إزالة العقبات السياسية</t>
  </si>
  <si>
    <t>إلغاء الحقوق السياسية والفرص</t>
  </si>
  <si>
    <t>إلغاء الامتيازات</t>
  </si>
  <si>
    <t>توضيح مفهوم النظام الدولي</t>
  </si>
  <si>
    <t>سفارة</t>
  </si>
  <si>
    <t>ينبثق عن الاجتماع</t>
  </si>
  <si>
    <t>قو ات الطوارئ</t>
  </si>
  <si>
    <t>حكومة طوارئ</t>
  </si>
  <si>
    <t>قانون الطوارئ</t>
  </si>
  <si>
    <t>اجتماع طارئ</t>
  </si>
  <si>
    <t>وضع طارئ</t>
  </si>
  <si>
    <t>حالة طوارئ</t>
  </si>
  <si>
    <t>مهاجر</t>
  </si>
  <si>
    <t>هجرة</t>
  </si>
  <si>
    <t>مكتب الهجرة</t>
  </si>
  <si>
    <t>شخصية سياسية بارزة</t>
  </si>
  <si>
    <t>مبعوث دبلوماسي خاص</t>
  </si>
  <si>
    <t>يسن  المواثيق الدولية</t>
  </si>
  <si>
    <t>يمنهي الحصار</t>
  </si>
  <si>
    <t>يفرض وقف إطلاق النار</t>
  </si>
  <si>
    <t>يفرض السلطة بالقوة</t>
  </si>
  <si>
    <t>يفرض القيود</t>
  </si>
  <si>
    <t>فرض القانون بالقوة</t>
  </si>
  <si>
    <t>تأشيرة دخول</t>
  </si>
  <si>
    <t>مبعوث</t>
  </si>
  <si>
    <t>حقوق متساوية</t>
  </si>
  <si>
    <t>مساواة</t>
  </si>
  <si>
    <t>مساواة بين الأعراق</t>
  </si>
  <si>
    <t>مساواة في الحقوق والواجبات</t>
  </si>
  <si>
    <t>مساواة بين الأفراد</t>
  </si>
  <si>
    <t>تكافؤ الفرص</t>
  </si>
  <si>
    <t>مساواة بين الأجناس</t>
  </si>
  <si>
    <t>مساواة أمام القانون</t>
  </si>
  <si>
    <t>توزيع عادل للموارد الدولية</t>
  </si>
  <si>
    <t>توزيع عادل للدخل القومي والفرص</t>
  </si>
  <si>
    <t>سلام عادل</t>
  </si>
  <si>
    <t>مفهوم العدالة</t>
  </si>
  <si>
    <t>محاكم الإنصاف</t>
  </si>
  <si>
    <t>تعادل الأصوات الانتخابية</t>
  </si>
  <si>
    <t>يهرب من العنف</t>
  </si>
  <si>
    <t>جاسوسية</t>
  </si>
  <si>
    <t>يقيم جسر من العلاقات الدبلوماسية</t>
  </si>
  <si>
    <t>يقيم عالم من التضامن والإنصاف</t>
  </si>
  <si>
    <t>يقيم نظام سياسي جديد</t>
  </si>
  <si>
    <t>يقيم الحوار البناء بين الدول</t>
  </si>
  <si>
    <t>يقيم السلام الدائم</t>
  </si>
  <si>
    <t>يقيم التوازن السياسي</t>
  </si>
  <si>
    <t>يخلي المدن</t>
  </si>
  <si>
    <t>يخلي المدنيين</t>
  </si>
  <si>
    <t>جلاء القوات الأجنبية</t>
  </si>
  <si>
    <t>تثمين وتقييم  الميراث الثقافي</t>
  </si>
  <si>
    <t>تقييم الوقائع السياسية</t>
  </si>
  <si>
    <t>يطرد من الممتلكات</t>
  </si>
  <si>
    <t>تطور العلاقات السياسية</t>
  </si>
  <si>
    <t>تفحص الوقائع</t>
  </si>
  <si>
    <t>يتفحص التقارير الدبلوماسية</t>
  </si>
  <si>
    <t>اجتماع استثنائي</t>
  </si>
  <si>
    <t>تبادل وثائق الإبرام</t>
  </si>
  <si>
    <t>تبادل السفراء</t>
  </si>
  <si>
    <t>تبادل أوراق الاعتماد الدبلوماسي</t>
  </si>
  <si>
    <t>تبادل الدبلوماسيين</t>
  </si>
  <si>
    <t>تبادل المعلومات بين الدول</t>
  </si>
  <si>
    <t>تبادل الآراء السياسية</t>
  </si>
  <si>
    <t>تبادل السجناء السياسيين</t>
  </si>
  <si>
    <t>اللجنة التنفيذية</t>
  </si>
  <si>
    <t>السلطة التنفيذية</t>
  </si>
  <si>
    <t>م ممارسة الحقوق الدستورية</t>
  </si>
  <si>
    <t>م ممارسة السلطة</t>
  </si>
  <si>
    <t>م متطلبات المنصب</t>
  </si>
  <si>
    <t>م نفى</t>
  </si>
  <si>
    <t>م نفي</t>
  </si>
  <si>
    <t>النظام القائم</t>
  </si>
  <si>
    <t>اتساع تطاق الاعتداءات</t>
  </si>
  <si>
    <t>سياسية توسعية</t>
  </si>
  <si>
    <t>ميول توسعية</t>
  </si>
  <si>
    <t>ينفي من البلاد</t>
  </si>
  <si>
    <t>قانون المغتربين</t>
  </si>
  <si>
    <t>يمرح ل  يطرد من الوطن</t>
  </si>
  <si>
    <t>يفصل يطرد من الحزب</t>
  </si>
  <si>
    <t>إنذار تجريبي</t>
  </si>
  <si>
    <t>توضيحية</t>
  </si>
  <si>
    <t>مذكرة تفاهم سياسية</t>
  </si>
  <si>
    <t>مهمة استطلاعية</t>
  </si>
  <si>
    <t>سياسة استطلاعية</t>
  </si>
  <si>
    <t>م محادثات استطلاعية</t>
  </si>
  <si>
    <t>مواد متفجرة</t>
  </si>
  <si>
    <t>يمعب ر عن إرادة الشعب</t>
  </si>
  <si>
    <t>يمعبر عن إرادة الدولة</t>
  </si>
  <si>
    <t>تعبير عن الرأي</t>
  </si>
  <si>
    <t>اعتداء خارجي</t>
  </si>
  <si>
    <t>تدخل خارجي</t>
  </si>
  <si>
    <t>ضغوط خارجية</t>
  </si>
  <si>
    <t>علاقات خارجية</t>
  </si>
  <si>
    <t>تهديدات خارجية</t>
  </si>
  <si>
    <t>يغتصب الأراضي</t>
  </si>
  <si>
    <t>مبدأ الاستقلال عن السلطة</t>
  </si>
  <si>
    <t>المعاهدة الدولية حول تسليم</t>
  </si>
  <si>
    <t>المجرمين</t>
  </si>
  <si>
    <t>سفير فوق العادة</t>
  </si>
  <si>
    <t>مبعوث فوق العادة</t>
  </si>
  <si>
    <t>رأي ممتطر ف</t>
  </si>
  <si>
    <t>يمين متطر ف</t>
  </si>
  <si>
    <t>تط رف</t>
  </si>
  <si>
    <t>م متطر ف</t>
  </si>
  <si>
    <t>حزب متط رف</t>
  </si>
  <si>
    <t>يواجه خطر الحرب</t>
  </si>
  <si>
    <t>يواجه تهديدات الحرب</t>
  </si>
  <si>
    <t>معركة وجاهية</t>
  </si>
  <si>
    <t>لجنة تقص   الحقائق</t>
  </si>
  <si>
    <t>تقرير بعرض الوقائع</t>
  </si>
  <si>
    <t>موقف دبلوماسي عادل</t>
  </si>
  <si>
    <t>حل  دبلوماسي عادل</t>
  </si>
  <si>
    <t>إعلان كاذب</t>
  </si>
  <si>
    <t>إنذار زائف</t>
  </si>
  <si>
    <t>بيان كاذب</t>
  </si>
  <si>
    <t>تزوير الانتخابات</t>
  </si>
  <si>
    <t>يمزو ر الحقائق</t>
  </si>
  <si>
    <t>يمزو ر الوقائع السياسية</t>
  </si>
  <si>
    <t>يمزو ر الانتخابات</t>
  </si>
  <si>
    <t>قرار سياسي بعيد النظر</t>
  </si>
  <si>
    <t>فاشية</t>
  </si>
  <si>
    <t>دول ذات حظوة</t>
  </si>
  <si>
    <t>حكومة فيدرالية</t>
  </si>
  <si>
    <t>مكتب التحقيقات الفيدرالي</t>
  </si>
  <si>
    <t>دولة فيدرالية</t>
  </si>
  <si>
    <t>نظام حكم فيدرالي</t>
  </si>
  <si>
    <t>محكمة فيدرالية</t>
  </si>
  <si>
    <t>اتحاد بين مجموعة من</t>
  </si>
  <si>
    <t>الدول فيدرالية</t>
  </si>
  <si>
    <t>ضعف السلطة</t>
  </si>
  <si>
    <t>تآمر على الدولة</t>
  </si>
  <si>
    <t>نظام الإقطاع</t>
  </si>
  <si>
    <t>طابور خامس</t>
  </si>
  <si>
    <t>سياسة التمويه</t>
  </si>
  <si>
    <t>قوى محاربة</t>
  </si>
  <si>
    <t>إخطار أخير</t>
  </si>
  <si>
    <t>إنذار نهائي</t>
  </si>
  <si>
    <t>حصانة مالية</t>
  </si>
  <si>
    <t>نشيد تحية العلم</t>
  </si>
  <si>
    <t>تحية العلم</t>
  </si>
  <si>
    <t>يمتابع الأحداث السياسية</t>
  </si>
  <si>
    <t>لاعتبارات سياسية</t>
  </si>
  <si>
    <t>منطقة ممنوع الاقتراب منها</t>
  </si>
  <si>
    <t>محط ات إعلامية حظورة</t>
  </si>
  <si>
    <t>م مساعدات أجنبية</t>
  </si>
  <si>
    <t>تحكيم أجنبي</t>
  </si>
  <si>
    <t>إذاعة أجنبية</t>
  </si>
  <si>
    <t>محط ات إرسال أجنبية</t>
  </si>
  <si>
    <t>جاليات أجنبية</t>
  </si>
  <si>
    <t>امتيازات أجنبية</t>
  </si>
  <si>
    <t>مواثيق أجنبية</t>
  </si>
  <si>
    <t>سيطرة أجنبية</t>
  </si>
  <si>
    <t>قو ات احتلال أجنبية</t>
  </si>
  <si>
    <t>نفوذ أجنبي</t>
  </si>
  <si>
    <t>تد خل أجنبي</t>
  </si>
  <si>
    <t>قو ات عسكرية أجنبية</t>
  </si>
  <si>
    <t>وزير الخارجية</t>
  </si>
  <si>
    <t>وزارة الخارجية</t>
  </si>
  <si>
    <t>ضغوط سياسية أجنبية</t>
  </si>
  <si>
    <t>ضغوط أجنبية</t>
  </si>
  <si>
    <t>م مقيم أجنبي</t>
  </si>
  <si>
    <t>م منافسة أجنبية</t>
  </si>
  <si>
    <t>دعم أجنبي</t>
  </si>
  <si>
    <t>تهديدات أجنبية</t>
  </si>
  <si>
    <t>جيوش أجنبية</t>
  </si>
  <si>
    <t>قانون الأجانب</t>
  </si>
  <si>
    <t>شكل الدولة</t>
  </si>
  <si>
    <t>تأييد رسمي</t>
  </si>
  <si>
    <t>موافقة رسمية</t>
  </si>
  <si>
    <t>احتجاج دبلوماسي رسمي</t>
  </si>
  <si>
    <t>جلسة افتتاح رسمية</t>
  </si>
  <si>
    <t>احتجاج رسمي</t>
  </si>
  <si>
    <t>إنذار رسمي</t>
  </si>
  <si>
    <t>وزير سابق</t>
  </si>
  <si>
    <t>صياغة القرار السياسي</t>
  </si>
  <si>
    <t>ت حصين المدن</t>
  </si>
  <si>
    <t>مدن محص نة</t>
  </si>
  <si>
    <t>انتخابات مزو رة</t>
  </si>
  <si>
    <t>انتخابات حرة</t>
  </si>
  <si>
    <t>حرية</t>
  </si>
  <si>
    <t>حرية ورفاهية الأفراد</t>
  </si>
  <si>
    <t>حلول دبلوماسية ودية</t>
  </si>
  <si>
    <t>لفتة دولية ودية</t>
  </si>
  <si>
    <t>تسوية ودية</t>
  </si>
  <si>
    <t>يمفزع المدنيين</t>
  </si>
  <si>
    <t>الخطوط الأمامية للقتال</t>
  </si>
  <si>
    <t>خلافات على الحدود</t>
  </si>
  <si>
    <t>منطقة الحدود</t>
  </si>
  <si>
    <t>يمحقق العدالة</t>
  </si>
  <si>
    <t>وقف شامل لإطلاق النار</t>
  </si>
  <si>
    <t>حياد تام</t>
  </si>
  <si>
    <t>سلطة تامة</t>
  </si>
  <si>
    <t>المحور الرئيسي للمفاوضات</t>
  </si>
  <si>
    <t>المبادئ السياسية الأساسية</t>
  </si>
  <si>
    <t>المطامح المستقبلية للدول</t>
  </si>
  <si>
    <t>لعبة الأمم</t>
  </si>
  <si>
    <t>الجمعية العامة</t>
  </si>
  <si>
    <t>المؤتمر العام للأحزاب</t>
  </si>
  <si>
    <t>قنصل عام</t>
  </si>
  <si>
    <t>تقييم شامل للتقرير</t>
  </si>
  <si>
    <t>تعبئة عامة</t>
  </si>
  <si>
    <t>إضراب عام</t>
  </si>
  <si>
    <t>صراع الأجيال</t>
  </si>
  <si>
    <t>إبادة جماعية</t>
  </si>
  <si>
    <t>يأخذ علما بالأحداث</t>
  </si>
  <si>
    <t>يمدلي بتص يح بصفة رسمية</t>
  </si>
  <si>
    <t>يمدلي برأي</t>
  </si>
  <si>
    <t>يمعطي الأولوية</t>
  </si>
  <si>
    <t>سفير النوايا الحسنة</t>
  </si>
  <si>
    <t>مساعي حميدة</t>
  </si>
  <si>
    <t>لجنة المساعي الحميدة</t>
  </si>
  <si>
    <t>يحكم</t>
  </si>
  <si>
    <t>السلطة الحاكمة</t>
  </si>
  <si>
    <t>الهيئة الحاكمة</t>
  </si>
  <si>
    <t>القوانين السائدة</t>
  </si>
  <si>
    <t>لجنة حكومية</t>
  </si>
  <si>
    <t>فساد الحكم</t>
  </si>
  <si>
    <t>تدخ ل حكومي</t>
  </si>
  <si>
    <t>شاهد حكومي</t>
  </si>
  <si>
    <t>قيود حكومية</t>
  </si>
  <si>
    <t>مؤسسات حكومية</t>
  </si>
  <si>
    <t>حاكم أو محافظ</t>
  </si>
  <si>
    <t>اجتماع المحافظين</t>
  </si>
  <si>
    <t>يمخو ل يمنح الصلاحيات</t>
  </si>
  <si>
    <t>يمنح الحصانات</t>
  </si>
  <si>
    <t>يمنح الجنسية</t>
  </si>
  <si>
    <t>يمنح الامتيازات</t>
  </si>
  <si>
    <t>يمنح مهلة للتفكير</t>
  </si>
  <si>
    <t>ظروف دبلوماسية خطرة</t>
  </si>
  <si>
    <t>أوضاع إنسانية خطيرة</t>
  </si>
  <si>
    <t>خطورة الموقف السياسي</t>
  </si>
  <si>
    <t>الشرق الأوسط الكبير</t>
  </si>
  <si>
    <t>جاليات بشرية</t>
  </si>
  <si>
    <t>يضمن الحقوق الشخصية</t>
  </si>
  <si>
    <t>ضمان الحري ات</t>
  </si>
  <si>
    <t>حرب العصابات</t>
  </si>
  <si>
    <t>يمنك س الأعلام</t>
  </si>
  <si>
    <t>أنصاف الحلول</t>
  </si>
  <si>
    <t>يمسل رئاسة الجلسة</t>
  </si>
  <si>
    <t>خطاب سياسي شديد اللهجة</t>
  </si>
  <si>
    <t>تطور سياسي متناسق</t>
  </si>
  <si>
    <t>ت ناسق وجهات النظر الدولية</t>
  </si>
  <si>
    <t>يرجع إلى القوانين الدولية</t>
  </si>
  <si>
    <t>يلجأ إلى الحرب</t>
  </si>
  <si>
    <t>رئيس الوفد</t>
  </si>
  <si>
    <t>شهادة مستندة إلى سماع</t>
  </si>
  <si>
    <t>أقوال</t>
  </si>
  <si>
    <t>سياسة الدول العظمى</t>
  </si>
  <si>
    <t>غير منتمي لدولة</t>
  </si>
  <si>
    <t>تسلسل أو تدرج الأهداف</t>
  </si>
  <si>
    <t>تسلسل المناصب السياسية</t>
  </si>
  <si>
    <t>تسلسل السلطات</t>
  </si>
  <si>
    <t>تسلسل في إدارات الدولة</t>
  </si>
  <si>
    <t>مندوب سامي</t>
  </si>
  <si>
    <t>لجنة عليا</t>
  </si>
  <si>
    <t>المحكمة الدستورية العليا</t>
  </si>
  <si>
    <t>م مفاوضات على مستوى رفيع</t>
  </si>
  <si>
    <t>خيانة عظمى</t>
  </si>
  <si>
    <t>المحكمة الدولية العليا</t>
  </si>
  <si>
    <t>يعقد الاجتماع</t>
  </si>
  <si>
    <t>يتقل د السلاح</t>
  </si>
  <si>
    <t>حلف مقد س</t>
  </si>
  <si>
    <t>لجنة فخرية</t>
  </si>
  <si>
    <t>لجنة الشرف</t>
  </si>
  <si>
    <t>قنصل فخري</t>
  </si>
  <si>
    <t>مجلس فخري</t>
  </si>
  <si>
    <t>عضو شرف</t>
  </si>
  <si>
    <t>بعثة شرف</t>
  </si>
  <si>
    <t>منصب شرف</t>
  </si>
  <si>
    <t>ح ملة عسكرية مرو عة</t>
  </si>
  <si>
    <t>البلد الممضيف</t>
  </si>
  <si>
    <t>رهائن</t>
  </si>
  <si>
    <t>نشاط عدواني</t>
  </si>
  <si>
    <t>م مظاهرة عدائية</t>
  </si>
  <si>
    <t>حزب عدائي</t>
  </si>
  <si>
    <t>سياسية عدائية</t>
  </si>
  <si>
    <t>مذبحة بشرية</t>
  </si>
  <si>
    <t>حشود بشرية</t>
  </si>
  <si>
    <t>علاقات إنسانية بين الدول</t>
  </si>
  <si>
    <t>حقوق الإنسان</t>
  </si>
  <si>
    <t>لجنة حقوق الإنسان</t>
  </si>
  <si>
    <t>موجة بشرية من المحتجين</t>
  </si>
  <si>
    <t>م مساعدات إنسانية</t>
  </si>
  <si>
    <t>م منس ق الأمور الإنسانية</t>
  </si>
  <si>
    <t>مراقب مراعاة حقوق</t>
  </si>
  <si>
    <t>الإنسان</t>
  </si>
  <si>
    <t>الوضع الإنساني للسجناء</t>
  </si>
  <si>
    <t>ي محق ر الأسرى</t>
  </si>
  <si>
    <t>تعامل دبلوماسي متماثل</t>
  </si>
  <si>
    <t>جيش عقائدي</t>
  </si>
  <si>
    <t>ن زعة عقائدية</t>
  </si>
  <si>
    <t>مبدأ أو عقيدة</t>
  </si>
  <si>
    <t>هجرة غير قانونية</t>
  </si>
  <si>
    <t>حرب غير مشروعة</t>
  </si>
  <si>
    <t>وقف فوري لإطلاق النار</t>
  </si>
  <si>
    <t>حصانات</t>
  </si>
  <si>
    <t>لجنة دبلوماسية غير متحي زة</t>
  </si>
  <si>
    <t>عدم التحي ز بالرأي</t>
  </si>
  <si>
    <t>استعمار</t>
  </si>
  <si>
    <t>م مستعمر</t>
  </si>
  <si>
    <t>سيطرة الاستعمار</t>
  </si>
  <si>
    <t>توس ع استعماري</t>
  </si>
  <si>
    <t>ع قلية استعمارية</t>
  </si>
  <si>
    <t>ن زعة استعمارية</t>
  </si>
  <si>
    <t>تنفيذ السياسة الخارجية</t>
  </si>
  <si>
    <t>سلطة ضمنية</t>
  </si>
  <si>
    <t>يفرض الواجبات السياسية</t>
  </si>
  <si>
    <t>يفرض السلطة السياسية</t>
  </si>
  <si>
    <t>يفرض السلطة</t>
  </si>
  <si>
    <t>الالتزامات المفروضة على</t>
  </si>
  <si>
    <t>الدول</t>
  </si>
  <si>
    <t>قيود إلزامية</t>
  </si>
  <si>
    <t>تعابير دبلوماسية غير لائقة</t>
  </si>
  <si>
    <t>قيد التداول</t>
  </si>
  <si>
    <t>احتفال التدشين</t>
  </si>
  <si>
    <t>كلمة الافتتاح</t>
  </si>
  <si>
    <t>يمحر ض على الإخلال بالنظام</t>
  </si>
  <si>
    <t>يمحر ض على الحرب</t>
  </si>
  <si>
    <t>استقلال</t>
  </si>
  <si>
    <t>مدن مستقلة</t>
  </si>
  <si>
    <t>منبر الصحافة الحرة</t>
  </si>
  <si>
    <t>دولة مستقلة</t>
  </si>
  <si>
    <t>سخط الرأي العام</t>
  </si>
  <si>
    <t>حري ات فردية</t>
  </si>
  <si>
    <t>منطقة نفوذ</t>
  </si>
  <si>
    <t>اجتماع غير رسمي</t>
  </si>
  <si>
    <t>أوساط مطلعة</t>
  </si>
  <si>
    <t>ينقض العهد</t>
  </si>
  <si>
    <t>ينتهك شروط الحياد</t>
  </si>
  <si>
    <t>ي نتهك ال حرمات</t>
  </si>
  <si>
    <t>يمخالف الأنظمة</t>
  </si>
  <si>
    <t>ي نقض المعاهدة</t>
  </si>
  <si>
    <t>معاملة غي إنسانية للسجناء</t>
  </si>
  <si>
    <t>م مبادرة للسلام</t>
  </si>
  <si>
    <t>تكامل الوقائع السياسية</t>
  </si>
  <si>
    <t>تكامل المجتمع السياسي</t>
  </si>
  <si>
    <t>إدارة المخابرات</t>
  </si>
  <si>
    <t>قوات الأمن السري</t>
  </si>
  <si>
    <t>المخابرات</t>
  </si>
  <si>
    <t>م مفاوضات مكثفة</t>
  </si>
  <si>
    <t>تواصل بين الشعوب</t>
  </si>
  <si>
    <t>ترابط استراتيجي</t>
  </si>
  <si>
    <t>مؤتمرات مشتركة بين</t>
  </si>
  <si>
    <t>الحكومات</t>
  </si>
  <si>
    <t>م محادثات تمهيدية</t>
  </si>
  <si>
    <t>توجيهات داخلية</t>
  </si>
  <si>
    <t>سيادة داخلية</t>
  </si>
  <si>
    <t>محكمة العدل الدولية العليا</t>
  </si>
  <si>
    <t>شؤون دولية</t>
  </si>
  <si>
    <t>قوات الإغاثة الدولية</t>
  </si>
  <si>
    <t>اللجنة الدولية للإغاثة</t>
  </si>
  <si>
    <t>منظمة العفو الدولية</t>
  </si>
  <si>
    <t>فتور دولي</t>
  </si>
  <si>
    <t>ح كم دولي</t>
  </si>
  <si>
    <t>تحكيم دولي</t>
  </si>
  <si>
    <t>إجراءات التحكيم الدولية</t>
  </si>
  <si>
    <t>محاكم التحكيم الدولية</t>
  </si>
  <si>
    <t>إجراءات دولية</t>
  </si>
  <si>
    <t>الوكالة الدولية للطاقة الذر ية</t>
  </si>
  <si>
    <t>اللجنة الدولية للطاقة الذرية</t>
  </si>
  <si>
    <t>هجمة دولية</t>
  </si>
  <si>
    <t>مهام المراكز الدولية</t>
  </si>
  <si>
    <t>أوساط دولية</t>
  </si>
  <si>
    <t>أوامر دولية</t>
  </si>
  <si>
    <t>تعه د دولي</t>
  </si>
  <si>
    <t>لجنة دولية</t>
  </si>
  <si>
    <t>المجتمع الدولي أو الأسرة</t>
  </si>
  <si>
    <t>تور ط دولي في الأحداث</t>
  </si>
  <si>
    <t>قلق دولي</t>
  </si>
  <si>
    <t>تنازلات دولية</t>
  </si>
  <si>
    <t>إدانة دولية</t>
  </si>
  <si>
    <t>مؤتمر دولي</t>
  </si>
  <si>
    <t>أسباب النزاعات الدولية</t>
  </si>
  <si>
    <t>المؤتمر الدولي للسلام</t>
  </si>
  <si>
    <t>المؤتمر الدولي لحفظ السلام</t>
  </si>
  <si>
    <t>المؤتمر الدولي لدعم السلام</t>
  </si>
  <si>
    <t>اتفاقيات دولية</t>
  </si>
  <si>
    <t>تعاون دولي</t>
  </si>
  <si>
    <t>فساد دولي</t>
  </si>
  <si>
    <t>محكمة دولية</t>
  </si>
  <si>
    <t>المنظمة الدولية للشرطة</t>
  </si>
  <si>
    <t>الجنائية</t>
  </si>
  <si>
    <t>عرف دولي</t>
  </si>
  <si>
    <t>ردة فعل دبلوماسية دولية</t>
  </si>
  <si>
    <t>ن زاعات  خلافات دولية</t>
  </si>
  <si>
    <t>توازن دولي</t>
  </si>
  <si>
    <t>تواجد على الساحة الدولية</t>
  </si>
  <si>
    <t>خبير دولي</t>
  </si>
  <si>
    <t>قو ات دولية</t>
  </si>
  <si>
    <t>القوا ت الدولية لحفظ السلام</t>
  </si>
  <si>
    <t>محكمة ميدانية دولية</t>
  </si>
  <si>
    <t>إطار دولي</t>
  </si>
  <si>
    <t>القوات الإنسانية الدولية</t>
  </si>
  <si>
    <t>مؤسسات دولية</t>
  </si>
  <si>
    <t>الشبكة الدولية للمخابرات</t>
  </si>
  <si>
    <t>تدخل دولي</t>
  </si>
  <si>
    <t>فريق التدخل  الدولي</t>
  </si>
  <si>
    <t>تحقيق أو استقصاء دولي</t>
  </si>
  <si>
    <t>لجنة التحقيق الدولية</t>
  </si>
  <si>
    <t>مكتب التحقيقات الدولي</t>
  </si>
  <si>
    <t>ع زلة دولية</t>
  </si>
  <si>
    <t>تدابير قانونية دولية</t>
  </si>
  <si>
    <t>شرعية دولية</t>
  </si>
  <si>
    <t>وساطة دولية</t>
  </si>
  <si>
    <t>فريق الوساطة الدولية</t>
  </si>
  <si>
    <t>سوء ت فاهم دولي</t>
  </si>
  <si>
    <t>التزامات دولية</t>
  </si>
  <si>
    <t>منظمات دولية</t>
  </si>
  <si>
    <t>مواثيق دولية</t>
  </si>
  <si>
    <t>م مخطط دولي</t>
  </si>
  <si>
    <t>شرطة دولية</t>
  </si>
  <si>
    <t>المصالح السياسية الدولية</t>
  </si>
  <si>
    <t>م مخطط سياسي دولي</t>
  </si>
  <si>
    <t>ضغوط دولية</t>
  </si>
  <si>
    <t>تدابير احترازية دولية</t>
  </si>
  <si>
    <t>حظر دولي</t>
  </si>
  <si>
    <t>اعتراف دولي</t>
  </si>
  <si>
    <t>ميثاق المصالحة الدولية</t>
  </si>
  <si>
    <t>علاقات دولية</t>
  </si>
  <si>
    <t>قانون العلاقات الدولية</t>
  </si>
  <si>
    <t>قرارات دولية</t>
  </si>
  <si>
    <t>مسؤولية دولية</t>
  </si>
  <si>
    <t>م منافسة دولية</t>
  </si>
  <si>
    <t>صدمة عالمية</t>
  </si>
  <si>
    <t>تضامن دولي</t>
  </si>
  <si>
    <t>علاقات التضامن الدولي</t>
  </si>
  <si>
    <t>سيادة دولية</t>
  </si>
  <si>
    <t>إشراف دولي</t>
  </si>
  <si>
    <t>دعم دولي</t>
  </si>
  <si>
    <t>ندوة دولية</t>
  </si>
  <si>
    <t>اتفاقيات المرور الدولية</t>
  </si>
  <si>
    <t>تفاهم دولي</t>
  </si>
  <si>
    <t>رغبة دولية</t>
  </si>
  <si>
    <t>الوضع السياسي الدولي</t>
  </si>
  <si>
    <t>تدويل</t>
  </si>
  <si>
    <t>استجواب الوزراء أو النواب</t>
  </si>
  <si>
    <t>بوليس   شرطة  دولي</t>
  </si>
  <si>
    <t>تفسير القانون الدولي</t>
  </si>
  <si>
    <t>تدخ ل الدول الغربية</t>
  </si>
  <si>
    <t>يقتحم صفوف العدو</t>
  </si>
  <si>
    <t>يملغي الاقتراع</t>
  </si>
  <si>
    <t>اجتياح المدن</t>
  </si>
  <si>
    <t>م مفو ض بالسلطة</t>
  </si>
  <si>
    <t>حرمة المسكن</t>
  </si>
  <si>
    <t>عدم انتهاك الحري ات</t>
  </si>
  <si>
    <t>تور ط في الحرب</t>
  </si>
  <si>
    <t>دولة معزولة</t>
  </si>
  <si>
    <t>عزل السجناء السياسيين</t>
  </si>
  <si>
    <t>يمصدر تكذيبا في الإذاعة</t>
  </si>
  <si>
    <t>يمصدر تكذيبا في الصحف</t>
  </si>
  <si>
    <t>يمشو ش على الإرسال الإذاعي</t>
  </si>
  <si>
    <t>ينضم إلى تحالف</t>
  </si>
  <si>
    <t>م مشاورات دبلوماسية</t>
  </si>
  <si>
    <t>مشتركة</t>
  </si>
  <si>
    <t>نداء مشترك</t>
  </si>
  <si>
    <t>سلطة مشتركة</t>
  </si>
  <si>
    <t>بيان دبلوماسي مشترك</t>
  </si>
  <si>
    <t>نداء دولي مشترك لأجل السلام</t>
  </si>
  <si>
    <t>قو ات دولية مشتركة</t>
  </si>
  <si>
    <t>اجتماع مشترك</t>
  </si>
  <si>
    <t>م مفاوضات مشتركة</t>
  </si>
  <si>
    <t>جهود مشتركة لأجل السلام</t>
  </si>
  <si>
    <t>قرار مشترك</t>
  </si>
  <si>
    <t>جلسة مشتركة</t>
  </si>
  <si>
    <t>نداء مشترك من الدول</t>
  </si>
  <si>
    <t>المستقلة</t>
  </si>
  <si>
    <t>صحفي</t>
  </si>
  <si>
    <t>شريعة الغاب</t>
  </si>
  <si>
    <t>قانون الشعوب</t>
  </si>
  <si>
    <t>تبرير الأحداث السياسية</t>
  </si>
  <si>
    <t>تبرير الوقائع السياسية</t>
  </si>
  <si>
    <t>اختطاف</t>
  </si>
  <si>
    <t>الميدان البر ي للحرب</t>
  </si>
  <si>
    <t>الأرض مقابل السلام</t>
  </si>
  <si>
    <t>اتفاق الأرض مقابل السلام</t>
  </si>
  <si>
    <t>طرق برية</t>
  </si>
  <si>
    <t>استيطان الأرض</t>
  </si>
  <si>
    <t>حرب بر ية</t>
  </si>
  <si>
    <t>سلام دائم</t>
  </si>
  <si>
    <t>القوانين العرفية للحروب</t>
  </si>
  <si>
    <t>السلطة ا لمشر عة</t>
  </si>
  <si>
    <t>قانون حماية المعلومات</t>
  </si>
  <si>
    <t>يتقد بشكوى</t>
  </si>
  <si>
    <t>قائد الحركة الشعبية</t>
  </si>
  <si>
    <t>قيادة  زعامة</t>
  </si>
  <si>
    <t>مفهوم القيادة</t>
  </si>
  <si>
    <t>حزب قائد</t>
  </si>
  <si>
    <t>نشرة صغيرة</t>
  </si>
  <si>
    <t>عصبة الأمم</t>
  </si>
  <si>
    <t>يساري</t>
  </si>
  <si>
    <t>أحزاب اليسار</t>
  </si>
  <si>
    <t>حزب يساري</t>
  </si>
  <si>
    <t>تمييز من الناحية القانونية</t>
  </si>
  <si>
    <t>إجراءات قانونية</t>
  </si>
  <si>
    <t>وثيقة قانونية</t>
  </si>
  <si>
    <t>حكومة شرعية</t>
  </si>
  <si>
    <t>اعتراف قانوني</t>
  </si>
  <si>
    <t>المتطل بات الشرعية للدول</t>
  </si>
  <si>
    <t>حقوق شرعية</t>
  </si>
  <si>
    <t>الوضع القانوني للأجانب</t>
  </si>
  <si>
    <t>يمعلن شرعية القرار</t>
  </si>
  <si>
    <t>مجلس تشريعي</t>
  </si>
  <si>
    <t>الهيئة التشريعية</t>
  </si>
  <si>
    <t>مرسوم تشريعي</t>
  </si>
  <si>
    <t>انتخابات تشريعية</t>
  </si>
  <si>
    <t>م مهمة تشريعية</t>
  </si>
  <si>
    <t>سلطة التشريع</t>
  </si>
  <si>
    <t>شرعية القوانين الدولية</t>
  </si>
  <si>
    <t>مقاومة مشروعة</t>
  </si>
  <si>
    <t>دفاع مشروع عن النفس</t>
  </si>
  <si>
    <t>كتاب تأكيد</t>
  </si>
  <si>
    <t>كتاب الاعتماد الدبلوماسي</t>
  </si>
  <si>
    <t>مكتب الارتباط</t>
  </si>
  <si>
    <t>ضابط الارتباط</t>
  </si>
  <si>
    <t>حزب ليبرالي</t>
  </si>
  <si>
    <t>دولة ليبرالية</t>
  </si>
  <si>
    <t>ليبرالية أو مذهب الأحرار</t>
  </si>
  <si>
    <t>يمحر ر الأسرى</t>
  </si>
  <si>
    <t>تحرير</t>
  </si>
  <si>
    <t>تحرير الأسرى</t>
  </si>
  <si>
    <t>تحرير السجناء السياسيين</t>
  </si>
  <si>
    <t>معارك التحرير</t>
  </si>
  <si>
    <t>حركات التحرير</t>
  </si>
  <si>
    <t>حرية  استقلالية</t>
  </si>
  <si>
    <t>مفهوم الحرية</t>
  </si>
  <si>
    <t>ح رية التص ف</t>
  </si>
  <si>
    <t>حرية الحكم الذاتي</t>
  </si>
  <si>
    <t>حرية ا لمعتقدات الدينية</t>
  </si>
  <si>
    <t>حرية المواطنين تجاه القانون</t>
  </si>
  <si>
    <t>ح رية الاتصالات</t>
  </si>
  <si>
    <t>حرية التبادل الثقافي</t>
  </si>
  <si>
    <t>حرية الدخول إلى دولة</t>
  </si>
  <si>
    <t>ح رية التعبير عن الرأي</t>
  </si>
  <si>
    <t>حرية عقائدية</t>
  </si>
  <si>
    <t>ح رية الصحافة والإعلام</t>
  </si>
  <si>
    <t>حرية التحر ك</t>
  </si>
  <si>
    <t>حرية المشاركة في السلطة</t>
  </si>
  <si>
    <t>حرية المرور</t>
  </si>
  <si>
    <t>حرية الاحتجاج</t>
  </si>
  <si>
    <t>حرية تقرير المصير</t>
  </si>
  <si>
    <t>حرية الكلام والكتابة</t>
  </si>
  <si>
    <t>حر ية الانتخاب</t>
  </si>
  <si>
    <t>الحد  من التسل ح</t>
  </si>
  <si>
    <t>الحد  من الأسلحة الذرية</t>
  </si>
  <si>
    <t>الحد  من العمليات العسكرية</t>
  </si>
  <si>
    <t>الحد  من الأسلحة النووية</t>
  </si>
  <si>
    <t>قائمة الناخبين</t>
  </si>
  <si>
    <t>دروع بشرية</t>
  </si>
  <si>
    <t>سلطة محل ية</t>
  </si>
  <si>
    <t>حظر الإقامة</t>
  </si>
  <si>
    <t>حكومة محلية</t>
  </si>
  <si>
    <t>قانون محل ي</t>
  </si>
  <si>
    <t>إعلام محل ي</t>
  </si>
  <si>
    <t>تدابير احترازية محلية</t>
  </si>
  <si>
    <t>توقف طويل الأمد للقتال</t>
  </si>
  <si>
    <t>سياسة بعيدة المدى</t>
  </si>
  <si>
    <t>مدينة لم يسبق اقتحامها</t>
  </si>
  <si>
    <t>النقاط الرئيسية في</t>
  </si>
  <si>
    <t>المفاوضات</t>
  </si>
  <si>
    <t>حليف رئيسي</t>
  </si>
  <si>
    <t>لجنة أركان حرب</t>
  </si>
  <si>
    <t>العامل الرئيسي للاستقرار</t>
  </si>
  <si>
    <t>قوى دولية عظمى</t>
  </si>
  <si>
    <t>أغلب ية</t>
  </si>
  <si>
    <t>حصة الأغلبية</t>
  </si>
  <si>
    <t>رأي الأغلبية</t>
  </si>
  <si>
    <t>سلطة الأغلبية</t>
  </si>
  <si>
    <t>تصويت بالأغلبية</t>
  </si>
  <si>
    <t>يمقدم التنازلات</t>
  </si>
  <si>
    <t>انتداب</t>
  </si>
  <si>
    <t>لجنة الانتدابات</t>
  </si>
  <si>
    <t>تفويض بالتصويت</t>
  </si>
  <si>
    <t>دولة تحت الانتداب</t>
  </si>
  <si>
    <t>يمظهر التحي ز</t>
  </si>
  <si>
    <t>تظاهرات</t>
  </si>
  <si>
    <t>يتلاعب بالانتخابات</t>
  </si>
  <si>
    <t>ي تلاعب بمصير الشعوب</t>
  </si>
  <si>
    <t>حصار بحري</t>
  </si>
  <si>
    <t>مجلس عرفي</t>
  </si>
  <si>
    <t>محكمة عرفية</t>
  </si>
  <si>
    <t>قانون الأحوال العرفية</t>
  </si>
  <si>
    <t>استشهاد</t>
  </si>
  <si>
    <t>شهداء</t>
  </si>
  <si>
    <t>دمار شامل</t>
  </si>
  <si>
    <t>إعلام جماهيري</t>
  </si>
  <si>
    <t>اجتماع جماهيري</t>
  </si>
  <si>
    <t>هجوم عسكري كثيف</t>
  </si>
  <si>
    <t>حركة جماهيرية</t>
  </si>
  <si>
    <t>مدير التشريفات</t>
  </si>
  <si>
    <t>دعم مادي</t>
  </si>
  <si>
    <t>محافظ</t>
  </si>
  <si>
    <t>آلية عمل الأحزاب السياسية</t>
  </si>
  <si>
    <t>مبدأ الميكيافلية   أي الخداع</t>
  </si>
  <si>
    <t>دور وسائل الإعلام</t>
  </si>
  <si>
    <t>وسائل الإعلام</t>
  </si>
  <si>
    <t>وسائل النشر والدعاية</t>
  </si>
  <si>
    <t>وقائع تاريخية مشهودة</t>
  </si>
  <si>
    <t>م مذكرة بوقائع الاجتماع</t>
  </si>
  <si>
    <t>لوحة تذكارية</t>
  </si>
  <si>
    <t>يوم تاريخي</t>
  </si>
  <si>
    <t>أحداث سياسية مشهودة</t>
  </si>
  <si>
    <t>جلسة تذكارية</t>
  </si>
  <si>
    <t>استحقاق المنصب</t>
  </si>
  <si>
    <t>أساليب تعذيب السجناء</t>
  </si>
  <si>
    <t>الشرق الأوسط</t>
  </si>
  <si>
    <t>أزمة الشرق الأوسط</t>
  </si>
  <si>
    <t>حكومة عسكرية</t>
  </si>
  <si>
    <t>م ملحق عسكري</t>
  </si>
  <si>
    <t>قو ة عسكرية</t>
  </si>
  <si>
    <t>استعراض القو ات العسكرية</t>
  </si>
  <si>
    <t>تعزيزات عسكرية</t>
  </si>
  <si>
    <t>احتلال عسكري</t>
  </si>
  <si>
    <t>عدوان عسكري</t>
  </si>
  <si>
    <t>عمليات عسكرية</t>
  </si>
  <si>
    <t>ميدان العمليات العسكرية</t>
  </si>
  <si>
    <t>شرطة عسكرية</t>
  </si>
  <si>
    <t>سلطة عسكرية</t>
  </si>
  <si>
    <t>تف وق عسكري</t>
  </si>
  <si>
    <t>عصيان عسكري</t>
  </si>
  <si>
    <t>علاقات عسكرية</t>
  </si>
  <si>
    <t>عقوبات عسكرية</t>
  </si>
  <si>
    <t>الوضع العسكري</t>
  </si>
  <si>
    <t>دعم عسكري</t>
  </si>
  <si>
    <t>هيمنة عسكرية</t>
  </si>
  <si>
    <t>أهداف عسكرية</t>
  </si>
  <si>
    <t>تهديدات عسكرية</t>
  </si>
  <si>
    <t>اتفاقية عسكرية</t>
  </si>
  <si>
    <t>وحدات عسكرية</t>
  </si>
  <si>
    <t>اتحاد عسكري</t>
  </si>
  <si>
    <t>حقل ألغام</t>
  </si>
  <si>
    <t>وزير</t>
  </si>
  <si>
    <t>عدم استقرار وزاري</t>
  </si>
  <si>
    <t>امتيازات وزارية</t>
  </si>
  <si>
    <t>وزيرة</t>
  </si>
  <si>
    <t>وزارة</t>
  </si>
  <si>
    <t>أزمة وزارية</t>
  </si>
  <si>
    <t>وزارة الزراعة</t>
  </si>
  <si>
    <t>وزارة الطيران</t>
  </si>
  <si>
    <t>وزارة التجارة</t>
  </si>
  <si>
    <t>وزارة الاتصالات</t>
  </si>
  <si>
    <t>وزارة الدفاع</t>
  </si>
  <si>
    <t>وزارة التربية</t>
  </si>
  <si>
    <t>وزارة الكهرباء</t>
  </si>
  <si>
    <t>وزارة البيئة</t>
  </si>
  <si>
    <t>وزارة ا لمغتربين</t>
  </si>
  <si>
    <t>وزارة الشؤون الخارجية</t>
  </si>
  <si>
    <t>وزارة التجارة الخارجية</t>
  </si>
  <si>
    <t>وزارة المالية</t>
  </si>
  <si>
    <t>وزارة الصحة</t>
  </si>
  <si>
    <t>وزارة التعليم العالي</t>
  </si>
  <si>
    <t>وزارة الصناعة</t>
  </si>
  <si>
    <t>وزارة الإعلام</t>
  </si>
  <si>
    <t>وزارة الداخلية</t>
  </si>
  <si>
    <t>وزارة العدل</t>
  </si>
  <si>
    <t>وزارة العمل</t>
  </si>
  <si>
    <t>وزارة الإدارة المحل ية</t>
  </si>
  <si>
    <t>وزارة الاقتصاد القومي</t>
  </si>
  <si>
    <t>وزارة الإرشاد القومي</t>
  </si>
  <si>
    <t>وزارة النفط والموارد المعدنية</t>
  </si>
  <si>
    <t>وزارة التخطيط</t>
  </si>
  <si>
    <t>وزارة الأشغال العامة</t>
  </si>
  <si>
    <t>وزارة الشؤون الاجتماعية</t>
  </si>
  <si>
    <t>وزارة التموين</t>
  </si>
  <si>
    <t>وزارة السياحة</t>
  </si>
  <si>
    <t>وزارة النقل</t>
  </si>
  <si>
    <t>وزارة حرب</t>
  </si>
  <si>
    <t>أقل يات</t>
  </si>
  <si>
    <t>مصلحة الأقليات</t>
  </si>
  <si>
    <t>تمثيل الأقليات</t>
  </si>
  <si>
    <t>دقيقة صمت</t>
  </si>
  <si>
    <t>محض  بوقائع الاجتماع</t>
  </si>
  <si>
    <t>سوء تطبيق القانون الدولي</t>
  </si>
  <si>
    <t>فشل في تطبيق العدالة</t>
  </si>
  <si>
    <t>سوء فهم السياسة الدولية</t>
  </si>
  <si>
    <t>لجنة دبلوماسية مشتركة</t>
  </si>
  <si>
    <t>إنذار كاذب</t>
  </si>
  <si>
    <t>موقف دبلوماسي معتدل</t>
  </si>
  <si>
    <t>سياسة معتدلة</t>
  </si>
  <si>
    <t>اعتدال الآراء الدبلوماسية</t>
  </si>
  <si>
    <t>اعتدال الآراء السياسية</t>
  </si>
  <si>
    <t>حاكم عاهل</t>
  </si>
  <si>
    <t>نظام لكي</t>
  </si>
  <si>
    <t>يموج ه الأحداث السياسية</t>
  </si>
  <si>
    <t>يحتكر السلطات السياسية</t>
  </si>
  <si>
    <t>يحتكر السلطة</t>
  </si>
  <si>
    <t>احتكار</t>
  </si>
  <si>
    <t>احتكار وسائل الأعلام</t>
  </si>
  <si>
    <t>احتكار النشاطات السياسية</t>
  </si>
  <si>
    <t>احتكار السلطات</t>
  </si>
  <si>
    <t>انتهاك الحرمات</t>
  </si>
  <si>
    <t>حقوق معنوية</t>
  </si>
  <si>
    <t>الوطن الأم   بلد سقط</t>
  </si>
  <si>
    <t>الرأس</t>
  </si>
  <si>
    <t>م ي ثير النقاشات</t>
  </si>
  <si>
    <t>تعد د الأقطاب</t>
  </si>
  <si>
    <t>معاهدة متعددة الأطراف</t>
  </si>
  <si>
    <t>قو ات متعددة الجنسيات</t>
  </si>
  <si>
    <t>تمثيل برلماني متعد د الأطراف</t>
  </si>
  <si>
    <t>تمثيل متعدد الأطراف</t>
  </si>
  <si>
    <t>م مساعدة متبادلة بين الدول</t>
  </si>
  <si>
    <t>الثقة المتبادلة بين الدول</t>
  </si>
  <si>
    <t>دفاع متبادل</t>
  </si>
  <si>
    <t>ميثاق للدفاع المشترك</t>
  </si>
  <si>
    <t>اعتراف دبلوماسي متبادل</t>
  </si>
  <si>
    <t>التعاون المتبادل بين الدو ل</t>
  </si>
  <si>
    <t>الاحترام المتبادل بين الدول</t>
  </si>
  <si>
    <t>تفاهم مشترك بين الدول</t>
  </si>
  <si>
    <t>مبدأ تبادل المنفعة</t>
  </si>
  <si>
    <t>حقائق سياسية عارية</t>
  </si>
  <si>
    <t>أمة</t>
  </si>
  <si>
    <t>كرامة الأمة</t>
  </si>
  <si>
    <t>النشيط الوطني</t>
  </si>
  <si>
    <t>جمعية وطنية</t>
  </si>
  <si>
    <t>لجنة المصالحة الوطنية</t>
  </si>
  <si>
    <t>محكمة وطنية</t>
  </si>
  <si>
    <t>اقتصاد قومي</t>
  </si>
  <si>
    <t>الع لم الوطني</t>
  </si>
  <si>
    <t>قو ات وطنية</t>
  </si>
  <si>
    <t>حرس وطني</t>
  </si>
  <si>
    <t>الدخل القومي</t>
  </si>
  <si>
    <t>السلامة الإقليمية</t>
  </si>
  <si>
    <t>ولاء قومي</t>
  </si>
  <si>
    <t>الاحتياجات القومية</t>
  </si>
  <si>
    <t>حزب وطني</t>
  </si>
  <si>
    <t>مخطط قومي</t>
  </si>
  <si>
    <t>م متطلبات قومية</t>
  </si>
  <si>
    <t>م مقاومة وطنية</t>
  </si>
  <si>
    <t>موارد قومية</t>
  </si>
  <si>
    <t>السيادة الوطنية</t>
  </si>
  <si>
    <t>ن زاعات السيادة الوطنية</t>
  </si>
  <si>
    <t>وحدة وطنية</t>
  </si>
  <si>
    <t>ثروة قومية</t>
  </si>
  <si>
    <t>قوم ية</t>
  </si>
  <si>
    <t>جنس ية</t>
  </si>
  <si>
    <t>قانون الجنسية</t>
  </si>
  <si>
    <t>تأميم الاستثمارات الأجنبية</t>
  </si>
  <si>
    <t>م مواط نة بموجب الولادة</t>
  </si>
  <si>
    <t>مذهب الطبيعيين</t>
  </si>
  <si>
    <t>ع قلية نازية</t>
  </si>
  <si>
    <t>نازية</t>
  </si>
  <si>
    <t>الشرق الأدنى</t>
  </si>
  <si>
    <t>موقف دبلوماسي سلبي</t>
  </si>
  <si>
    <t>نقاط سلبية في المباحثات</t>
  </si>
  <si>
    <t>سلبيات في التقرير</t>
  </si>
  <si>
    <t>قطب سياسي سلبي</t>
  </si>
  <si>
    <t>دور سياسي سلبي</t>
  </si>
  <si>
    <t>حق  سلبي</t>
  </si>
  <si>
    <t>يمفاوض على السلام</t>
  </si>
  <si>
    <t>م مفاوضات</t>
  </si>
  <si>
    <t>المفاوضات جارية</t>
  </si>
  <si>
    <t>م مفاوضات على قدم المساواة</t>
  </si>
  <si>
    <t>م مفاوضات على المستوى</t>
  </si>
  <si>
    <t>المحلي</t>
  </si>
  <si>
    <t>م مفاوضات على مستوى</t>
  </si>
  <si>
    <t>السفراء</t>
  </si>
  <si>
    <t>الدولي</t>
  </si>
  <si>
    <t>استراتيجية المفاوضات</t>
  </si>
  <si>
    <t>م مفاوض</t>
  </si>
  <si>
    <t>علاقات الجوار</t>
  </si>
  <si>
    <t>حيادي</t>
  </si>
  <si>
    <t>محور حيادي</t>
  </si>
  <si>
    <t>سياسة محايدة</t>
  </si>
  <si>
    <t>موقف سياسي محايد</t>
  </si>
  <si>
    <t>قطب سياسي محايد</t>
  </si>
  <si>
    <t>دور سياسي محايد</t>
  </si>
  <si>
    <t>دولة محايدة</t>
  </si>
  <si>
    <t>منطقة محايدة</t>
  </si>
  <si>
    <t>حياد</t>
  </si>
  <si>
    <t>أفاق جديدة في العلاقات</t>
  </si>
  <si>
    <t>م مقتضيات النبالة</t>
  </si>
  <si>
    <t>يمرشح لمنصب دبلوماسي</t>
  </si>
  <si>
    <t>ميثاق بعدم الاعتداء</t>
  </si>
  <si>
    <t>عدم الانحياز</t>
  </si>
  <si>
    <t>سياسة عدم التشد د</t>
  </si>
  <si>
    <t>عدم التوافق مع القوانين</t>
  </si>
  <si>
    <t>عدم التقيد بالسلوك</t>
  </si>
  <si>
    <t>عدم التمييز العنص ي</t>
  </si>
  <si>
    <t>أعضاء غير منتخبين</t>
  </si>
  <si>
    <t>تصويت غير منصف</t>
  </si>
  <si>
    <t>عدم التدخ ل</t>
  </si>
  <si>
    <t>لا اعتراض</t>
  </si>
  <si>
    <t>عدم مراعاة القانون الدولي</t>
  </si>
  <si>
    <t>عضو غير دائم</t>
  </si>
  <si>
    <t>عدم المقاومة</t>
  </si>
  <si>
    <t>عدم توافق الآراء السياسية</t>
  </si>
  <si>
    <t>أسلحة نووية</t>
  </si>
  <si>
    <t>انفجار نووي</t>
  </si>
  <si>
    <t>اعتراض</t>
  </si>
  <si>
    <t>اعتراض على الإجراءات</t>
  </si>
  <si>
    <t>اعتراض مرفوض</t>
  </si>
  <si>
    <t>اعتراض مقبول</t>
  </si>
  <si>
    <t>مراعاة العلاقات الودية بين</t>
  </si>
  <si>
    <t>مراعاة قواعد السلام</t>
  </si>
  <si>
    <t>ع قبات أمام عملية السلام</t>
  </si>
  <si>
    <t>يمعرقل الإجراءات</t>
  </si>
  <si>
    <t>يحصل على الاستقلال</t>
  </si>
  <si>
    <t>يحصل على تمديد مهلة</t>
  </si>
  <si>
    <t>قانونية</t>
  </si>
  <si>
    <t>دول الغرب</t>
  </si>
  <si>
    <t>جيش الاحتلال</t>
  </si>
  <si>
    <t>قو ات الاحتلال</t>
  </si>
  <si>
    <t>أراضي محتلة</t>
  </si>
  <si>
    <t>منطقة محتلة</t>
  </si>
  <si>
    <t>شهادة عيان</t>
  </si>
  <si>
    <t>تحالف هجومي</t>
  </si>
  <si>
    <t>أسلحة هجومية</t>
  </si>
  <si>
    <t>وقف رسمي للقتال</t>
  </si>
  <si>
    <t>طرق رسمية</t>
  </si>
  <si>
    <t>منشور رسمي</t>
  </si>
  <si>
    <t>موعد دبلوماسي رسمي</t>
  </si>
  <si>
    <t>تأكيد دبلوماسي رسمي</t>
  </si>
  <si>
    <t>وثيقة رسمية</t>
  </si>
  <si>
    <t>الجريدة الرسمية</t>
  </si>
  <si>
    <t>اللغة الرسمية</t>
  </si>
  <si>
    <t>اجتماع رسمي</t>
  </si>
  <si>
    <t>اعتراف رسمي</t>
  </si>
  <si>
    <t>علاقات رسمية</t>
  </si>
  <si>
    <t>ناطق رسمي</t>
  </si>
  <si>
    <t>بيان رسمي</t>
  </si>
  <si>
    <t>دعم رسمي</t>
  </si>
  <si>
    <t>م محادثات رسمية</t>
  </si>
  <si>
    <t>زيارة رسمية</t>
  </si>
  <si>
    <t>بالشكل الرسمي</t>
  </si>
  <si>
    <t>حكم الأقل ية</t>
  </si>
  <si>
    <t>بصفة استشارية</t>
  </si>
  <si>
    <t>لدى التطبيق</t>
  </si>
  <si>
    <t>لدى الموافقة</t>
  </si>
  <si>
    <t>بالنيابة عن زملائي</t>
  </si>
  <si>
    <t>نظام الحزب الواحد</t>
  </si>
  <si>
    <t>يفتح الحدود بين الدول</t>
  </si>
  <si>
    <t>دبلوماسية منفتحة</t>
  </si>
  <si>
    <t>م مناقشات مفتوحة</t>
  </si>
  <si>
    <t>سياسة الباب المفتوح</t>
  </si>
  <si>
    <t>منبر حر</t>
  </si>
  <si>
    <t>اجتماع مفتوح</t>
  </si>
  <si>
    <t>جلسة مفتوحة</t>
  </si>
  <si>
    <t>جلسة افتتاح احتفالية</t>
  </si>
  <si>
    <t>افتتاح الجلسة</t>
  </si>
  <si>
    <t>جلسة افتتاحية</t>
  </si>
  <si>
    <t>انتهازية</t>
  </si>
  <si>
    <t>يعترض بالفيتو</t>
  </si>
  <si>
    <t>إذاعة المعارضة</t>
  </si>
  <si>
    <t>سياسة المعارضة</t>
  </si>
  <si>
    <t>م معارض</t>
  </si>
  <si>
    <t>طبقة مضطهدة</t>
  </si>
  <si>
    <t>أقلية مضطهدة</t>
  </si>
  <si>
    <t>أحزاب مضطهدة</t>
  </si>
  <si>
    <t>شعوب مضطهدة</t>
  </si>
  <si>
    <t>اضطهاد  قمع</t>
  </si>
  <si>
    <t>حق  الاختيار</t>
  </si>
  <si>
    <t>بيان سياسي شفوي</t>
  </si>
  <si>
    <t>وسام الاستحقاق</t>
  </si>
  <si>
    <t>أوامر حتى إشعار آخر</t>
  </si>
  <si>
    <t>أعضاء السلطة</t>
  </si>
  <si>
    <t>من باب المجاملة</t>
  </si>
  <si>
    <t>نتائج المباحثات الدبلوماسية</t>
  </si>
  <si>
    <t>تفو ق بالأصوات الانتخابية</t>
  </si>
  <si>
    <t>يتجاوز العقبات السياسية</t>
  </si>
  <si>
    <t>أغلبية ساحقة</t>
  </si>
  <si>
    <t>حصار سلمي</t>
  </si>
  <si>
    <t>تعايش مسالم</t>
  </si>
  <si>
    <t>ميثاق  معاهدة</t>
  </si>
  <si>
    <t>قائمة المرشحين</t>
  </si>
  <si>
    <t>حرب ورقية</t>
  </si>
  <si>
    <t>سلطة سامية</t>
  </si>
  <si>
    <t>مجلس نيابي</t>
  </si>
  <si>
    <t>م مداولات المجلس النيابي</t>
  </si>
  <si>
    <t>عضو في المجلس النيابي</t>
  </si>
  <si>
    <t>غرف برلمانية</t>
  </si>
  <si>
    <t>انتخابات برلمانية</t>
  </si>
  <si>
    <t>حصانة برلمانية</t>
  </si>
  <si>
    <t>أغلبية برلمانية</t>
  </si>
  <si>
    <t>تمثيل برلماني</t>
  </si>
  <si>
    <t>جلسة برلمانية</t>
  </si>
  <si>
    <t>جدول حضور جلسات</t>
  </si>
  <si>
    <t>المجلس النيابي</t>
  </si>
  <si>
    <t>نظام حكم برلماني</t>
  </si>
  <si>
    <t>انسحاب جزئي للقو ات</t>
  </si>
  <si>
    <t>م مشاركة بالأقلية</t>
  </si>
  <si>
    <t>م مشاركة الجماهير في الحياة</t>
  </si>
  <si>
    <t>م مشاركة الأقل يات في الحكم</t>
  </si>
  <si>
    <t>حزب</t>
  </si>
  <si>
    <t>تعص ب حزبي</t>
  </si>
  <si>
    <t>طاعة سلبية</t>
  </si>
  <si>
    <t>سياسة سلبية</t>
  </si>
  <si>
    <t>م مقاومة سلبية</t>
  </si>
  <si>
    <t>م مسالمة  سلبية</t>
  </si>
  <si>
    <t>مواطن</t>
  </si>
  <si>
    <t>حب  الوطن</t>
  </si>
  <si>
    <t>فوائد السلام</t>
  </si>
  <si>
    <t>اقتراع بشأن عقد الصلح</t>
  </si>
  <si>
    <t>م صن اع السلام</t>
  </si>
  <si>
    <t>سلام الشجعان</t>
  </si>
  <si>
    <t>عرض للسلام</t>
  </si>
  <si>
    <t>عملية السلام</t>
  </si>
  <si>
    <t>اقتراح للسلام</t>
  </si>
  <si>
    <t>استراتيجية السلام</t>
  </si>
  <si>
    <t>محادثات السلام</t>
  </si>
  <si>
    <t>معاهدة سلام</t>
  </si>
  <si>
    <t>تعايش سلمي</t>
  </si>
  <si>
    <t>م مظاهرة سلمية</t>
  </si>
  <si>
    <t>أمة مسالمة</t>
  </si>
  <si>
    <t>علاقات سلام</t>
  </si>
  <si>
    <t>استخدام سلمي للطاقة</t>
  </si>
  <si>
    <t>الذرية</t>
  </si>
  <si>
    <t>النووية</t>
  </si>
  <si>
    <t>مجلس الشعب</t>
  </si>
  <si>
    <t>اقتراع شعبي</t>
  </si>
  <si>
    <t>الثقافة المشتركة للشعوب</t>
  </si>
  <si>
    <t>المصالح المشتركة للشعوب</t>
  </si>
  <si>
    <t>موروثات الشعوب</t>
  </si>
  <si>
    <t>رفض شعبي</t>
  </si>
  <si>
    <t>إرادة الشعوب</t>
  </si>
  <si>
    <t>بالنيابة عن</t>
  </si>
  <si>
    <t>تبص   بالمسائل الدولية</t>
  </si>
  <si>
    <t>مذهب المثاليين</t>
  </si>
  <si>
    <t>يمجري الاتصالات</t>
  </si>
  <si>
    <t>مندوب دائم</t>
  </si>
  <si>
    <t>بعثة دبلوماسية دائمة</t>
  </si>
  <si>
    <t>م مهمة دائمة</t>
  </si>
  <si>
    <t>نفي مؤبد</t>
  </si>
  <si>
    <t>يضطهد السجناء السياسيين</t>
  </si>
  <si>
    <t>يلعب دورا دبلوماسيا هاما</t>
  </si>
  <si>
    <t>ي تلاعب بالألفاظ</t>
  </si>
  <si>
    <t>يدفع ببطلان الإجراءات</t>
  </si>
  <si>
    <t>القانونية</t>
  </si>
  <si>
    <t>استفتاء عام</t>
  </si>
  <si>
    <t>سلطة ممطلقة</t>
  </si>
  <si>
    <t>جلسة تامة  بحضور جميع</t>
  </si>
  <si>
    <t>الأعضاء</t>
  </si>
  <si>
    <t>م مفوض  بمطلق الصلاحيات</t>
  </si>
  <si>
    <t>تعد دية</t>
  </si>
  <si>
    <t>تعددية الأحزاب</t>
  </si>
  <si>
    <t>تعد د الأحزاب السياسية</t>
  </si>
  <si>
    <t>مركز الضابطة</t>
  </si>
  <si>
    <t>سياسة</t>
  </si>
  <si>
    <t>سياسة التهدئة</t>
  </si>
  <si>
    <t>سياسة ح سن الجوار</t>
  </si>
  <si>
    <t>مكتب الشرطة الضابطة</t>
  </si>
  <si>
    <t>معلومات سياسية</t>
  </si>
  <si>
    <t>ميزان السلطات السياسية</t>
  </si>
  <si>
    <t>سيطرة سياسية</t>
  </si>
  <si>
    <t>تقد في المجال السياسي</t>
  </si>
  <si>
    <t>قرارات سياسية</t>
  </si>
  <si>
    <t>مخاطر سياسية</t>
  </si>
  <si>
    <t>مكاسب سياسية</t>
  </si>
  <si>
    <t>نشاط سياسي</t>
  </si>
  <si>
    <t>فوضى سياسية</t>
  </si>
  <si>
    <t>جدال سياسي</t>
  </si>
  <si>
    <t>اغتيال سياسي</t>
  </si>
  <si>
    <t>جمعية سياسية</t>
  </si>
  <si>
    <t>ملجأ سياسي</t>
  </si>
  <si>
    <t>م ملحق سياسي</t>
  </si>
  <si>
    <t>م مساومة سياسية</t>
  </si>
  <si>
    <t>م معتقدات سياسية</t>
  </si>
  <si>
    <t>مركز سياسي</t>
  </si>
  <si>
    <t>أوساط سياسية</t>
  </si>
  <si>
    <t>منشور سياسي</t>
  </si>
  <si>
    <t>نشرة سياسية</t>
  </si>
  <si>
    <t>طبقة سياسية</t>
  </si>
  <si>
    <t>ائتلاف سياسي</t>
  </si>
  <si>
    <t>لجنة سياسية</t>
  </si>
  <si>
    <t>اختصاص سياسي</t>
  </si>
  <si>
    <t>أسباب النزاعات السياسية</t>
  </si>
  <si>
    <t>م مواجهات سياسية</t>
  </si>
  <si>
    <t>هيئة سياسية</t>
  </si>
  <si>
    <t>فساد سياسي</t>
  </si>
  <si>
    <t>عقيدة سياسية</t>
  </si>
  <si>
    <t>جريمة سياسية</t>
  </si>
  <si>
    <t>نقد سياسي</t>
  </si>
  <si>
    <t>م مناظرات سياسية</t>
  </si>
  <si>
    <t>هزيمة سياسية</t>
  </si>
  <si>
    <t>وفد سياسي</t>
  </si>
  <si>
    <t>م ساعي سياسية</t>
  </si>
  <si>
    <t>ديموقراطية سياسية</t>
  </si>
  <si>
    <t>م مظاهرة سياسية</t>
  </si>
  <si>
    <t>تبعية سياسية</t>
  </si>
  <si>
    <t>استبداد سياسي</t>
  </si>
  <si>
    <t>ح وار سياسي</t>
  </si>
  <si>
    <t>توجيهات سياسية</t>
  </si>
  <si>
    <t>خلاف سياسي</t>
  </si>
  <si>
    <t>تشع ب اختلاف سياسي</t>
  </si>
  <si>
    <t>كاتب سياسي</t>
  </si>
  <si>
    <t>نمخبة سياسية</t>
  </si>
  <si>
    <t>جو  سياسي</t>
  </si>
  <si>
    <t>مبعوث دولي</t>
  </si>
  <si>
    <t>توازن سياسي</t>
  </si>
  <si>
    <t>تجس س سياسي</t>
  </si>
  <si>
    <t>تواجد على الساحة السياسية</t>
  </si>
  <si>
    <t>لجنة الخبراء السياسيين</t>
  </si>
  <si>
    <t>عوامل سياسية</t>
  </si>
  <si>
    <t>تقرير بالوقائع السياسية</t>
  </si>
  <si>
    <t>مهرجان سياسي</t>
  </si>
  <si>
    <t>إطار سياسي</t>
  </si>
  <si>
    <t>مهام سياسية</t>
  </si>
  <si>
    <t>أهداف سياسية</t>
  </si>
  <si>
    <t>تسلسل سياسي</t>
  </si>
  <si>
    <t>رهينة سياسية</t>
  </si>
  <si>
    <t>حصانة سياسية</t>
  </si>
  <si>
    <t>نفوذ سياسي</t>
  </si>
  <si>
    <t>عدم استقرار سياسي</t>
  </si>
  <si>
    <t>مؤسسات سياسية</t>
  </si>
  <si>
    <t>تكامل سياسي</t>
  </si>
  <si>
    <t>دسيسة سياسية</t>
  </si>
  <si>
    <t>استقصاء سياسي</t>
  </si>
  <si>
    <t>قيادة سياسية</t>
  </si>
  <si>
    <t>حرية سياسية</t>
  </si>
  <si>
    <t>توق عات منحنى الحياة</t>
  </si>
  <si>
    <t>روابط سياسية</t>
  </si>
  <si>
    <t>مسيرة سياسية</t>
  </si>
  <si>
    <t>نضوج سياسي</t>
  </si>
  <si>
    <t>مهمة سياسية</t>
  </si>
  <si>
    <t>حركات سياسية</t>
  </si>
  <si>
    <t>ع قبات سياسية</t>
  </si>
  <si>
    <t>إساءات سياسية</t>
  </si>
  <si>
    <t>رأي سياسي</t>
  </si>
  <si>
    <t>م معارضة سياسية</t>
  </si>
  <si>
    <t>توجيه سياسي</t>
  </si>
  <si>
    <t>أحزاب سياسية</t>
  </si>
  <si>
    <t>ظاهرة سياسية</t>
  </si>
  <si>
    <t>فلسفة السياسة</t>
  </si>
  <si>
    <t>مؤامرة سياسية</t>
  </si>
  <si>
    <t>وجهة نظر سياسية</t>
  </si>
  <si>
    <t>دور الشرطة السياسية</t>
  </si>
  <si>
    <t>الهيئة المختصة بوضع</t>
  </si>
  <si>
    <t>الخطط السياسية</t>
  </si>
  <si>
    <t>منصب سياسي</t>
  </si>
  <si>
    <t>سلطة سياسية</t>
  </si>
  <si>
    <t>ضغوط سياسية</t>
  </si>
  <si>
    <t>تفو ق سياسي</t>
  </si>
  <si>
    <t>سجين سياسي في الحجز</t>
  </si>
  <si>
    <t>الانفرادي</t>
  </si>
  <si>
    <t>عفو عام عن المجرمين</t>
  </si>
  <si>
    <t>حقوق السجناء السياسيين</t>
  </si>
  <si>
    <t>مرجع سياسي عام</t>
  </si>
  <si>
    <t>إصلاح سياسي</t>
  </si>
  <si>
    <t>لاجئ سياسي</t>
  </si>
  <si>
    <t>نظام سياسي</t>
  </si>
  <si>
    <t>تقرير سياسي</t>
  </si>
  <si>
    <t>تمثيل سياسي</t>
  </si>
  <si>
    <t>ق مع سياسي</t>
  </si>
  <si>
    <t>قرار سياسي</t>
  </si>
  <si>
    <t>مسؤولية سياسية</t>
  </si>
  <si>
    <t>م منافسة سياسية</t>
  </si>
  <si>
    <t>تسوية سياسية</t>
  </si>
  <si>
    <t>الجانب السياسي للمفاوضات</t>
  </si>
  <si>
    <t>الوضع السياسي</t>
  </si>
  <si>
    <t>خطاب سياسي</t>
  </si>
  <si>
    <t>استقرار سياسي</t>
  </si>
  <si>
    <t>بيان سياسي</t>
  </si>
  <si>
    <t>رقابة سياسة</t>
  </si>
  <si>
    <t>خطط سياسية</t>
  </si>
  <si>
    <t>نظرية سياسية</t>
  </si>
  <si>
    <t>اضطراب سياسي</t>
  </si>
  <si>
    <t>شغب سياسي</t>
  </si>
  <si>
    <t>وحدة سياسية</t>
  </si>
  <si>
    <t>عنف سياسي</t>
  </si>
  <si>
    <t>ح نكة سياسية</t>
  </si>
  <si>
    <t>حلقة عمل أو سياسية</t>
  </si>
  <si>
    <t>سياسي محن ك</t>
  </si>
  <si>
    <t>يمسي س التحقيقات الدولية</t>
  </si>
  <si>
    <t>علوم سياسية</t>
  </si>
  <si>
    <t>يستفتي الرأي العام</t>
  </si>
  <si>
    <t>استطلاع الآراء</t>
  </si>
  <si>
    <t>رقابة شعبية</t>
  </si>
  <si>
    <t>م مشاركة شعبية</t>
  </si>
  <si>
    <t>احتجاج شعبي</t>
  </si>
  <si>
    <t>استفتاء شعبي</t>
  </si>
  <si>
    <t>مقاومة شعبية</t>
  </si>
  <si>
    <t>تضامن شعبي</t>
  </si>
  <si>
    <t>السيادة الشعبية</t>
  </si>
  <si>
    <t>انتفاضة شعبية</t>
  </si>
  <si>
    <t>شعوب أو سك ان</t>
  </si>
  <si>
    <t>م سك ان المستعمرات</t>
  </si>
  <si>
    <t>شعوب المستعمرات</t>
  </si>
  <si>
    <t>شعب أو سك ان العاصمة</t>
  </si>
  <si>
    <t>منصب بموجب الانتخاب</t>
  </si>
  <si>
    <t>موقف دبلوماسي ايجابي</t>
  </si>
  <si>
    <t>حياد ايجابي</t>
  </si>
  <si>
    <t>قطب سياسي ايجابي</t>
  </si>
  <si>
    <t>حل  إيجابي للمشكلات</t>
  </si>
  <si>
    <t>يمرجئ الجلسة</t>
  </si>
  <si>
    <t>حكومة ذات سلطة</t>
  </si>
  <si>
    <t>دول ذات سيادة</t>
  </si>
  <si>
    <t>قرارات معدة مسبقا</t>
  </si>
  <si>
    <t>تحضيرات ما قبل الحرب</t>
  </si>
  <si>
    <t>الأولو ية على</t>
  </si>
  <si>
    <t>إجراءات التحضير للانتخابات</t>
  </si>
  <si>
    <t>حق  الأفضلية</t>
  </si>
  <si>
    <t>موقف دبلوماسي متحامل</t>
  </si>
  <si>
    <t>موقف سياسي متحامل</t>
  </si>
  <si>
    <t>قرار تمهيدي</t>
  </si>
  <si>
    <t>اجتماع تمهيدي</t>
  </si>
  <si>
    <t>م مفاوضات تمهيدية</t>
  </si>
  <si>
    <t>صوت انتخابي مرج ح</t>
  </si>
  <si>
    <t>مزايا</t>
  </si>
  <si>
    <t>تواجد في المجلس النيابي</t>
  </si>
  <si>
    <t>يتقد بعريضة دبلوماسية</t>
  </si>
  <si>
    <t>تقديم أوراق الاعتماد</t>
  </si>
  <si>
    <t>حماية حقوق الإنسان</t>
  </si>
  <si>
    <t>حماية السلام العالمي</t>
  </si>
  <si>
    <t>يحمي السلام</t>
  </si>
  <si>
    <t>يصون سلطة الدولة</t>
  </si>
  <si>
    <t>يصون الدستورية</t>
  </si>
  <si>
    <t>يصون السلامة العامة</t>
  </si>
  <si>
    <t>رئاسة</t>
  </si>
  <si>
    <t>رئاسة بموجب السن</t>
  </si>
  <si>
    <t>سباق الرئاسة</t>
  </si>
  <si>
    <t>رئيس الدولة</t>
  </si>
  <si>
    <t>رئيس الجمهورية</t>
  </si>
  <si>
    <t>قاعة الشرف</t>
  </si>
  <si>
    <t>مرسوم رئاسي</t>
  </si>
  <si>
    <t>تحقيقات رئاسية</t>
  </si>
  <si>
    <t>قص  الرئاسة</t>
  </si>
  <si>
    <t>تفو ق رئاسي</t>
  </si>
  <si>
    <t>قرارات رئاسية</t>
  </si>
  <si>
    <t>مسؤولية رئاسية</t>
  </si>
  <si>
    <t>نظام حكم رئاسي</t>
  </si>
  <si>
    <t>ح وار الرؤساء</t>
  </si>
  <si>
    <t>اجتماع الرؤساء</t>
  </si>
  <si>
    <t>قمة الرؤساء</t>
  </si>
  <si>
    <t>مؤتمر صحفي</t>
  </si>
  <si>
    <t>م مشادة صحفية</t>
  </si>
  <si>
    <t>مهمة صحفية</t>
  </si>
  <si>
    <t>يمعز ز حقوق الإنسان</t>
  </si>
  <si>
    <t>يمنع وقوع الحرب الذرية</t>
  </si>
  <si>
    <t>يحقن الدماء</t>
  </si>
  <si>
    <t>يمنع المواجهات السياسية</t>
  </si>
  <si>
    <t>تدابير سياسية وقائية</t>
  </si>
  <si>
    <t>مفاوضات أولية</t>
  </si>
  <si>
    <t>جلسة أولية</t>
  </si>
  <si>
    <t>رئيس الوزارة</t>
  </si>
  <si>
    <t>مجتمعات بدائية</t>
  </si>
  <si>
    <t>مبدأ سيادة القانون</t>
  </si>
  <si>
    <t>مبدأ المساواة بين المواطنين</t>
  </si>
  <si>
    <t>مبدأ المساواة بين الأعراق</t>
  </si>
  <si>
    <t>والأجناس</t>
  </si>
  <si>
    <t>مبدأ الإنصاف</t>
  </si>
  <si>
    <t>مبدأ عدم التمييز العنص ي</t>
  </si>
  <si>
    <t>مبدأ عدم التد خل</t>
  </si>
  <si>
    <t>مبدأ التفوق</t>
  </si>
  <si>
    <t>مبدأ التعامل بالمثل</t>
  </si>
  <si>
    <t>مبدأ الفصل بين السلطات</t>
  </si>
  <si>
    <t>حق  الأولوية</t>
  </si>
  <si>
    <t>عفو عام عن السجناء</t>
  </si>
  <si>
    <t>القانون الدولي الخاص</t>
  </si>
  <si>
    <t>إعلام خاص</t>
  </si>
  <si>
    <t>حرمان من الحقوق</t>
  </si>
  <si>
    <t>محض  جلسة</t>
  </si>
  <si>
    <t>م سيرة</t>
  </si>
  <si>
    <t>تدنيس حرمة المقدسات</t>
  </si>
  <si>
    <t>يمحظ ر التسل ح</t>
  </si>
  <si>
    <t>يمحظ ر استخدام العنف</t>
  </si>
  <si>
    <t>يمحظ ر اللجوء إلى الحرب</t>
  </si>
  <si>
    <t>ممر محظور</t>
  </si>
  <si>
    <t>منطقة محر مة</t>
  </si>
  <si>
    <t>م مفاوضات مطو لة</t>
  </si>
  <si>
    <t>شخصية دبلوماسية بارزة</t>
  </si>
  <si>
    <t>يمعزز السلام</t>
  </si>
  <si>
    <t>تعزيز آداب التعامل</t>
  </si>
  <si>
    <t>تعزيز حقوق الإنسان</t>
  </si>
  <si>
    <t>تعزيز السلام</t>
  </si>
  <si>
    <t>حرب دعائية</t>
  </si>
  <si>
    <t>تمثيل نسبي</t>
  </si>
  <si>
    <t>حماية الآثار</t>
  </si>
  <si>
    <t>حماية الموقوفين</t>
  </si>
  <si>
    <t>حماية الأمومة والطفولة</t>
  </si>
  <si>
    <t>حماية الأقلي ات</t>
  </si>
  <si>
    <t>حماية اللاجئين</t>
  </si>
  <si>
    <t>حماية حقوق المرأة</t>
  </si>
  <si>
    <t>يحتج</t>
  </si>
  <si>
    <t>م مذكرة احتجاج</t>
  </si>
  <si>
    <t>حق  الاحتجاج</t>
  </si>
  <si>
    <t>نظام التشريفات</t>
  </si>
  <si>
    <t>سجل التشريفات</t>
  </si>
  <si>
    <t>يمؤم ن المساعدات الإنسانية</t>
  </si>
  <si>
    <t>حكومة ممؤقتة</t>
  </si>
  <si>
    <t>تص يح سياسي استفزازي</t>
  </si>
  <si>
    <t>عمل استفزازي</t>
  </si>
  <si>
    <t>عدوان استفزازي</t>
  </si>
  <si>
    <t>تص يح دبلوماسي استفزازي</t>
  </si>
  <si>
    <t>حرب استفزازية</t>
  </si>
  <si>
    <t>الآثار النفسية للحروب</t>
  </si>
  <si>
    <t>حرب نفسية</t>
  </si>
  <si>
    <t>السلامة العامة</t>
  </si>
  <si>
    <t>سلطة عامة</t>
  </si>
  <si>
    <t>شغب عام</t>
  </si>
  <si>
    <t>الصالح العام</t>
  </si>
  <si>
    <t>القانون الدولي العام</t>
  </si>
  <si>
    <t>رأي عام</t>
  </si>
  <si>
    <t>نظام عام</t>
  </si>
  <si>
    <t>علاقات عامة</t>
  </si>
  <si>
    <t>أمن عام</t>
  </si>
  <si>
    <t>جلسة علنية</t>
  </si>
  <si>
    <t>نفع عام</t>
  </si>
  <si>
    <t>يمحر ك خيوط المداولات</t>
  </si>
  <si>
    <t>يضع الخلافات السياسية</t>
  </si>
  <si>
    <t>جانبا</t>
  </si>
  <si>
    <t>يضع نهاية للخلافات</t>
  </si>
  <si>
    <t>يضع نهاية للعنف</t>
  </si>
  <si>
    <t>يضع نهاية للحرب</t>
  </si>
  <si>
    <t>أوساط دبلوماسية مؤه لة</t>
  </si>
  <si>
    <t>إبادة عرقية</t>
  </si>
  <si>
    <t>م خصومة عرق ية</t>
  </si>
  <si>
    <t>ن زاع عنص ي</t>
  </si>
  <si>
    <t>تمييز على أساس العرق</t>
  </si>
  <si>
    <t>مساواة عرقية</t>
  </si>
  <si>
    <t>تكامل عرقي</t>
  </si>
  <si>
    <t>مذبحة عنص ية</t>
  </si>
  <si>
    <t>أقلية عرقية</t>
  </si>
  <si>
    <t>فصل عنص ي</t>
  </si>
  <si>
    <t>عرقية أو عنص ية</t>
  </si>
  <si>
    <t>مذهب الأحرار المتطرفين</t>
  </si>
  <si>
    <t>سرعة الإغاثة الدولية</t>
  </si>
  <si>
    <t>سرعة التدخل الدولي</t>
  </si>
  <si>
    <t>رجعية</t>
  </si>
  <si>
    <t>إعادة الانتخاب</t>
  </si>
  <si>
    <t>قابل لإعادة الانتخاب</t>
  </si>
  <si>
    <t>يتوصل إلى حل  مشترك للأزمة</t>
  </si>
  <si>
    <t>يتوصل إلى تفاهم مشترك بين</t>
  </si>
  <si>
    <t>سياسات رجعية</t>
  </si>
  <si>
    <t>إعادة التسل ح</t>
  </si>
  <si>
    <t>عصيان  تمر د</t>
  </si>
  <si>
    <t>تمر د السجناء السياسيين</t>
  </si>
  <si>
    <t>إعادة بناء الثقة بين الدول</t>
  </si>
  <si>
    <t>يستدعي السفير</t>
  </si>
  <si>
    <t>استقبال رسمي</t>
  </si>
  <si>
    <t>الواجبات ا لمتبادلة بين الدول</t>
  </si>
  <si>
    <t>الالتزامات ا لمتبادلة بين الدول</t>
  </si>
  <si>
    <t>يعترف بالحريات الفردية</t>
  </si>
  <si>
    <t>جلسة تلاوة التوصيات</t>
  </si>
  <si>
    <t>لجنة الصلح</t>
  </si>
  <si>
    <t>استعداد للمصالحة</t>
  </si>
  <si>
    <t>عرض للصلح</t>
  </si>
  <si>
    <t>معاهدة صلح</t>
  </si>
  <si>
    <t>تصويت قياسي</t>
  </si>
  <si>
    <t>يسترد  الأراضي المحتلة</t>
  </si>
  <si>
    <t>يمنق ح المرسوم</t>
  </si>
  <si>
    <t>منظمة الهلال الأحمر</t>
  </si>
  <si>
    <t>منظمة الصليب الأحمر</t>
  </si>
  <si>
    <t>إعداد التقرير الدبلوماسي</t>
  </si>
  <si>
    <t>يمعيد توزيع المهام</t>
  </si>
  <si>
    <t>إعادة توزيع المهام</t>
  </si>
  <si>
    <t>يمخفف الضغوط الدولية</t>
  </si>
  <si>
    <t>استفتاء</t>
  </si>
  <si>
    <t>بالرجوع إلى القوانين الدولية</t>
  </si>
  <si>
    <t>حركة الإصلاح</t>
  </si>
  <si>
    <t>ملجأ</t>
  </si>
  <si>
    <t>مصير اللاجئين</t>
  </si>
  <si>
    <t>سلامة اللاجئين</t>
  </si>
  <si>
    <t>يستعيد السيطرة على المواقع</t>
  </si>
  <si>
    <t>الاستراتيجية</t>
  </si>
  <si>
    <t>يستعيد السيطرة على الحدود</t>
  </si>
  <si>
    <t>بص ف النظر عن الظروف</t>
  </si>
  <si>
    <t>نظام حكومي</t>
  </si>
  <si>
    <t>اتفاق إقليمي</t>
  </si>
  <si>
    <t>سلطة إقليمية</t>
  </si>
  <si>
    <t>استقلال إقليمي</t>
  </si>
  <si>
    <t>مجلس إقليمي</t>
  </si>
  <si>
    <t>قوانين محلية</t>
  </si>
  <si>
    <t>سياسة محل ية</t>
  </si>
  <si>
    <t>إقليمية</t>
  </si>
  <si>
    <t>يمعيد تجميع القو ات</t>
  </si>
  <si>
    <t>رد  اعتبار</t>
  </si>
  <si>
    <t>حكم</t>
  </si>
  <si>
    <t>حكم بالإرهاب</t>
  </si>
  <si>
    <t>يمعز ز العلاقات الدبلوماسية</t>
  </si>
  <si>
    <t>يمعز ز الموقف الدبلوماسي</t>
  </si>
  <si>
    <t>يمعز ز الهوية القومية</t>
  </si>
  <si>
    <t>يرفض مطالعة الخبراء</t>
  </si>
  <si>
    <t>ينبذ  يرفض  القرار</t>
  </si>
  <si>
    <t>العلاقة بين السلطة والأحزاب</t>
  </si>
  <si>
    <t>علاقات على أساس التعامل</t>
  </si>
  <si>
    <t>بالمثل</t>
  </si>
  <si>
    <t>علاقات على مستوى السفراء</t>
  </si>
  <si>
    <t>متعل ق بالمباحثات</t>
  </si>
  <si>
    <t>يمطلق سراح ا لمحتجزين</t>
  </si>
  <si>
    <t>يمخلي سبيل السجناء</t>
  </si>
  <si>
    <t>يمطلق سراح السجناء</t>
  </si>
  <si>
    <t>م منسق أعمال الإغاثة</t>
  </si>
  <si>
    <t>عمليات الإغاثة</t>
  </si>
  <si>
    <t>ح وار الأديان</t>
  </si>
  <si>
    <t>تسامح ديني</t>
  </si>
  <si>
    <t>توزيع الوظائف  المهام</t>
  </si>
  <si>
    <t>يمعيد إلى الوطن</t>
  </si>
  <si>
    <t>توطين اللاجئين</t>
  </si>
  <si>
    <t>مراسل صحفي</t>
  </si>
  <si>
    <t>يممث ل السلطة</t>
  </si>
  <si>
    <t>حكومة تمثيلية</t>
  </si>
  <si>
    <t>يقمع الاضطرابات</t>
  </si>
  <si>
    <t>يمتنع عن التعليق</t>
  </si>
  <si>
    <t>ي قمع المقاومة</t>
  </si>
  <si>
    <t>يقمع المعارضة</t>
  </si>
  <si>
    <t>أعمال انتقامية</t>
  </si>
  <si>
    <t>جمهورية</t>
  </si>
  <si>
    <t>نظام حكم جمهوري</t>
  </si>
  <si>
    <t>جمهوري الانتماء</t>
  </si>
  <si>
    <t>مرسوم جمهوري</t>
  </si>
  <si>
    <t>حكومة جمهورية</t>
  </si>
  <si>
    <t>حزب جمهوري</t>
  </si>
  <si>
    <t>الأغلب ية المطلوبة</t>
  </si>
  <si>
    <t>يمنقذ أسرى الحرب</t>
  </si>
  <si>
    <t>قرار متحف ظ</t>
  </si>
  <si>
    <t>بتحفظ</t>
  </si>
  <si>
    <t>إقامة في بلد</t>
  </si>
  <si>
    <t>مكان الإقامة</t>
  </si>
  <si>
    <t>يمقاوم الضغوط السياسية</t>
  </si>
  <si>
    <t>يمقاوم القمع السياسي</t>
  </si>
  <si>
    <t>حركة المقاومة</t>
  </si>
  <si>
    <t>يحترم الق يم الثقافية</t>
  </si>
  <si>
    <t>يحترم الكرامة الإنسانية</t>
  </si>
  <si>
    <t>يتجاوب مع تطلعات</t>
  </si>
  <si>
    <t>مصدر مسؤول عن المعلومات</t>
  </si>
  <si>
    <t>استعادة الحرية</t>
  </si>
  <si>
    <t>إحياء محادثات السلام</t>
  </si>
  <si>
    <t>قو ات القمع</t>
  </si>
  <si>
    <t>منطقة مقي دة</t>
  </si>
  <si>
    <t>تقييد حرية النقاش والنقد</t>
  </si>
  <si>
    <t>تقييد الحري ات</t>
  </si>
  <si>
    <t>تقييد حرية الكلام والتعبير</t>
  </si>
  <si>
    <t>يمعيد ترسيم الحدود</t>
  </si>
  <si>
    <t>يستعيد الأراضي المحتلة</t>
  </si>
  <si>
    <t>يكشف عن خطورة الوضع</t>
  </si>
  <si>
    <t>يكشف عن حقيقة الوضع</t>
  </si>
  <si>
    <t>يحترم المعتقدات الدينية</t>
  </si>
  <si>
    <t>ثورة</t>
  </si>
  <si>
    <t>مجلس قيادة الثورة</t>
  </si>
  <si>
    <t>محكمة الثورة</t>
  </si>
  <si>
    <t>ثوري</t>
  </si>
  <si>
    <t>حق  اللجوء السياسي</t>
  </si>
  <si>
    <t>ح ق إصدار الأوامر</t>
  </si>
  <si>
    <t>حق  المداولة والنقاش</t>
  </si>
  <si>
    <t>حق  الانتخاب</t>
  </si>
  <si>
    <t>حق  الدخول لدولة أخرى</t>
  </si>
  <si>
    <t>حق  الق وامة أو الوصاية</t>
  </si>
  <si>
    <t>حق  المشاركة في السلطة</t>
  </si>
  <si>
    <t>حق  المرور بالأراضي الإقليمية</t>
  </si>
  <si>
    <t>حق  التمل ك</t>
  </si>
  <si>
    <t>حق  الترؤس</t>
  </si>
  <si>
    <t>حق  الدفاع عن النفس</t>
  </si>
  <si>
    <t>حق  التعبير والكلام</t>
  </si>
  <si>
    <t>ح ق التصويت</t>
  </si>
  <si>
    <t>حق  التماس العفو</t>
  </si>
  <si>
    <t>حق  التجمع</t>
  </si>
  <si>
    <t>ح ق إجراء الاتصالات</t>
  </si>
  <si>
    <t>حق  التظاهر</t>
  </si>
  <si>
    <t>حق  التعبير عن الرأي</t>
  </si>
  <si>
    <t>حق  اللجوء إلى السلطات</t>
  </si>
  <si>
    <t>القضائية</t>
  </si>
  <si>
    <t>حق  اللجوء للعدالة</t>
  </si>
  <si>
    <t>حق  الاستفادة من الخدمات</t>
  </si>
  <si>
    <t>الصحية</t>
  </si>
  <si>
    <t>الحق  في الترقية</t>
  </si>
  <si>
    <t>الاجتماعية</t>
  </si>
  <si>
    <t>حق  المبادرة</t>
  </si>
  <si>
    <t>يميني</t>
  </si>
  <si>
    <t>أحزاب اليمين</t>
  </si>
  <si>
    <t>سياسي يميني</t>
  </si>
  <si>
    <t>دستور صارم</t>
  </si>
  <si>
    <t>خطر قطع العلاقات</t>
  </si>
  <si>
    <t>مخاطر على السلام العالمي</t>
  </si>
  <si>
    <t>صاروخ</t>
  </si>
  <si>
    <t>هجمات صاروخية</t>
  </si>
  <si>
    <t>دور الأحزاب السياسية في</t>
  </si>
  <si>
    <t>الحكومة</t>
  </si>
  <si>
    <t>رئاسة بالتناوب</t>
  </si>
  <si>
    <t>اجتماع المائدة المستديرة</t>
  </si>
  <si>
    <t>سفير متجو ل</t>
  </si>
  <si>
    <t>مراسم التشريفات الملكية</t>
  </si>
  <si>
    <t>يستعرض مجرى الأحداث</t>
  </si>
  <si>
    <t>يستعرض الأحداث السياسية</t>
  </si>
  <si>
    <t>الأحداث السياسية الجارية</t>
  </si>
  <si>
    <t>قطع المفاوضات</t>
  </si>
  <si>
    <t>قطع العلاقات الدبلوماسية</t>
  </si>
  <si>
    <t>هجوم مفاجئ</t>
  </si>
  <si>
    <t>تخريب المنشآت العامة</t>
  </si>
  <si>
    <t>واجب وطني مقدس</t>
  </si>
  <si>
    <t>يحمي الدولة</t>
  </si>
  <si>
    <t>يحمي</t>
  </si>
  <si>
    <t>يحمي المدنيين</t>
  </si>
  <si>
    <t>يحمي الوطن</t>
  </si>
  <si>
    <t>حماية المدنيين</t>
  </si>
  <si>
    <t>حماية الأراضي</t>
  </si>
  <si>
    <t>إذاعة بواسطة الأقمار</t>
  </si>
  <si>
    <t>الصناعية</t>
  </si>
  <si>
    <t>دولة تابعة سياسيا</t>
  </si>
  <si>
    <t>حرب الفضائيات</t>
  </si>
  <si>
    <t>سل الحضارة</t>
  </si>
  <si>
    <t>عميل سر ي</t>
  </si>
  <si>
    <t>اقتراع سر ي</t>
  </si>
  <si>
    <t>بند سر ي في المباحثات</t>
  </si>
  <si>
    <t>مباحثات دبلوماسية سرية</t>
  </si>
  <si>
    <t>مهمة سرية</t>
  </si>
  <si>
    <t>م مفاوضات سرية</t>
  </si>
  <si>
    <t>بوليس   شرطة  سر ي</t>
  </si>
  <si>
    <t>تقرير سر ي</t>
  </si>
  <si>
    <t>جلسة سرية</t>
  </si>
  <si>
    <t>وزير دولة</t>
  </si>
  <si>
    <t>ف تنة طائفية</t>
  </si>
  <si>
    <t>أمن</t>
  </si>
  <si>
    <t>مجلس الأمن</t>
  </si>
  <si>
    <t>حارس أمني</t>
  </si>
  <si>
    <t>إجراءات أمنية</t>
  </si>
  <si>
    <t>أمن المعلومات</t>
  </si>
  <si>
    <t>مسؤول أمني</t>
  </si>
  <si>
    <t>تدابير أمنية</t>
  </si>
  <si>
    <t>استيلاء على السلطة</t>
  </si>
  <si>
    <t>خضوع إرادي للدولة</t>
  </si>
  <si>
    <t>دولة شبه مستقلة</t>
  </si>
  <si>
    <t>مجلس الشيوخ</t>
  </si>
  <si>
    <t>قرار من مجلس الشيخ</t>
  </si>
  <si>
    <t>نائب في مجلس الشيوخ</t>
  </si>
  <si>
    <t>رئيس المستشار ين</t>
  </si>
  <si>
    <t>رئيس المستشارين</t>
  </si>
  <si>
    <t>العضو الأكبر سن ا في المجلس</t>
  </si>
  <si>
    <t>النيابي</t>
  </si>
  <si>
    <t>كبير المندوبين السياسيين</t>
  </si>
  <si>
    <t>الفصل بين السلطات</t>
  </si>
  <si>
    <t>الحكومية</t>
  </si>
  <si>
    <t>الفصل بين السلطة والأحزاب</t>
  </si>
  <si>
    <t>فصل القو ات</t>
  </si>
  <si>
    <t>فصل السلطات</t>
  </si>
  <si>
    <t>انفصالية</t>
  </si>
  <si>
    <t>انفصالي</t>
  </si>
  <si>
    <t>عواقب الحروب</t>
  </si>
  <si>
    <t>قيود صارمة</t>
  </si>
  <si>
    <t>يخدم السلام</t>
  </si>
  <si>
    <t>يمسو ي النزاعات بين الدول</t>
  </si>
  <si>
    <t>تسوية بطريق التحكيم</t>
  </si>
  <si>
    <t>وزارة ظل</t>
  </si>
  <si>
    <t>شبح الحرب</t>
  </si>
  <si>
    <t>يشترك بوجهات النظر</t>
  </si>
  <si>
    <t>نظام سياسي صارم</t>
  </si>
  <si>
    <t>خطوة دبلوماسية ذات أهمية</t>
  </si>
  <si>
    <t>حصانة مزدوجة</t>
  </si>
  <si>
    <t>اعتصام</t>
  </si>
  <si>
    <t>قوة عسكرية مناوشة</t>
  </si>
  <si>
    <t>تمييز بين الطبقات</t>
  </si>
  <si>
    <t>نظام اجتماعي</t>
  </si>
  <si>
    <t>اشتراكية</t>
  </si>
  <si>
    <t>اشتراكي</t>
  </si>
  <si>
    <t>حكومة اشتراكية</t>
  </si>
  <si>
    <t>حزب اشتراكي</t>
  </si>
  <si>
    <t>يلتمس رأي المجتمع الدولي</t>
  </si>
  <si>
    <t>يمناشد التدخ ل الدولي</t>
  </si>
  <si>
    <t>يلتمس الرأي العام الدولي</t>
  </si>
  <si>
    <t>يطلب الحماية الدولية</t>
  </si>
  <si>
    <t>يلتمس الأصوات الانتخابية</t>
  </si>
  <si>
    <t>تضامن</t>
  </si>
  <si>
    <t>يحل  الأزمة الدبلوماسية</t>
  </si>
  <si>
    <t>يمسو ي الخلافات الدبلوماسية</t>
  </si>
  <si>
    <t>يمسو ي الوضع السياسي</t>
  </si>
  <si>
    <t>مصادر المعلومات السياسية</t>
  </si>
  <si>
    <t>دولة ذات سيادة</t>
  </si>
  <si>
    <t>مبعوث خاص</t>
  </si>
  <si>
    <t>بيان سياسي محد د</t>
  </si>
  <si>
    <t>خطاب</t>
  </si>
  <si>
    <t>خطاب تقديم أوراق الاعتماد</t>
  </si>
  <si>
    <t>إلقاء الكلمات حسب أمكنة</t>
  </si>
  <si>
    <t>الجلوس</t>
  </si>
  <si>
    <t>روح التفاهم بين الدول</t>
  </si>
  <si>
    <t>جاسوس</t>
  </si>
  <si>
    <t>استقرار الوضع السياسي</t>
  </si>
  <si>
    <t>استقرار السلام العالمي</t>
  </si>
  <si>
    <t>توطيد السلام</t>
  </si>
  <si>
    <t>توطيد الوضع السياسي</t>
  </si>
  <si>
    <t>توطيد السلام العالمي</t>
  </si>
  <si>
    <t>يمرس خ الوضع السياسي</t>
  </si>
  <si>
    <t>يموطد سيادة الدولة</t>
  </si>
  <si>
    <t>يمرس خ السلام العالمي</t>
  </si>
  <si>
    <t>عنص  مساعد على الاستقرار</t>
  </si>
  <si>
    <t>يقف ضد  القرار</t>
  </si>
  <si>
    <t>لجنة دائمة</t>
  </si>
  <si>
    <t>أوامر سارية المفعول</t>
  </si>
  <si>
    <t>دولة</t>
  </si>
  <si>
    <t>خطة عمل الدولة</t>
  </si>
  <si>
    <t>سلطة الدولة</t>
  </si>
  <si>
    <t>مجلس الدولة</t>
  </si>
  <si>
    <t>السياسة الخارجية للدولة</t>
  </si>
  <si>
    <t>سيادة الدولة</t>
  </si>
  <si>
    <t>أحكام عرفية</t>
  </si>
  <si>
    <t>سجين سياسي</t>
  </si>
  <si>
    <t>السياسة العامة للدولة</t>
  </si>
  <si>
    <t>استراتيجية الدولة</t>
  </si>
  <si>
    <t>السلطة العليا للدولة</t>
  </si>
  <si>
    <t>اتحاد دولي</t>
  </si>
  <si>
    <t>بيان بصفة رسمية</t>
  </si>
  <si>
    <t>حضارة الدول</t>
  </si>
  <si>
    <t>شكاوى الدول</t>
  </si>
  <si>
    <t>تعهدات الدول</t>
  </si>
  <si>
    <t>المصالح المشتركة للدول</t>
  </si>
  <si>
    <t>انحطاط الدول</t>
  </si>
  <si>
    <t>حدود الدول</t>
  </si>
  <si>
    <t>مهام الدول</t>
  </si>
  <si>
    <t>أهداف الدول</t>
  </si>
  <si>
    <t>واجبات الدول</t>
  </si>
  <si>
    <t>استمرارية الدول</t>
  </si>
  <si>
    <t>م شاغل الدول</t>
  </si>
  <si>
    <t>ازدهار الدول</t>
  </si>
  <si>
    <t>حقوق الدول</t>
  </si>
  <si>
    <t>حقوق وواجبات الدول</t>
  </si>
  <si>
    <t>قانون الدول</t>
  </si>
  <si>
    <t>قوانين الدول</t>
  </si>
  <si>
    <t>بمنية الدول</t>
  </si>
  <si>
    <t>رعايا الدول</t>
  </si>
  <si>
    <t>دول موحدة بالسلام</t>
  </si>
  <si>
    <t>رجل دولة</t>
  </si>
  <si>
    <t>فن إدارة أمور الدولة</t>
  </si>
  <si>
    <t>قانون المنظمات الدولية</t>
  </si>
  <si>
    <t>سياسة الصمود</t>
  </si>
  <si>
    <t>لجنة التوجيه</t>
  </si>
  <si>
    <t>يرجم السفارات بالحجارة</t>
  </si>
  <si>
    <t>توتر العلاقات الدولية</t>
  </si>
  <si>
    <t>أسلحة استراتيجية</t>
  </si>
  <si>
    <t>مراكز استراتيجية</t>
  </si>
  <si>
    <t>تخطيط استراتيجي</t>
  </si>
  <si>
    <t>مواقع استراتيجية</t>
  </si>
  <si>
    <t>منطقة استراتيجية</t>
  </si>
  <si>
    <t>استراتيجية</t>
  </si>
  <si>
    <t>يممارس الضغط لأجل التبعية</t>
  </si>
  <si>
    <t>رسالة دبلوماسية شديدة</t>
  </si>
  <si>
    <t>اللهجة</t>
  </si>
  <si>
    <t>تدابير سياسية صارمة</t>
  </si>
  <si>
    <t>م مكافحة التحريض على</t>
  </si>
  <si>
    <t>الحرب</t>
  </si>
  <si>
    <t>م مكافحة الجهل</t>
  </si>
  <si>
    <t>م مكافحة الأمية</t>
  </si>
  <si>
    <t>م مكافحة الفساد السياسي</t>
  </si>
  <si>
    <t>م مكافحة العنص ية</t>
  </si>
  <si>
    <t>م مكافحة الإرهاب</t>
  </si>
  <si>
    <t>لجنة فرعية</t>
  </si>
  <si>
    <t>يمخضع المواطنين</t>
  </si>
  <si>
    <t>خضوع للقانون</t>
  </si>
  <si>
    <t>يتقد باقتراح</t>
  </si>
  <si>
    <t>يتقد باعتراض</t>
  </si>
  <si>
    <t>يمقد الأدلة</t>
  </si>
  <si>
    <t>يمحيل التقرير إلى المحكمة</t>
  </si>
  <si>
    <t>خضوع للدولة</t>
  </si>
  <si>
    <t>تقد سياسي ملحوظ</t>
  </si>
  <si>
    <t>عضو بديل في البرلمان</t>
  </si>
  <si>
    <t>أسلوب الاقتراع</t>
  </si>
  <si>
    <t>يقترح العقوبات</t>
  </si>
  <si>
    <t>الدبلوماسية الدولية</t>
  </si>
  <si>
    <t>يقترح عقوبات دولية</t>
  </si>
  <si>
    <t>هجمات انتحارية</t>
  </si>
  <si>
    <t>قمة الأمجاد</t>
  </si>
  <si>
    <t>قمة الانتصارات</t>
  </si>
  <si>
    <t>سيطرة دول الأقطاب</t>
  </si>
  <si>
    <t>دولة عظمى  مهيمنة</t>
  </si>
  <si>
    <t>مبدأ الفوقية</t>
  </si>
  <si>
    <t>إشراف  مراقبة</t>
  </si>
  <si>
    <t>برج المراقبة</t>
  </si>
  <si>
    <t>لجنة الإشراف</t>
  </si>
  <si>
    <t>يدعم جهود السلام</t>
  </si>
  <si>
    <t>يدعم الحكومة</t>
  </si>
  <si>
    <t>يملغي المسافات بين الشعوب</t>
  </si>
  <si>
    <t>ق مع الإرهاب</t>
  </si>
  <si>
    <t>سيادة القانون الدولي</t>
  </si>
  <si>
    <t>سيادة القانون</t>
  </si>
  <si>
    <t>السلطة التشريعية العليا</t>
  </si>
  <si>
    <t>سلطة عليا</t>
  </si>
  <si>
    <t>يستسلم للعدو</t>
  </si>
  <si>
    <t>يستطلع الرأي العام</t>
  </si>
  <si>
    <t>عرض للأحداث السياسية</t>
  </si>
  <si>
    <t>عرض للوقائع السياسية</t>
  </si>
  <si>
    <t>سياسة البقاء</t>
  </si>
  <si>
    <t>البقاء للأصلح</t>
  </si>
  <si>
    <t>يعل ق المفاوضات الدبلوماسية</t>
  </si>
  <si>
    <t>يمعل ق المباحثات السياسية</t>
  </si>
  <si>
    <t>يوقف النشر</t>
  </si>
  <si>
    <t>إيقاف الغارات الجوية</t>
  </si>
  <si>
    <t>تعليق العلاقات الدبلوماسية</t>
  </si>
  <si>
    <t>وقف مؤقت للقتال</t>
  </si>
  <si>
    <t>تعليق الجلسات</t>
  </si>
  <si>
    <t>تعليق عضوية الدولة</t>
  </si>
  <si>
    <t>يمؤيد القرار السياسي</t>
  </si>
  <si>
    <t>وقف دائم لإطلاق النار</t>
  </si>
  <si>
    <t>تنازلات دولية كبيرة</t>
  </si>
  <si>
    <t>سيف العدالة</t>
  </si>
  <si>
    <t>رضا ضمني</t>
  </si>
  <si>
    <t>يأخذ بزمام المبادرة</t>
  </si>
  <si>
    <t>يستفيد  يستغ ل  من وقف</t>
  </si>
  <si>
    <t>إطلاق النار</t>
  </si>
  <si>
    <t>يأخذ بعين الاعتبار</t>
  </si>
  <si>
    <t>يمشارك في المفاوضات</t>
  </si>
  <si>
    <t>يمشارك في المحادثات</t>
  </si>
  <si>
    <t>يتخذ الاحتياطات</t>
  </si>
  <si>
    <t>ي تخذ الملجأ</t>
  </si>
  <si>
    <t>ي تخذ موقف الدفاع</t>
  </si>
  <si>
    <t>يمباغت العدو</t>
  </si>
  <si>
    <t>ي تخذ موقف الهجوم</t>
  </si>
  <si>
    <t>يأخذ التوصيات بعين الاعتبار</t>
  </si>
  <si>
    <t>يمسيطر على الحدود</t>
  </si>
  <si>
    <t>يمسيطر على موارد النفط</t>
  </si>
  <si>
    <t>يمسيطر على النقاط</t>
  </si>
  <si>
    <t>يمسيطر على المواقع</t>
  </si>
  <si>
    <t>يمشارك في المناقشات</t>
  </si>
  <si>
    <t>يمشارك في المباحثات</t>
  </si>
  <si>
    <t>يستهدف المدنيين</t>
  </si>
  <si>
    <t>اقتراح مبدئي مقد من</t>
  </si>
  <si>
    <t>بنود إطلاق النار</t>
  </si>
  <si>
    <t>حصار بر ي</t>
  </si>
  <si>
    <t>التطبيق الإقليمي للقوانين</t>
  </si>
  <si>
    <t>م طالب إقليمية</t>
  </si>
  <si>
    <t>تقسيمات إقليمية</t>
  </si>
  <si>
    <t>حدود إقليمية</t>
  </si>
  <si>
    <t>الحدود الإقليمية للقوانين</t>
  </si>
  <si>
    <t>مياه إقليمية</t>
  </si>
  <si>
    <t>إقليمية القوانين</t>
  </si>
  <si>
    <t>س لامة الأراضي</t>
  </si>
  <si>
    <t>أراضي تحت الانتداب</t>
  </si>
  <si>
    <t>عص  الإرهاب</t>
  </si>
  <si>
    <t>أساليب الإرهاب</t>
  </si>
  <si>
    <t>إرهاب</t>
  </si>
  <si>
    <t>إرهابي</t>
  </si>
  <si>
    <t>هجمات إرهابية</t>
  </si>
  <si>
    <t>مجموعات إرهابية</t>
  </si>
  <si>
    <t>يمرهب المدنيين</t>
  </si>
  <si>
    <t>نظام حكم ديني</t>
  </si>
  <si>
    <t>حكومة دينية</t>
  </si>
  <si>
    <t>رفض بات   قطعي</t>
  </si>
  <si>
    <t>دول العالم الثالث</t>
  </si>
  <si>
    <t>يمهدد  باستخدام القوة</t>
  </si>
  <si>
    <t>موعد انتهاء الهدنة</t>
  </si>
  <si>
    <t>فات الأوان للمفاوضات</t>
  </si>
  <si>
    <t>موعد وقف إطلاق النار</t>
  </si>
  <si>
    <t>يلتزم بالقرار السياسي</t>
  </si>
  <si>
    <t>يتعر ض للقمع</t>
  </si>
  <si>
    <t>يتعر ض للعنف</t>
  </si>
  <si>
    <t>يولي الاهتمام للمشكلات</t>
  </si>
  <si>
    <t>مواضيع المباحثات</t>
  </si>
  <si>
    <t>تعذيب السجناء السياسيين</t>
  </si>
  <si>
    <t>حكومة شمولية</t>
  </si>
  <si>
    <t>نظام حكم شمولي</t>
  </si>
  <si>
    <t>دولة شمولية</t>
  </si>
  <si>
    <t>حكم شمولي</t>
  </si>
  <si>
    <t>مجلس المدينة</t>
  </si>
  <si>
    <t>ي خط  أو يرسم الحدود</t>
  </si>
  <si>
    <t>أوضاع إنسانية مأسوية</t>
  </si>
  <si>
    <t>أحداث سياسية مأساوية</t>
  </si>
  <si>
    <t>خائن</t>
  </si>
  <si>
    <t>وزارة انتقالية</t>
  </si>
  <si>
    <t>تدابير انتقالية</t>
  </si>
  <si>
    <t>انتقال المعلومات بين الدول</t>
  </si>
  <si>
    <t>شفافية سياسة الدولة</t>
  </si>
  <si>
    <t>خيانة</t>
  </si>
  <si>
    <t>يمعامل الدول على أساس</t>
  </si>
  <si>
    <t>المساواة</t>
  </si>
  <si>
    <t>يمعامل على أساس المساواة</t>
  </si>
  <si>
    <t>التعامل مع الأجانب</t>
  </si>
  <si>
    <t>معاهدة</t>
  </si>
  <si>
    <t>حلف ثلاثي</t>
  </si>
  <si>
    <t>معاهدة ثلاثية</t>
  </si>
  <si>
    <t>انتصار</t>
  </si>
  <si>
    <t>م مسبب للاضطرابات</t>
  </si>
  <si>
    <t>تحر ي أسباب الاضطرابات</t>
  </si>
  <si>
    <t>راية الهدنة</t>
  </si>
  <si>
    <t>معاهدة هدنة</t>
  </si>
  <si>
    <t>مجلس الوصاية</t>
  </si>
  <si>
    <t>نظام الوصاية</t>
  </si>
  <si>
    <t>أغلبية الثلثين</t>
  </si>
  <si>
    <t>استبداد</t>
  </si>
  <si>
    <t>إنذار</t>
  </si>
  <si>
    <t>قمة هيئة الأمم المتحدة</t>
  </si>
  <si>
    <t>إجماع</t>
  </si>
  <si>
    <t>إجماع الآراء</t>
  </si>
  <si>
    <t>موافقة بالإجماع</t>
  </si>
  <si>
    <t>انتخاب بالإجماع</t>
  </si>
  <si>
    <t>تصويت بالإجماع</t>
  </si>
  <si>
    <t>منطقة محظورة</t>
  </si>
  <si>
    <t>معاهدة غير ملزمة</t>
  </si>
  <si>
    <t>قرار غير مؤكد</t>
  </si>
  <si>
    <t>وقف غير مشروط لإطلاق</t>
  </si>
  <si>
    <t>النار</t>
  </si>
  <si>
    <t>إطلاق سراح غير مشروط</t>
  </si>
  <si>
    <t>للأسرى</t>
  </si>
  <si>
    <t>قانون غير دستوري</t>
  </si>
  <si>
    <t>عدم دستورية القوانين</t>
  </si>
  <si>
    <t>تحت السلاح</t>
  </si>
  <si>
    <t>رهن الاعتقال</t>
  </si>
  <si>
    <t>م مدن تحت القصف</t>
  </si>
  <si>
    <t>قيد المناقشة</t>
  </si>
  <si>
    <t>بموجب القوانين الدولية</t>
  </si>
  <si>
    <t>دول تحت الانتداب</t>
  </si>
  <si>
    <t>قيد المفاوضات</t>
  </si>
  <si>
    <t>قيد الاحتجاج</t>
  </si>
  <si>
    <t>تحت الرعاية</t>
  </si>
  <si>
    <t>أثناء ظروف الحرب</t>
  </si>
  <si>
    <t>دول في طور النمو</t>
  </si>
  <si>
    <t>سوء تقدير قوة العدو</t>
  </si>
  <si>
    <t>تعليقات سياسية غير</t>
  </si>
  <si>
    <t>م منصفة</t>
  </si>
  <si>
    <t>ظروف سياسية غير متوقعة</t>
  </si>
  <si>
    <t>أحداث سياسية غير متوقعة</t>
  </si>
  <si>
    <t>توحيد القيادة السياسية</t>
  </si>
  <si>
    <t>قيادة موحدة</t>
  </si>
  <si>
    <t>يموحد الإنسانية بالسلام</t>
  </si>
  <si>
    <t>وحدة</t>
  </si>
  <si>
    <t>اتحاد الق وى</t>
  </si>
  <si>
    <t>اتحاد الأمم</t>
  </si>
  <si>
    <t>اتحاد السلطات</t>
  </si>
  <si>
    <t>قطب واحد</t>
  </si>
  <si>
    <t>وحدوية</t>
  </si>
  <si>
    <t>منظمة الأمم المتحدة للتربية</t>
  </si>
  <si>
    <t>والعلوم والثقافة</t>
  </si>
  <si>
    <t>ميثاق الأمم المتحدة</t>
  </si>
  <si>
    <t>صندوق الأمم المتحدة لرعاية</t>
  </si>
  <si>
    <t>الطفولة</t>
  </si>
  <si>
    <t>قو ات الأمم المتحدة للطوارئ</t>
  </si>
  <si>
    <t>قو ات الأمم المتحدة</t>
  </si>
  <si>
    <t>الجمعية العامة للأمم المتحدة</t>
  </si>
  <si>
    <t>منظمة الأمم المتحدة</t>
  </si>
  <si>
    <t>صندوق الأمم المتحدة للتنمية</t>
  </si>
  <si>
    <t>قو ات الأمم المتحدة للإغاثة</t>
  </si>
  <si>
    <t>قمة الأمم المتحدة</t>
  </si>
  <si>
    <t>دول موح دة</t>
  </si>
  <si>
    <t>وحدة العنص  البشري</t>
  </si>
  <si>
    <t>صفة عالمية للمحادثات</t>
  </si>
  <si>
    <t>اقتراع عالمي</t>
  </si>
  <si>
    <t>حرب كونية</t>
  </si>
  <si>
    <t>عالمية</t>
  </si>
  <si>
    <t>قرار بدون تحفظات</t>
  </si>
  <si>
    <t>النزاعات الدولية القائمة</t>
  </si>
  <si>
    <t>إلى حين صدور أوامر أخرى</t>
  </si>
  <si>
    <t>دستور غير مكتوب</t>
  </si>
  <si>
    <t>يمخل  بالتوازن السياسي</t>
  </si>
  <si>
    <t>م ي خ ل بتوازن الق وى</t>
  </si>
  <si>
    <t>يمخل  بالتوازن الدولي</t>
  </si>
  <si>
    <t>مهمة إنسانية عاجلة</t>
  </si>
  <si>
    <t>جلسة عاجلة</t>
  </si>
  <si>
    <t>هدنة عاجلة</t>
  </si>
  <si>
    <t>استخدام القوة</t>
  </si>
  <si>
    <t>منصب سياسي شاغر</t>
  </si>
  <si>
    <t>يتخلى عن المنصب</t>
  </si>
  <si>
    <t>غموض في القرار السياسي</t>
  </si>
  <si>
    <t>م ي ثبت الصحة القانونية</t>
  </si>
  <si>
    <t>يهزم العدو</t>
  </si>
  <si>
    <t>شعوب قهورة</t>
  </si>
  <si>
    <t>تقرير شفوي</t>
  </si>
  <si>
    <t>مفو ض بكامل السلطات</t>
  </si>
  <si>
    <t>نقض القرار</t>
  </si>
  <si>
    <t>نائب قنصل</t>
  </si>
  <si>
    <t>نائب رئيس</t>
  </si>
  <si>
    <t>ضحية</t>
  </si>
  <si>
    <t>نشيد النص</t>
  </si>
  <si>
    <t>لجنة حفظ السلام</t>
  </si>
  <si>
    <t>يخرق اتفاقية الهدنة</t>
  </si>
  <si>
    <t>يمخل  بشروط الحياد</t>
  </si>
  <si>
    <t>انتهاك حقوق الإنسان</t>
  </si>
  <si>
    <t>انتهاك الحريات الفردية</t>
  </si>
  <si>
    <t>خرق القواعد الدبلوماسية</t>
  </si>
  <si>
    <t>خرق شروط الحياد</t>
  </si>
  <si>
    <t>انتهاك الحري ات السياسية</t>
  </si>
  <si>
    <t>إقلاق الراحة العامة</t>
  </si>
  <si>
    <t>ضحايا الانتهاكات</t>
  </si>
  <si>
    <t>أعمال عنف</t>
  </si>
  <si>
    <t>سجل الزائرين</t>
  </si>
  <si>
    <t>مصالح دولية حيو ية</t>
  </si>
  <si>
    <t>مصالح سياسية حيو ية</t>
  </si>
  <si>
    <t>تعاون طوعي</t>
  </si>
  <si>
    <t>م متطو ع</t>
  </si>
  <si>
    <t>تصويت</t>
  </si>
  <si>
    <t>يمصو ت بالرفض</t>
  </si>
  <si>
    <t>يمصو ت على وقف إطلاق النار</t>
  </si>
  <si>
    <t>تصويت برفع الأيدي</t>
  </si>
  <si>
    <t>تصويت بالتسلسل الأبجدي</t>
  </si>
  <si>
    <t>تصويت بموجب البنود</t>
  </si>
  <si>
    <t>تصويت بواسطة البطاقات</t>
  </si>
  <si>
    <t>تصويت بالثقة</t>
  </si>
  <si>
    <t>تصويت على أساس القائمة</t>
  </si>
  <si>
    <t>تصويت بالنيابة</t>
  </si>
  <si>
    <t>تصويت بالاقتراع الس ري</t>
  </si>
  <si>
    <t>تصويت بالرفض</t>
  </si>
  <si>
    <t>تصويت بحجب الثقة</t>
  </si>
  <si>
    <t>مم قترع مصو ت ناخب</t>
  </si>
  <si>
    <t>أسلوب التصويت</t>
  </si>
  <si>
    <t>أوراق التصويت</t>
  </si>
  <si>
    <t>نتائج التصويت</t>
  </si>
  <si>
    <t>وضع سياسي مهد د</t>
  </si>
  <si>
    <t>ي تنازل عن الحصانة</t>
  </si>
  <si>
    <t>آلة الحرب</t>
  </si>
  <si>
    <t>ويلات الحروب</t>
  </si>
  <si>
    <t>أسرى الحروب</t>
  </si>
  <si>
    <t>مجلس حربي</t>
  </si>
  <si>
    <t>محكمة حرب</t>
  </si>
  <si>
    <t>جرائم حرب</t>
  </si>
  <si>
    <t>مجرم حرب</t>
  </si>
  <si>
    <t>أضرار الحروب</t>
  </si>
  <si>
    <t>حرب الاستنزاف</t>
  </si>
  <si>
    <t>حرب الإبادة</t>
  </si>
  <si>
    <t>حرب الأعصاب</t>
  </si>
  <si>
    <t>سجين حرب</t>
  </si>
  <si>
    <t>إعلان الحرب</t>
  </si>
  <si>
    <t>فن العمليات الحربية</t>
  </si>
  <si>
    <t>شاهد على الحرب</t>
  </si>
  <si>
    <t>منطقة الحرب</t>
  </si>
  <si>
    <t>مذكرة تحذيرية</t>
  </si>
  <si>
    <t>نتائج الحروب</t>
  </si>
  <si>
    <t>معد ل الوفيات في الحروب</t>
  </si>
  <si>
    <t>شرور الحروب</t>
  </si>
  <si>
    <t>أمجاد الحروب</t>
  </si>
  <si>
    <t>تعويضات الحروب</t>
  </si>
  <si>
    <t>قوانين الحرب</t>
  </si>
  <si>
    <t>ضحايا الحروب</t>
  </si>
  <si>
    <t>انتصارات الحروب</t>
  </si>
  <si>
    <t>أسلحة</t>
  </si>
  <si>
    <t>يمرحب بالقرار السياسي</t>
  </si>
  <si>
    <t>دولة الرفاهية</t>
  </si>
  <si>
    <t>أوساط دولية ح سنة الاطلاع</t>
  </si>
  <si>
    <t>م مفاوضات حسنة النية</t>
  </si>
  <si>
    <t>جهود دبلوماسية حسنة</t>
  </si>
  <si>
    <t>النية</t>
  </si>
  <si>
    <t>الضفة الغربية</t>
  </si>
  <si>
    <t>مجتمع غربي</t>
  </si>
  <si>
    <t>الأغلبية البيضاء</t>
  </si>
  <si>
    <t>أقلية بيضاء</t>
  </si>
  <si>
    <t>يوس ع التعاون بين الدول</t>
  </si>
  <si>
    <t>يموس ع الهجمات البرية</t>
  </si>
  <si>
    <t>مراقبة الخطوط الهاتفية</t>
  </si>
  <si>
    <t>سياسة حكيمة</t>
  </si>
  <si>
    <t>ينسحب إلى خلف الحدود</t>
  </si>
  <si>
    <t>يسحب الحصانات</t>
  </si>
  <si>
    <t>انسحاب القو ات الأجنبية</t>
  </si>
  <si>
    <t>بدون منازعة</t>
  </si>
  <si>
    <t>بدون أي تأخير</t>
  </si>
  <si>
    <t>بدون تحفظ</t>
  </si>
  <si>
    <t>يصمد أمام القمع السياسي</t>
  </si>
  <si>
    <t>يصمد أمام الضغوط</t>
  </si>
  <si>
    <t>لغات العمل في المنظمات</t>
  </si>
  <si>
    <t>الد ولية</t>
  </si>
  <si>
    <t>م مراسل الشؤون الدولية</t>
  </si>
  <si>
    <t>كارثة عالمية</t>
  </si>
  <si>
    <t>هزة عالمية</t>
  </si>
  <si>
    <t>مؤتمر القمة</t>
  </si>
  <si>
    <t>الضمير العالمي</t>
  </si>
  <si>
    <t>تعاضد دولي</t>
  </si>
  <si>
    <t>معايير دولية</t>
  </si>
  <si>
    <t>قو ات الطوارئ الدولية</t>
  </si>
  <si>
    <t>م مرافعة دولية</t>
  </si>
  <si>
    <t>اجتماع قادة العالم</t>
  </si>
  <si>
    <t>الوضع العسكري الدولي</t>
  </si>
  <si>
    <t>عالم من التضامن</t>
  </si>
  <si>
    <t>السلام العالمي</t>
  </si>
  <si>
    <t>السياسة العالمية</t>
  </si>
  <si>
    <t>الوضع السياسي العالمي</t>
  </si>
  <si>
    <t>سلطة عالمية</t>
  </si>
  <si>
    <t>قوى دولية</t>
  </si>
  <si>
    <t>حماية دولية</t>
  </si>
  <si>
    <t>حرب عالمية</t>
  </si>
  <si>
    <t>واسع الانتشار دوليا</t>
  </si>
  <si>
    <t>العام الدولي للطفولة</t>
  </si>
  <si>
    <t>العام الدولي لحقوق الإنسان</t>
  </si>
  <si>
    <t>العام الدولي لحقوق المرأة</t>
  </si>
  <si>
    <t>دستور مكتوب</t>
  </si>
  <si>
    <t>تقرير خط ي</t>
  </si>
  <si>
    <t>كراهية الأجانب</t>
  </si>
  <si>
    <t>يمسل السلاح</t>
  </si>
  <si>
    <t>ني ر الاستعمار</t>
  </si>
  <si>
    <t>صهيونية</t>
  </si>
  <si>
    <t>القسم الثاني</t>
  </si>
  <si>
    <t>عربي إنكليزي</t>
  </si>
  <si>
    <t>اتحاد بين مجموعة من الدول</t>
  </si>
  <si>
    <t>فيدرالية</t>
  </si>
  <si>
    <t>اتصالات بين اللجان السياسية</t>
  </si>
  <si>
    <t>اختتام المباحثات الدبلوماسية</t>
  </si>
  <si>
    <t>إذاعة بواسطة الأقمار الصناعية</t>
  </si>
  <si>
    <t>استب</t>
  </si>
  <si>
    <t>استخدام سلمي للطاقة الذرية</t>
  </si>
  <si>
    <t>استخدام سلمي للطاقة النووية</t>
  </si>
  <si>
    <t>استنكار التص يحات الدبلوماسية</t>
  </si>
  <si>
    <t>أسلوب القياس في اتخاذ القرارات</t>
  </si>
  <si>
    <t>إطلاق سراح غير مشروط للأسرى</t>
  </si>
  <si>
    <t>إعادة توزيع المهام الدبلوماسية</t>
  </si>
  <si>
    <t>أفاق جديدة في العلاقات الدبلوماسية</t>
  </si>
  <si>
    <t>اقتراح مبدئي مقد من المجلس</t>
  </si>
  <si>
    <t>الالتزامات المفروضة على الدول</t>
  </si>
  <si>
    <t>إلقاء الكلمات حسب أمكنة الجلوس</t>
  </si>
  <si>
    <t>انسحاب جزئي للقو ات العسكرية</t>
  </si>
  <si>
    <t>انسحاب متوازن للقو ات العسكرية</t>
  </si>
  <si>
    <t>انقلاب فاشل</t>
  </si>
  <si>
    <t>بص ف النظر عن الظروف السياسية</t>
  </si>
  <si>
    <t>بلد نكوب</t>
  </si>
  <si>
    <t>تثمين   تقييم  الميراث الثقافي</t>
  </si>
  <si>
    <t>تحالف بين مجموعة من الدول</t>
  </si>
  <si>
    <t>كونفدرالية</t>
  </si>
  <si>
    <t>تحسين وضع السجناء السياسيين</t>
  </si>
  <si>
    <t>التطل عات المشتركة للمجتمعات</t>
  </si>
  <si>
    <t>تطو ر العلاقات السياسية</t>
  </si>
  <si>
    <t>تعاون بين السلطة الأحزاب السياسية</t>
  </si>
  <si>
    <t>تعزيز آداب التعامل الدبلوماسي</t>
  </si>
  <si>
    <t>تعليقات سياسية غير منصفة</t>
  </si>
  <si>
    <t>تفح ص الوقائع</t>
  </si>
  <si>
    <t>تقارب في وجهات النظر السياسية</t>
  </si>
  <si>
    <t>تقرير سياسي محو ر</t>
  </si>
  <si>
    <t>تقييم شامل للتقرير السياسي</t>
  </si>
  <si>
    <t>ت مثيل دبلوماسي</t>
  </si>
  <si>
    <t>تمييز بين الطبقات الاجتماعية</t>
  </si>
  <si>
    <t>تمييز عنص ي</t>
  </si>
  <si>
    <t>تنازع القوانين الدولية في الحي ز المكاني</t>
  </si>
  <si>
    <t>تنو ع الأنظمة السياسية</t>
  </si>
  <si>
    <t>تنو ع ا لمتطلبات الدولية</t>
  </si>
  <si>
    <t>توافق وجهات النظر السياسية</t>
  </si>
  <si>
    <t>تور ط دولي في الأحداث السياسية</t>
  </si>
  <si>
    <t>توزيع الوظائف  المهام السياسية</t>
  </si>
  <si>
    <t>ت وزيع عادل للموارد الدولية</t>
  </si>
  <si>
    <t>توق عات منحنى الحياة السياسية</t>
  </si>
  <si>
    <t>جدول حضور جلسات المجلس النيابي</t>
  </si>
  <si>
    <t>جرائم شائنة ضد  المدنيين</t>
  </si>
  <si>
    <t>جلاء القو ات الأجنبية</t>
  </si>
  <si>
    <t>جلسة تامة  بحضور جميع الأعضاء</t>
  </si>
  <si>
    <t>جهود دبلوماسية حسنة النية</t>
  </si>
  <si>
    <t>حرمان من الحقوق السياسية</t>
  </si>
  <si>
    <t>ح صانة دبلوماسية</t>
  </si>
  <si>
    <t>حق  الاستفادة من الخدمات الصحية</t>
  </si>
  <si>
    <t>حق  اللجوء إلى السلطات القضائية</t>
  </si>
  <si>
    <t>حل  البرلمان</t>
  </si>
  <si>
    <t>حل  إيجابي للمشكلات الدولية</t>
  </si>
  <si>
    <t>حل  دبلوماسي</t>
  </si>
  <si>
    <t>حلقة عمل سياسية</t>
  </si>
  <si>
    <t>خرق آداب السلوك الدبلوماسي</t>
  </si>
  <si>
    <t>خرق القواعد الدبلوماسية الدولية</t>
  </si>
  <si>
    <t>خطبة أو خطاب رسمي</t>
  </si>
  <si>
    <t>خطر قطع العلاقات الدبلوماسية</t>
  </si>
  <si>
    <t>دور الأحزاب السياسية في الحكومة</t>
  </si>
  <si>
    <t>دول الكومنولث  الشعوب البريطانية</t>
  </si>
  <si>
    <t>ذات الثروات المشتركة</t>
  </si>
  <si>
    <t>رأي ممخالف</t>
  </si>
  <si>
    <t>رسالة دبلوماسية شديدة اللهجة</t>
  </si>
  <si>
    <t>روابط الدم والعرق بين الشعوب</t>
  </si>
  <si>
    <t>سجين سياسي في الحجز الانفرادي</t>
  </si>
  <si>
    <t>سلبيات في التقرير الدبلوماسي</t>
  </si>
  <si>
    <t>سلسلة الاتصالات الدبلوماسية</t>
  </si>
  <si>
    <t>شهادة مستندة إلى سماع أقوال</t>
  </si>
  <si>
    <t>صفة عالمية للمحادثات السياسية</t>
  </si>
  <si>
    <t>صفة عالمية للمحادثات الدبلوماسية</t>
  </si>
  <si>
    <t>صندوق الأمم المتحدة لرعاية الطفولة</t>
  </si>
  <si>
    <t>ضحايا التمييز العنص ي</t>
  </si>
  <si>
    <t>عدم التقيد بالسلوك الدبلوماسي</t>
  </si>
  <si>
    <t>ع زلة دبلوماسية</t>
  </si>
  <si>
    <t>العضو الأكبر سن ا في المجلس النيابي</t>
  </si>
  <si>
    <t>عفو عام عن المجرمين السياسيين</t>
  </si>
  <si>
    <t>ع قبات دبلوماسية</t>
  </si>
  <si>
    <t>علاقات على أساس التعامل بالمثل</t>
  </si>
  <si>
    <t>عن طريق القنوات الدبلوماسية</t>
  </si>
  <si>
    <t>العوامل المؤدية للخلافات الدبلوماسية</t>
  </si>
  <si>
    <t>فات الأوان للمفاوضات الدبلوماسية</t>
  </si>
  <si>
    <t>فشل في تطبيق العدالة الدولية</t>
  </si>
  <si>
    <t>الفصل بين السلطات الحكومية</t>
  </si>
  <si>
    <t>قطع المفاوضات الدبلوماسية</t>
  </si>
  <si>
    <t>قوات الأمن السري   المخابرات</t>
  </si>
  <si>
    <t>اللجنة المكلفة باتخاذ القرارات</t>
  </si>
  <si>
    <t>لجنة دراسة المشكلات السياسية</t>
  </si>
  <si>
    <t>لغات العمل في المنظمات الدولية</t>
  </si>
  <si>
    <t>المؤتمر العام للأحزاب السياسية</t>
  </si>
  <si>
    <t>مؤتمرات مشتركة بين الحكومات</t>
  </si>
  <si>
    <t>مباحثات دبلوماسية خلف الكواليس</t>
  </si>
  <si>
    <t>مبدأ اشتراكي</t>
  </si>
  <si>
    <t>مبدأ المساواة بين الأعراق والأجناس</t>
  </si>
  <si>
    <t>مبدأ الميكيافلية   أي الخداع السياسي</t>
  </si>
  <si>
    <t>مبدأ فر ق تسد</t>
  </si>
  <si>
    <t>م مبعد  منفي</t>
  </si>
  <si>
    <t>متعل ق بالمباحثات الدبلوماسية</t>
  </si>
  <si>
    <t>المجتمع الدولي أو الأسرة الدولية</t>
  </si>
  <si>
    <t>مجلس الأعيان   نظام بريطاني</t>
  </si>
  <si>
    <t>مجلس العموم   نظام بريطاني</t>
  </si>
  <si>
    <t>مجلس اللوردات  نظام بريطاني</t>
  </si>
  <si>
    <t>مجلس المحافظين  نظام بريطاني</t>
  </si>
  <si>
    <t>م مخطط لتفجير البنية التحتية</t>
  </si>
  <si>
    <t>م مذكرة تفاهم دبلوماسية</t>
  </si>
  <si>
    <t>مذكرة تفاهم دبلوماسية توضيحية</t>
  </si>
  <si>
    <t>مذكرة تفاهم سياسية توضيحية</t>
  </si>
  <si>
    <t>مراعاة العلاقات الودية بين الدول</t>
  </si>
  <si>
    <t>مراقب مراعاة حقوق الإنسان</t>
  </si>
  <si>
    <t>م مشاركة الجماهير في الحياة السياسية</t>
  </si>
  <si>
    <t>م مشاورات دبلوماسية مشتركة</t>
  </si>
  <si>
    <t>م مصالحة دبلوماسية</t>
  </si>
  <si>
    <t>مصدر مخ ول بإعطاء المعلومات</t>
  </si>
  <si>
    <t>معاملة غير إنسانية للسجناء</t>
  </si>
  <si>
    <t>المعاهدة الدولية حول تسليم المجرمين</t>
  </si>
  <si>
    <t>م مفاوضات على مستوى السفراء</t>
  </si>
  <si>
    <t>م مفاوضات دبلوماسية</t>
  </si>
  <si>
    <t>م مفاوضات على المستوى الدولي</t>
  </si>
  <si>
    <t>م مفاوضات على المستوى المحلي</t>
  </si>
  <si>
    <t>م مقتضيات المنصب الدبلوماسي</t>
  </si>
  <si>
    <t>م مكافحة التحريض على الحرب</t>
  </si>
  <si>
    <t>م ممثل دبلوماسي</t>
  </si>
  <si>
    <t>م ممثل منتخب</t>
  </si>
  <si>
    <t>م مناورة دبلوماسية</t>
  </si>
  <si>
    <t>منطقة عزلاء</t>
  </si>
  <si>
    <t>منطقة نزوعة السلاح</t>
  </si>
  <si>
    <t>منظمة الأمم المتحدة للتربية والعلوم</t>
  </si>
  <si>
    <t>والثقافة</t>
  </si>
  <si>
    <t>المنظمة الدولية للشرطة الجنائية</t>
  </si>
  <si>
    <t>م هام دبلوماسية</t>
  </si>
  <si>
    <t>مواضيع المباحثات الدبلوماسية</t>
  </si>
  <si>
    <t>نداء مشترك من الدول المستقلة</t>
  </si>
  <si>
    <t>ن زع السلاح</t>
  </si>
  <si>
    <t>ن زعة إلى السيطرة</t>
  </si>
  <si>
    <t>النقاط الرئيسية في المفاوضات</t>
  </si>
  <si>
    <t>الهيئة المختصة بوضع الخطط</t>
  </si>
  <si>
    <t>وضع دبلوماسي دقيق أو ح رج</t>
  </si>
  <si>
    <t>الوطن الأم   بلد سقط الرأس</t>
  </si>
  <si>
    <t>وقف غير مشروط لإطلاق النار</t>
  </si>
  <si>
    <t>و لاء طاعة</t>
  </si>
  <si>
    <t>الجزء الثالث</t>
  </si>
  <si>
    <t>قائمة الأفعال المستخدمة في الدبلوماسية</t>
  </si>
  <si>
    <t>والسياسة</t>
  </si>
  <si>
    <t>يأخذ بزمام المبادرة الدبلوماسية</t>
  </si>
  <si>
    <t>يأخذ علما بالأحداث السياسية</t>
  </si>
  <si>
    <t>يتب نى اقتراحا أو رأي في مداولة</t>
  </si>
  <si>
    <t>يتجاوب مع تطلعات الشعوب</t>
  </si>
  <si>
    <t>يتفح ص التقارير الدبلوماسية</t>
  </si>
  <si>
    <t>يتوصل إلى تفاهم مشترك بين الدول</t>
  </si>
  <si>
    <t>يتوصل إلى حل  مشترك للأزمة الدولية</t>
  </si>
  <si>
    <t>يمجري الاتصالات الدبلوماسية</t>
  </si>
  <si>
    <t>يمحد د المسؤوليات الدبلوماسية</t>
  </si>
  <si>
    <t>يمحر ف الوقائع التاريخية</t>
  </si>
  <si>
    <t>يمحر ك خيوط المداولات السياسية</t>
  </si>
  <si>
    <t>يحصل على تمديد مهلة قانونية</t>
  </si>
  <si>
    <t>يمحق ر الأسرى</t>
  </si>
  <si>
    <t>يحل  البرلمان</t>
  </si>
  <si>
    <t>يمحيل التقرير إلى المحكمة الدولية</t>
  </si>
  <si>
    <t>يمخفف التوتر الدبلوماسي</t>
  </si>
  <si>
    <t>يمخلي المدن</t>
  </si>
  <si>
    <t>يمخلي المدنيين</t>
  </si>
  <si>
    <t>يمخلي سبيل السجناء السياسيين</t>
  </si>
  <si>
    <t>يدفع ببطلان الإجراءات القانونية</t>
  </si>
  <si>
    <t>ينبذ  يرفض  القرار السياسي</t>
  </si>
  <si>
    <t>يرفض   يمعرض  المنصب السياسي</t>
  </si>
  <si>
    <t>يساهم في اتخاذ القرارات السياسية</t>
  </si>
  <si>
    <t>يمساهم في حل  المشكلات الدولية</t>
  </si>
  <si>
    <t>يستفيد  يستغ ل  من وقف إطلاق النار</t>
  </si>
  <si>
    <t>يمسطر على المواقع الاستراتيجية</t>
  </si>
  <si>
    <t>يمسيطر على المواقع الاستراتيجية</t>
  </si>
  <si>
    <t>يمسيطر على النقاط الاستراتيجية</t>
  </si>
  <si>
    <t>يمشارك في المباحثات الدبلوماسية</t>
  </si>
  <si>
    <t>يمشارك في المفاوضات الدبلوماسية</t>
  </si>
  <si>
    <t>يمشارك في المفاوضات السياسية</t>
  </si>
  <si>
    <t>يمشو ه العلاقات الدبلوماسية بين الدول</t>
  </si>
  <si>
    <t>يمشو ه الوقائع السياسية</t>
  </si>
  <si>
    <t>يصمد أمام الضغوط الدبلوماسية</t>
  </si>
  <si>
    <t>يضع الخلافات السياسية جانبا</t>
  </si>
  <si>
    <t>يضع نهاية للخلافات السياسية</t>
  </si>
  <si>
    <t>يمطلق سراح السجناء السياسيين</t>
  </si>
  <si>
    <t>يمعامل الدول على أساس المساواة</t>
  </si>
  <si>
    <t>يمعيد تجميع القو ات العسكرية</t>
  </si>
  <si>
    <t>يمعيد توزيع المهام الدبلوماسية</t>
  </si>
  <si>
    <t>يقترح العقوبات الدبلوماسية الدولية</t>
  </si>
  <si>
    <t>يمقيم التوازن السياسي</t>
  </si>
  <si>
    <t>يمقيم الحوار البناء بين الدول</t>
  </si>
  <si>
    <t>يمقيم السلام الدائم</t>
  </si>
  <si>
    <t>يمقيم جسر من العلاقات الدبلوماسية</t>
  </si>
  <si>
    <t>يمقيم عالم من التضامن والإنصاف</t>
  </si>
  <si>
    <t>يمقيم نظام سياسي جديد</t>
  </si>
  <si>
    <t>يكشف عن حقيقة الوضع السياسي</t>
  </si>
  <si>
    <t>يكشف عن خطورة الوضع السياسي</t>
  </si>
  <si>
    <t>يملغي الاق تراع</t>
  </si>
  <si>
    <t>يملقي الضوء على المشكلات السياسية</t>
  </si>
  <si>
    <t>ينتخب بال قرعة</t>
  </si>
  <si>
    <t>ينشر القو ات العسكرية الدولية</t>
  </si>
  <si>
    <t>يموافق على التوصيات الدبلوماسية</t>
  </si>
  <si>
    <t>يموزع المنشورات السياسية</t>
  </si>
  <si>
    <t>يولي الاهتمام للمشكلات الدولية</t>
  </si>
  <si>
    <t>﻿اسره والمجتمع</t>
  </si>
  <si>
    <t>حاله الشعب</t>
  </si>
  <si>
    <t>ذوي الدخل المحدود</t>
  </si>
  <si>
    <t>افراد المجتمع</t>
  </si>
  <si>
    <t>افراد الاسره</t>
  </si>
  <si>
    <t>ثقافه شعب</t>
  </si>
  <si>
    <t>ثقافات</t>
  </si>
  <si>
    <t>سلوكيات المجتمع</t>
  </si>
  <si>
    <t>تصرفات الشباب</t>
  </si>
  <si>
    <t>مراه العربيه</t>
  </si>
  <si>
    <t>حقوق المراه</t>
  </si>
  <si>
    <t>حقوق الانسان</t>
  </si>
  <si>
    <t>ذوي الاحتياجات الخاصه</t>
  </si>
  <si>
    <t>ثقافاتنا</t>
  </si>
  <si>
    <t>عاداتنا</t>
  </si>
  <si>
    <t>تقاليدنا</t>
  </si>
  <si>
    <t>ابناونا</t>
  </si>
  <si>
    <t>احفادنا</t>
  </si>
  <si>
    <t>بناتنا</t>
  </si>
  <si>
    <t>قبيله</t>
  </si>
  <si>
    <t>قباىل</t>
  </si>
  <si>
    <t>عشيره</t>
  </si>
  <si>
    <t>عشائر</t>
  </si>
  <si>
    <t>طبقات اجتماعيه</t>
  </si>
  <si>
    <t>طبقات الاجتماعيه</t>
  </si>
  <si>
    <t>الفقراء والموعزون</t>
  </si>
  <si>
    <t>فقراء</t>
  </si>
  <si>
    <t>حاله اجتماعيه</t>
  </si>
  <si>
    <t>طلاب المدارس</t>
  </si>
  <si>
    <t>طالبات المدارس</t>
  </si>
  <si>
    <t>جهل</t>
  </si>
  <si>
    <t>محو الاميه</t>
  </si>
  <si>
    <t>اوساط الشباب</t>
  </si>
  <si>
    <t>طبقيه بغيضه</t>
  </si>
  <si>
    <t>مناطقيه</t>
  </si>
  <si>
    <t>فئات الشعب</t>
  </si>
  <si>
    <t>فئات المجتمع</t>
  </si>
  <si>
    <t>فئات الشباب</t>
  </si>
  <si>
    <t>فئات عمريه</t>
  </si>
  <si>
    <t>شرائح المجتمع</t>
  </si>
  <si>
    <t>طلاب الجامعات</t>
  </si>
  <si>
    <t>التعليم المتدني</t>
  </si>
  <si>
    <t>حاله شعبيه</t>
  </si>
  <si>
    <t>استنفار شعبي</t>
  </si>
  <si>
    <t>غلاء المهور</t>
  </si>
  <si>
    <t>سن الزواج</t>
  </si>
  <si>
    <t>قاصره</t>
  </si>
  <si>
    <t>اخلاقنا</t>
  </si>
  <si>
    <t>اخلاق الشباب</t>
  </si>
  <si>
    <t>نسيج اجتماعي</t>
  </si>
  <si>
    <t>نسيج الاجتماعي</t>
  </si>
  <si>
    <t>سلم اجتماعي</t>
  </si>
  <si>
    <t>سلم الاجتماعي</t>
  </si>
  <si>
    <t>تنظيم الاسره</t>
  </si>
  <si>
    <t>حياه البدو</t>
  </si>
  <si>
    <t>حياه الريف</t>
  </si>
  <si>
    <t>تربيه الابناء</t>
  </si>
  <si>
    <t>تعليم الابناء</t>
  </si>
  <si>
    <t>تربيه ابناء</t>
  </si>
  <si>
    <t>فتياتنا</t>
  </si>
  <si>
    <t>امهاتنا</t>
  </si>
  <si>
    <t>اباؤنا</t>
  </si>
  <si>
    <t>احترام الكبير</t>
  </si>
  <si>
    <t>ازمه اخلاقيه</t>
  </si>
  <si>
    <t>في المجتمع</t>
  </si>
  <si>
    <t>في الاسره</t>
  </si>
  <si>
    <t>في البيت</t>
  </si>
  <si>
    <t>في الشوراع</t>
  </si>
  <si>
    <t>في الطرقات</t>
  </si>
  <si>
    <t>الحياه اليوميه</t>
  </si>
  <si>
    <t>مكونات الاسره</t>
  </si>
  <si>
    <t>مكونات المجتمع</t>
  </si>
  <si>
    <t>مجتمع</t>
  </si>
  <si>
    <t>اسره</t>
  </si>
  <si>
    <t>عيد</t>
  </si>
  <si>
    <t>اعياد</t>
  </si>
  <si>
    <t>شعب المسكين</t>
  </si>
  <si>
    <t>توازن الاسره</t>
  </si>
  <si>
    <t>توازن المجتمع</t>
  </si>
  <si>
    <t>تكامل اجتماعي</t>
  </si>
  <si>
    <t>تكافل اجتماعي</t>
  </si>
  <si>
    <t>تكافل الاجتماعي</t>
  </si>
  <si>
    <t>تكامل الاجتماعي</t>
  </si>
  <si>
    <t>تنشئه اجتماعيه</t>
  </si>
  <si>
    <t>تنشئة الفرد</t>
  </si>
  <si>
    <t>اصلاح المجتمع</t>
  </si>
  <si>
    <t>اصلاح الفرد</t>
  </si>
  <si>
    <t>اعاده تاهيل</t>
  </si>
  <si>
    <t>تدريب مهني</t>
  </si>
  <si>
    <t>توازن اجتماعي</t>
  </si>
  <si>
    <t>تفكك اجتماعي</t>
  </si>
  <si>
    <t>علاقات بين الافراد</t>
  </si>
  <si>
    <t>علاقات الاسريه</t>
  </si>
  <si>
    <t>بين الاسره الواحده</t>
  </si>
  <si>
    <t>نسبه الفقر</t>
  </si>
  <si>
    <t>نسبه الجهل</t>
  </si>
  <si>
    <t>نسبه الاميه</t>
  </si>
  <si>
    <t>مغتربين</t>
  </si>
  <si>
    <t>مهاجرين</t>
  </si>
  <si>
    <t>مرضى</t>
  </si>
  <si>
    <t>امراض</t>
  </si>
  <si>
    <t>حالات فرديه</t>
  </si>
  <si>
    <t>مطلقات</t>
  </si>
  <si>
    <t>مطلقه</t>
  </si>
  <si>
    <t>عانس</t>
  </si>
  <si>
    <t>عوانس</t>
  </si>
  <si>
    <t>ارامل</t>
  </si>
  <si>
    <t>عجاىز</t>
  </si>
  <si>
    <t>كبار السن</t>
  </si>
  <si>
    <t>معاق</t>
  </si>
  <si>
    <t>باعه متجولين</t>
  </si>
  <si>
    <t>الباعه المتجولين</t>
  </si>
  <si>
    <t>انتشار الوباء</t>
  </si>
  <si>
    <t>محليه</t>
  </si>
  <si>
    <t>شحات</t>
  </si>
  <si>
    <t>فاقه</t>
  </si>
  <si>
    <t>مجاعه</t>
  </si>
  <si>
    <t>مجاعات</t>
  </si>
  <si>
    <t>خطر يهدد المجتمع</t>
  </si>
  <si>
    <t>شجار بين</t>
  </si>
  <si>
    <t>رب الاسره</t>
  </si>
  <si>
    <t>ربه المنزل</t>
  </si>
  <si>
    <t>الام</t>
  </si>
  <si>
    <t>الاب</t>
  </si>
  <si>
    <t>الامهات</t>
  </si>
  <si>
    <t>الاباء</t>
  </si>
  <si>
    <t>الابناء</t>
  </si>
  <si>
    <t>اولاد</t>
  </si>
  <si>
    <t>بنات</t>
  </si>
  <si>
    <t>فتيات</t>
  </si>
  <si>
    <t>﻿كره القدم</t>
  </si>
  <si>
    <t>كره السله</t>
  </si>
  <si>
    <t>كره قدم</t>
  </si>
  <si>
    <t>كره سله</t>
  </si>
  <si>
    <t>كره يد</t>
  </si>
  <si>
    <t>كره اليد</t>
  </si>
  <si>
    <t>تنس</t>
  </si>
  <si>
    <t>سباحه</t>
  </si>
  <si>
    <t>شطرنج</t>
  </si>
  <si>
    <t>نادي رياضي</t>
  </si>
  <si>
    <t>نادي الرياضي</t>
  </si>
  <si>
    <t>رياضه</t>
  </si>
  <si>
    <t>رياضيه</t>
  </si>
  <si>
    <t>فريق رياضي</t>
  </si>
  <si>
    <t>منتخب الرياضي</t>
  </si>
  <si>
    <t>فريق الرياضي</t>
  </si>
  <si>
    <t>منتخبنا الوطني</t>
  </si>
  <si>
    <t>منتخب وطني</t>
  </si>
  <si>
    <t>منتخب الوطني</t>
  </si>
  <si>
    <t>منتخب الشباب</t>
  </si>
  <si>
    <t>منتخب الناشىين</t>
  </si>
  <si>
    <t>لاعبين</t>
  </si>
  <si>
    <t>لاعبون</t>
  </si>
  <si>
    <t>ملاعب</t>
  </si>
  <si>
    <t>ملعب</t>
  </si>
  <si>
    <t>فيفا</t>
  </si>
  <si>
    <t>اولمبياد</t>
  </si>
  <si>
    <t>كروي</t>
  </si>
  <si>
    <t>مدرب</t>
  </si>
  <si>
    <t>مباراه</t>
  </si>
  <si>
    <t>مباريات</t>
  </si>
  <si>
    <t>سباق</t>
  </si>
  <si>
    <t>مسابقات</t>
  </si>
  <si>
    <t>تمارين رياضيه</t>
  </si>
  <si>
    <t>مصارعه</t>
  </si>
  <si>
    <t>ملاكمه</t>
  </si>
  <si>
    <t>ملاكم</t>
  </si>
  <si>
    <t>مصارع</t>
  </si>
  <si>
    <t>انديه رياضيه</t>
  </si>
  <si>
    <t>انديه الرياضيه</t>
  </si>
  <si>
    <t>كاس العالم</t>
  </si>
  <si>
    <t>كاس الدوري</t>
  </si>
  <si>
    <t>دوري رياضي</t>
  </si>
  <si>
    <t>دوري الرياضي</t>
  </si>
  <si>
    <t>ميداليه</t>
  </si>
  <si>
    <t>ميداليات</t>
  </si>
  <si>
    <t>حلبه</t>
  </si>
  <si>
    <t>اتحاد كره</t>
  </si>
  <si>
    <t>امم اوروبا</t>
  </si>
  <si>
    <t>اتحاد الكره</t>
  </si>
  <si>
    <t>بطوله الدوليه</t>
  </si>
  <si>
    <t>بطوله دوليه</t>
  </si>
  <si>
    <t>الاتحاد الدولي لكره القدم</t>
  </si>
  <si>
    <t>دوري كره القدم</t>
  </si>
  <si>
    <t>بطوله الدوري</t>
  </si>
  <si>
    <t>دوري الدرجه الاولى</t>
  </si>
  <si>
    <t>بطل الدوري</t>
  </si>
  <si>
    <t>بطل الكاس</t>
  </si>
  <si>
    <t>تصفيات كاس العالم</t>
  </si>
  <si>
    <t>تصفيات بطوله</t>
  </si>
  <si>
    <t>تصفيات الدوري</t>
  </si>
  <si>
    <t>يتصدر الدوري</t>
  </si>
  <si>
    <t>يتاهل الى</t>
  </si>
  <si>
    <t>يحافظ على الصداره</t>
  </si>
  <si>
    <t>حافظ على الصداره</t>
  </si>
  <si>
    <t>الدور قبل النهاىي</t>
  </si>
  <si>
    <t>حامل اللقب</t>
  </si>
  <si>
    <t>خط الوسط</t>
  </si>
  <si>
    <t>لياقه بدنيه</t>
  </si>
  <si>
    <t>تهديف</t>
  </si>
  <si>
    <t>ضربه جزاء</t>
  </si>
  <si>
    <t>ضربات الجزاء</t>
  </si>
  <si>
    <t>ضربات ترجيحيه</t>
  </si>
  <si>
    <t>ينهي المباراه</t>
  </si>
  <si>
    <t>هدف التعادل</t>
  </si>
  <si>
    <t>هدف الفوز</t>
  </si>
  <si>
    <t>تسلل</t>
  </si>
  <si>
    <t>حكم المباراه</t>
  </si>
  <si>
    <t>اتحاد كره السله</t>
  </si>
  <si>
    <t>اتحاد كره الطاوله</t>
  </si>
  <si>
    <t>اتحاد لعبه الشطرنج</t>
  </si>
  <si>
    <t>بلياردو</t>
  </si>
  <si>
    <t>مباراه دوليه</t>
  </si>
  <si>
    <t>مباراه الاياب</t>
  </si>
  <si>
    <t>مباراه الذهاب</t>
  </si>
  <si>
    <t>مباراه وديه</t>
  </si>
  <si>
    <t>مباراه نهاىيه</t>
  </si>
  <si>
    <t>مباراه الكاس</t>
  </si>
  <si>
    <t>رميه حره</t>
  </si>
  <si>
    <t>ضربه ركنيه</t>
  </si>
  <si>
    <t>حارس المرمى</t>
  </si>
  <si>
    <t>قائد الفريق</t>
  </si>
  <si>
    <t>وزن الديك</t>
  </si>
  <si>
    <t>وزن الذبابه</t>
  </si>
  <si>
    <t>سباق السيارات</t>
  </si>
  <si>
    <t>الهوكي</t>
  </si>
  <si>
    <t>كمال الاجسام</t>
  </si>
  <si>
    <t>بطل العالم</t>
  </si>
  <si>
    <t>هداف الدوري</t>
  </si>
  <si>
    <t>الكراتيه</t>
  </si>
  <si>
    <t>الجودو</t>
  </si>
  <si>
    <t>الالعاب الاولومبيه</t>
  </si>
  <si>
    <t>الشباب والرياضه</t>
  </si>
  <si>
    <t>الشباب و الرياضه</t>
  </si>
  <si>
    <t>الجولف</t>
  </si>
  <si>
    <t>ركله جزاء</t>
  </si>
  <si>
    <t>هدف ذهبي</t>
  </si>
  <si>
    <t>هجمه مرتده</t>
  </si>
  <si>
    <t>شوط اول</t>
  </si>
  <si>
    <t>الشوط الاول</t>
  </si>
  <si>
    <t>شوط ثاني</t>
  </si>
  <si>
    <t>الشوط الثاني</t>
  </si>
  <si>
    <t>شوط اضافي</t>
  </si>
  <si>
    <t>لاعب وسط</t>
  </si>
  <si>
    <t>لاعب هجوم</t>
  </si>
  <si>
    <t>لاعب دفاع</t>
  </si>
  <si>
    <t>حارس مرمى</t>
  </si>
  <si>
    <t>ضربه حره</t>
  </si>
  <si>
    <t>ركله حره</t>
  </si>
  <si>
    <t>ركلات ترجيحيه</t>
  </si>
  <si>
    <t>لاعب احتياط</t>
  </si>
  <si>
    <t>مدرب المنتخب</t>
  </si>
  <si>
    <t>﻿تخلى</t>
  </si>
  <si>
    <t>مهجور</t>
  </si>
  <si>
    <t>هجر</t>
  </si>
  <si>
    <t>يهجر</t>
  </si>
  <si>
    <t>انحسر</t>
  </si>
  <si>
    <t>خفت</t>
  </si>
  <si>
    <t>انحسار</t>
  </si>
  <si>
    <t>جودا</t>
  </si>
  <si>
    <t>تنازل</t>
  </si>
  <si>
    <t>يتخلى عن</t>
  </si>
  <si>
    <t>نمقت</t>
  </si>
  <si>
    <t>يمقت</t>
  </si>
  <si>
    <t>اشمئزاز</t>
  </si>
  <si>
    <t>كريه</t>
  </si>
  <si>
    <t>مدقع</t>
  </si>
  <si>
    <t>ذريعا</t>
  </si>
  <si>
    <t>غير طبيعي</t>
  </si>
  <si>
    <t>شذوذ</t>
  </si>
  <si>
    <t>إلغاء</t>
  </si>
  <si>
    <t>يلغي</t>
  </si>
  <si>
    <t>بغيض</t>
  </si>
  <si>
    <t>رجس</t>
  </si>
  <si>
    <t>يكرهونه</t>
  </si>
  <si>
    <t>البغيض</t>
  </si>
  <si>
    <t>مقت شديد</t>
  </si>
  <si>
    <t>الرجاسات</t>
  </si>
  <si>
    <t>كاشط</t>
  </si>
  <si>
    <t>الحك</t>
  </si>
  <si>
    <t>كشط</t>
  </si>
  <si>
    <t>مفاجئ</t>
  </si>
  <si>
    <t>فجأة</t>
  </si>
  <si>
    <t>مباغتة</t>
  </si>
  <si>
    <t>هرب</t>
  </si>
  <si>
    <t>توارى عن الأنظار</t>
  </si>
  <si>
    <t>هارب</t>
  </si>
  <si>
    <t>الفرار</t>
  </si>
  <si>
    <t>فرار</t>
  </si>
  <si>
    <t>غياب</t>
  </si>
  <si>
    <t>الغياب</t>
  </si>
  <si>
    <t>غائب</t>
  </si>
  <si>
    <t>تغيب</t>
  </si>
  <si>
    <t>الغائب</t>
  </si>
  <si>
    <t>التغيب عن العمل</t>
  </si>
  <si>
    <t>الغائبين</t>
  </si>
  <si>
    <t>تغييب</t>
  </si>
  <si>
    <t>بذهول</t>
  </si>
  <si>
    <t>شاردا</t>
  </si>
  <si>
    <t>الذهول</t>
  </si>
  <si>
    <t>سخيف</t>
  </si>
  <si>
    <t>العبثية</t>
  </si>
  <si>
    <t>السخافات</t>
  </si>
  <si>
    <t>سخافة</t>
  </si>
  <si>
    <t>على نحو سخيف</t>
  </si>
  <si>
    <t>الاعتداء</t>
  </si>
  <si>
    <t>سوء المعاملة</t>
  </si>
  <si>
    <t>المسيء</t>
  </si>
  <si>
    <t>متعاطي</t>
  </si>
  <si>
    <t>انتهاكات</t>
  </si>
  <si>
    <t>الإساءة</t>
  </si>
  <si>
    <t>متعسف</t>
  </si>
  <si>
    <t>تعسفا</t>
  </si>
  <si>
    <t>الوقاحة</t>
  </si>
  <si>
    <t>هاوية</t>
  </si>
  <si>
    <t>لا يسبر غوره</t>
  </si>
  <si>
    <t>الهاويات</t>
  </si>
  <si>
    <t>حادث</t>
  </si>
  <si>
    <t>عرضي</t>
  </si>
  <si>
    <t>من غير قصد</t>
  </si>
  <si>
    <t>الحوادث</t>
  </si>
  <si>
    <t>دنا منه</t>
  </si>
  <si>
    <t>فاتح</t>
  </si>
  <si>
    <t>المراودة</t>
  </si>
  <si>
    <t>لعين</t>
  </si>
  <si>
    <t>اتهام</t>
  </si>
  <si>
    <t>اتهامات</t>
  </si>
  <si>
    <t>حالة المفعول به</t>
  </si>
  <si>
    <t>اتهامي</t>
  </si>
  <si>
    <t>اتهم</t>
  </si>
  <si>
    <t>المتهم</t>
  </si>
  <si>
    <t>المتهمون</t>
  </si>
  <si>
    <t>وتتهم</t>
  </si>
  <si>
    <t>متهما</t>
  </si>
  <si>
    <t>عود</t>
  </si>
  <si>
    <t>معتاد</t>
  </si>
  <si>
    <t>تعويد</t>
  </si>
  <si>
    <t>وجع</t>
  </si>
  <si>
    <t>آلم</t>
  </si>
  <si>
    <t>الأوجاع</t>
  </si>
  <si>
    <t>مؤلم</t>
  </si>
  <si>
    <t>حاد</t>
  </si>
  <si>
    <t>بصورة حادة</t>
  </si>
  <si>
    <t>لذع</t>
  </si>
  <si>
    <t>مدمن</t>
  </si>
  <si>
    <t>إدمان</t>
  </si>
  <si>
    <t>الإدمان</t>
  </si>
  <si>
    <t>الادمان</t>
  </si>
  <si>
    <t>مدمني</t>
  </si>
  <si>
    <t>عاتب</t>
  </si>
  <si>
    <t>نبهت</t>
  </si>
  <si>
    <t>يعاتب</t>
  </si>
  <si>
    <t>مباحث</t>
  </si>
  <si>
    <t>النصح</t>
  </si>
  <si>
    <t>عتاب</t>
  </si>
  <si>
    <t>العتاب</t>
  </si>
  <si>
    <t>إرشاديا</t>
  </si>
  <si>
    <t>غش</t>
  </si>
  <si>
    <t>المغشوشة</t>
  </si>
  <si>
    <t>الزنا</t>
  </si>
  <si>
    <t>الخصومة</t>
  </si>
  <si>
    <t>الخصوم</t>
  </si>
  <si>
    <t>خصم</t>
  </si>
  <si>
    <t>معاكس</t>
  </si>
  <si>
    <t>سلبا</t>
  </si>
  <si>
    <t>المحن</t>
  </si>
  <si>
    <t>محنة</t>
  </si>
  <si>
    <t>التكلف</t>
  </si>
  <si>
    <t>ابتلى</t>
  </si>
  <si>
    <t>ابتليت</t>
  </si>
  <si>
    <t>التي تعاني منها</t>
  </si>
  <si>
    <t>مصيبة</t>
  </si>
  <si>
    <t>الآلام</t>
  </si>
  <si>
    <t>يصيب</t>
  </si>
  <si>
    <t>خائف</t>
  </si>
  <si>
    <t>ضد</t>
  </si>
  <si>
    <t>تفاقم</t>
  </si>
  <si>
    <t>تتفاقم</t>
  </si>
  <si>
    <t>يفاقم</t>
  </si>
  <si>
    <t>مشدد</t>
  </si>
  <si>
    <t>تفاقم الأوضاع</t>
  </si>
  <si>
    <t>الاعتداءات</t>
  </si>
  <si>
    <t>العدواني</t>
  </si>
  <si>
    <t>بقوة</t>
  </si>
  <si>
    <t>عدوانية</t>
  </si>
  <si>
    <t>معتد</t>
  </si>
  <si>
    <t>المعتدين</t>
  </si>
  <si>
    <t>المتضرر</t>
  </si>
  <si>
    <t>بظلم</t>
  </si>
  <si>
    <t>مذعور</t>
  </si>
  <si>
    <t>حرك</t>
  </si>
  <si>
    <t>هائج</t>
  </si>
  <si>
    <t>يحرك</t>
  </si>
  <si>
    <t>مربك</t>
  </si>
  <si>
    <t>الإثارة</t>
  </si>
  <si>
    <t>الثورات</t>
  </si>
  <si>
    <t>المهيج</t>
  </si>
  <si>
    <t>محرضين</t>
  </si>
  <si>
    <t>احتضر</t>
  </si>
  <si>
    <t>مكروب</t>
  </si>
  <si>
    <t>ناهض</t>
  </si>
  <si>
    <t>منبهات</t>
  </si>
  <si>
    <t>سكرة الموت</t>
  </si>
  <si>
    <t>توعك</t>
  </si>
  <si>
    <t>موازنة الطائرة</t>
  </si>
  <si>
    <t>الجنيحات</t>
  </si>
  <si>
    <t>معتل</t>
  </si>
  <si>
    <t>مرض</t>
  </si>
  <si>
    <t>الامراض</t>
  </si>
  <si>
    <t>تعانيه</t>
  </si>
  <si>
    <t>بلا هدف</t>
  </si>
  <si>
    <t>تائة</t>
  </si>
  <si>
    <t>قلق</t>
  </si>
  <si>
    <t>ينذر بالخطر</t>
  </si>
  <si>
    <t>المرعب</t>
  </si>
  <si>
    <t>الإخطارية</t>
  </si>
  <si>
    <t>المخاوف</t>
  </si>
  <si>
    <t>واحسرتاه</t>
  </si>
  <si>
    <t>ألاسكا</t>
  </si>
  <si>
    <t>عذر</t>
  </si>
  <si>
    <t>الاعذار</t>
  </si>
  <si>
    <t>أجنبي</t>
  </si>
  <si>
    <t>نفر</t>
  </si>
  <si>
    <t>نفور</t>
  </si>
  <si>
    <t>يستعدي</t>
  </si>
  <si>
    <t>تنفير</t>
  </si>
  <si>
    <t>عزلة</t>
  </si>
  <si>
    <t>الأجانب</t>
  </si>
  <si>
    <t>ادعاء</t>
  </si>
  <si>
    <t>الادعاءات</t>
  </si>
  <si>
    <t>يزعم</t>
  </si>
  <si>
    <t>مزعوم</t>
  </si>
  <si>
    <t>زعم</t>
  </si>
  <si>
    <t>وتزعم</t>
  </si>
  <si>
    <t>وحده</t>
  </si>
  <si>
    <t>الحدة</t>
  </si>
  <si>
    <t>بمعزل</t>
  </si>
  <si>
    <t>متحفظ</t>
  </si>
  <si>
    <t>مشادة</t>
  </si>
  <si>
    <t>مشادات</t>
  </si>
  <si>
    <t>الغموض</t>
  </si>
  <si>
    <t>غموض</t>
  </si>
  <si>
    <t>غامض</t>
  </si>
  <si>
    <t>غامضة</t>
  </si>
  <si>
    <t>متردد</t>
  </si>
  <si>
    <t>كمين</t>
  </si>
  <si>
    <t>كانوا يحاولون نصب كمين</t>
  </si>
  <si>
    <t>الكمائن</t>
  </si>
  <si>
    <t>نصب كمائن</t>
  </si>
  <si>
    <t>خاطئ</t>
  </si>
  <si>
    <t>ليس أخلاقيا</t>
  </si>
  <si>
    <t>اللاأخلاقية</t>
  </si>
  <si>
    <t>بتر</t>
  </si>
  <si>
    <t>أبتر</t>
  </si>
  <si>
    <t>فوضوية</t>
  </si>
  <si>
    <t>الفوضويين</t>
  </si>
  <si>
    <t>غضب</t>
  </si>
  <si>
    <t>إغضاب</t>
  </si>
  <si>
    <t>يغضب</t>
  </si>
  <si>
    <t>غضبا</t>
  </si>
  <si>
    <t>الأكثر غضبا</t>
  </si>
  <si>
    <t>بغضب</t>
  </si>
  <si>
    <t>غاضب</t>
  </si>
  <si>
    <t>كرب</t>
  </si>
  <si>
    <t>العذابات</t>
  </si>
  <si>
    <t>عداء</t>
  </si>
  <si>
    <t>محق</t>
  </si>
  <si>
    <t>يباد</t>
  </si>
  <si>
    <t>يقضي</t>
  </si>
  <si>
    <t>إبادة</t>
  </si>
  <si>
    <t>إزعاج</t>
  </si>
  <si>
    <t>مضايقات</t>
  </si>
  <si>
    <t>منزعج</t>
  </si>
  <si>
    <t>مغيظ</t>
  </si>
  <si>
    <t>مزعج</t>
  </si>
  <si>
    <t>يزعج</t>
  </si>
  <si>
    <t>شاذ</t>
  </si>
  <si>
    <t>بشكل مفاجئ</t>
  </si>
  <si>
    <t>استعداء</t>
  </si>
  <si>
    <t>تضاد</t>
  </si>
  <si>
    <t>العداوات</t>
  </si>
  <si>
    <t>معاد</t>
  </si>
  <si>
    <t>كراهية</t>
  </si>
  <si>
    <t>قديم</t>
  </si>
  <si>
    <t>مكافحة الاحتكار</t>
  </si>
  <si>
    <t>القلق</t>
  </si>
  <si>
    <t>بقلق</t>
  </si>
  <si>
    <t>لا مبالي</t>
  </si>
  <si>
    <t>لا مبالاة</t>
  </si>
  <si>
    <t>روع</t>
  </si>
  <si>
    <t>مروع</t>
  </si>
  <si>
    <t>مفزع</t>
  </si>
  <si>
    <t>بقلق،</t>
  </si>
  <si>
    <t>اعتباطي</t>
  </si>
  <si>
    <t>شاق</t>
  </si>
  <si>
    <t>قابل للجدل</t>
  </si>
  <si>
    <t>يمكن القول</t>
  </si>
  <si>
    <t>تجادل</t>
  </si>
  <si>
    <t>جادل</t>
  </si>
  <si>
    <t>المجادل</t>
  </si>
  <si>
    <t>المجادلون</t>
  </si>
  <si>
    <t>يجادل</t>
  </si>
  <si>
    <t>الجدل</t>
  </si>
  <si>
    <t>حجة</t>
  </si>
  <si>
    <t>مرافعة</t>
  </si>
  <si>
    <t>جدلي</t>
  </si>
  <si>
    <t>الحجج</t>
  </si>
  <si>
    <t>رقيب</t>
  </si>
  <si>
    <t>غطرسة</t>
  </si>
  <si>
    <t>متعجرف</t>
  </si>
  <si>
    <t>بغرور</t>
  </si>
  <si>
    <t>مصطنع</t>
  </si>
  <si>
    <t>زيف</t>
  </si>
  <si>
    <t>خجلان</t>
  </si>
  <si>
    <t>أبله</t>
  </si>
  <si>
    <t>هاجم بعنف</t>
  </si>
  <si>
    <t>ممكنة مهاجمته</t>
  </si>
  <si>
    <t>مهاجم</t>
  </si>
  <si>
    <t>مهاجمون</t>
  </si>
  <si>
    <t>هاجم</t>
  </si>
  <si>
    <t>بالاعتداء</t>
  </si>
  <si>
    <t>ينهال</t>
  </si>
  <si>
    <t>قاتل</t>
  </si>
  <si>
    <t>اغتيال</t>
  </si>
  <si>
    <t>اغتال</t>
  </si>
  <si>
    <t>قتل</t>
  </si>
  <si>
    <t>الاغتيالات</t>
  </si>
  <si>
    <t>القتلة</t>
  </si>
  <si>
    <t>اعتداء</t>
  </si>
  <si>
    <t>ضل</t>
  </si>
  <si>
    <t>اربا</t>
  </si>
  <si>
    <t>فظيع</t>
  </si>
  <si>
    <t>ضمور</t>
  </si>
  <si>
    <t>الضمور</t>
  </si>
  <si>
    <t>هجوم</t>
  </si>
  <si>
    <t>المهاجمين</t>
  </si>
  <si>
    <t>مهاجمة</t>
  </si>
  <si>
    <t>الهجمات</t>
  </si>
  <si>
    <t>صارم</t>
  </si>
  <si>
    <t>المستبد</t>
  </si>
  <si>
    <t>استبدادي</t>
  </si>
  <si>
    <t>الاستبدادي المطلق</t>
  </si>
  <si>
    <t>المستبدين</t>
  </si>
  <si>
    <t>جشع</t>
  </si>
  <si>
    <t>الجشع</t>
  </si>
  <si>
    <t>ثأر</t>
  </si>
  <si>
    <t>انتقم</t>
  </si>
  <si>
    <t>منتقم</t>
  </si>
  <si>
    <t>المنتقمون</t>
  </si>
  <si>
    <t>ينتقم</t>
  </si>
  <si>
    <t>تنافر</t>
  </si>
  <si>
    <t>مكره</t>
  </si>
  <si>
    <t>تجنب</t>
  </si>
  <si>
    <t>تلافي</t>
  </si>
  <si>
    <t>يحول دون الإصابة</t>
  </si>
  <si>
    <t>يمكن تجنبها</t>
  </si>
  <si>
    <t>يتجنب</t>
  </si>
  <si>
    <t>مخيف</t>
  </si>
  <si>
    <t>على نحو بغيض</t>
  </si>
  <si>
    <t>الفظاعة</t>
  </si>
  <si>
    <t>غير ملائم</t>
  </si>
  <si>
    <t>على نحو مربك</t>
  </si>
  <si>
    <t>حرج</t>
  </si>
  <si>
    <t>ثرثرة</t>
  </si>
  <si>
    <t>بربر</t>
  </si>
  <si>
    <t>ثرثار</t>
  </si>
  <si>
    <t>الثرثارين</t>
  </si>
  <si>
    <t>يثرثر</t>
  </si>
  <si>
    <t>التخلف</t>
  </si>
  <si>
    <t>سيئة</t>
  </si>
  <si>
    <t>أرز شعير</t>
  </si>
  <si>
    <t>باده</t>
  </si>
  <si>
    <t>بدر</t>
  </si>
  <si>
    <t>شارة</t>
  </si>
  <si>
    <t>أشر</t>
  </si>
  <si>
    <t>فرو الغرير</t>
  </si>
  <si>
    <t>ألح</t>
  </si>
  <si>
    <t>المضايقة</t>
  </si>
  <si>
    <t>الغرير</t>
  </si>
  <si>
    <t>شارات</t>
  </si>
  <si>
    <t>مزاح</t>
  </si>
  <si>
    <t>الوعرة</t>
  </si>
  <si>
    <t>بشكل سيئ</t>
  </si>
  <si>
    <t>الريشة</t>
  </si>
  <si>
    <t>خبث</t>
  </si>
  <si>
    <t>إرباك</t>
  </si>
  <si>
    <t>مرتبك</t>
  </si>
  <si>
    <t>الحيرة</t>
  </si>
  <si>
    <t>المحير</t>
  </si>
  <si>
    <t>يحير</t>
  </si>
  <si>
    <t>كفالة</t>
  </si>
  <si>
    <t>إنقاذها</t>
  </si>
  <si>
    <t>حاجب محكمة</t>
  </si>
  <si>
    <t>المحضرين</t>
  </si>
  <si>
    <t>إطلاق سراح بضمان</t>
  </si>
  <si>
    <t>الإنقاذ</t>
  </si>
  <si>
    <t>الكفالات</t>
  </si>
  <si>
    <t>إغراء</t>
  </si>
  <si>
    <t>اصطاد</t>
  </si>
  <si>
    <t>الاصطياد</t>
  </si>
  <si>
    <t>الطعوم</t>
  </si>
  <si>
    <t>كلام فارغ</t>
  </si>
  <si>
    <t>هراء</t>
  </si>
  <si>
    <t>تافه</t>
  </si>
  <si>
    <t>التفاهات</t>
  </si>
  <si>
    <t>تفاهة</t>
  </si>
  <si>
    <t>قاطع طريق</t>
  </si>
  <si>
    <t>اللصوصية</t>
  </si>
  <si>
    <t>قطاع الطرق</t>
  </si>
  <si>
    <t>هلاك</t>
  </si>
  <si>
    <t>نفى</t>
  </si>
  <si>
    <t>نفي</t>
  </si>
  <si>
    <t>ينفي</t>
  </si>
  <si>
    <t>النفي</t>
  </si>
  <si>
    <t>المفلس</t>
  </si>
  <si>
    <t>الإفلاس</t>
  </si>
  <si>
    <t>إفلاس</t>
  </si>
  <si>
    <t>المفلسون</t>
  </si>
  <si>
    <t>همجي</t>
  </si>
  <si>
    <t>البرابرة</t>
  </si>
  <si>
    <t>وحشية</t>
  </si>
  <si>
    <t>الهمجية</t>
  </si>
  <si>
    <t>الوحشية</t>
  </si>
  <si>
    <t>همجية</t>
  </si>
  <si>
    <t>قاحل</t>
  </si>
  <si>
    <t>حاجز</t>
  </si>
  <si>
    <t>الحواجز</t>
  </si>
  <si>
    <t>محتشم</t>
  </si>
  <si>
    <t>بخجل</t>
  </si>
  <si>
    <t>خجل</t>
  </si>
  <si>
    <t>إبن زنا</t>
  </si>
  <si>
    <t>الأوباش</t>
  </si>
  <si>
    <t>لاشرعية</t>
  </si>
  <si>
    <t>معركة</t>
  </si>
  <si>
    <t>قمر</t>
  </si>
  <si>
    <t>اشتبكت</t>
  </si>
  <si>
    <t>ساحة المعركة</t>
  </si>
  <si>
    <t>ساحات القتال</t>
  </si>
  <si>
    <t>معارك</t>
  </si>
  <si>
    <t>سور مع فتحات</t>
  </si>
  <si>
    <t>أسوار ذو فتحات</t>
  </si>
  <si>
    <t>المقاتل</t>
  </si>
  <si>
    <t>المقاتلون</t>
  </si>
  <si>
    <t>سفينة حربية</t>
  </si>
  <si>
    <t>البوارج</t>
  </si>
  <si>
    <t>ضرب</t>
  </si>
  <si>
    <t>الضرب</t>
  </si>
  <si>
    <t>التسول</t>
  </si>
  <si>
    <t>بدأ</t>
  </si>
  <si>
    <t>الوالد</t>
  </si>
  <si>
    <t>نجب</t>
  </si>
  <si>
    <t>يولد</t>
  </si>
  <si>
    <t>انجاب</t>
  </si>
  <si>
    <t>متسول</t>
  </si>
  <si>
    <t>إفقار</t>
  </si>
  <si>
    <t>حقير</t>
  </si>
  <si>
    <t>المتسولين</t>
  </si>
  <si>
    <t>استعطاء</t>
  </si>
  <si>
    <t>توسلت</t>
  </si>
  <si>
    <t>تسول</t>
  </si>
  <si>
    <t>مبتدئ</t>
  </si>
  <si>
    <t>مبتدئين</t>
  </si>
  <si>
    <t>بداية</t>
  </si>
  <si>
    <t>البدايات</t>
  </si>
  <si>
    <t>يبدأ</t>
  </si>
  <si>
    <t>انصرف</t>
  </si>
  <si>
    <t>البيغونيا</t>
  </si>
  <si>
    <t>ولد</t>
  </si>
  <si>
    <t>انجب</t>
  </si>
  <si>
    <t>حسد</t>
  </si>
  <si>
    <t>استكثر</t>
  </si>
  <si>
    <t>بحسد</t>
  </si>
  <si>
    <t>يتسول</t>
  </si>
  <si>
    <t>سلى</t>
  </si>
  <si>
    <t>مغشوش</t>
  </si>
  <si>
    <t>خداع</t>
  </si>
  <si>
    <t>الخدعة</t>
  </si>
  <si>
    <t>بدأت</t>
  </si>
  <si>
    <t>قطع رأسه</t>
  </si>
  <si>
    <t>مقطوعة الرأس</t>
  </si>
  <si>
    <t>ذبح</t>
  </si>
  <si>
    <t>متأخر</t>
  </si>
  <si>
    <t>متأخرا</t>
  </si>
  <si>
    <t>ناقض</t>
  </si>
  <si>
    <t>كذبت</t>
  </si>
  <si>
    <t>إيمان</t>
  </si>
  <si>
    <t>المعتقدات</t>
  </si>
  <si>
    <t>يناقض</t>
  </si>
  <si>
    <t>المصداقية</t>
  </si>
  <si>
    <t>معقول</t>
  </si>
  <si>
    <t>نحو يصدق</t>
  </si>
  <si>
    <t>اعتقد</t>
  </si>
  <si>
    <t>يعتقد</t>
  </si>
  <si>
    <t>المؤمن</t>
  </si>
  <si>
    <t>المؤمنين</t>
  </si>
  <si>
    <t>الاعتقاد</t>
  </si>
  <si>
    <t>استخف</t>
  </si>
  <si>
    <t>قلل</t>
  </si>
  <si>
    <t>يستخف</t>
  </si>
  <si>
    <t>التحقير</t>
  </si>
  <si>
    <t>محارب</t>
  </si>
  <si>
    <t>عدائي</t>
  </si>
  <si>
    <t>المتحاربين</t>
  </si>
  <si>
    <t>ثكل</t>
  </si>
  <si>
    <t>ثاكل</t>
  </si>
  <si>
    <t>الثكل</t>
  </si>
  <si>
    <t>بيرك</t>
  </si>
  <si>
    <t>التمس</t>
  </si>
  <si>
    <t>ناشد</t>
  </si>
  <si>
    <t>يلتمس</t>
  </si>
  <si>
    <t>تضرع</t>
  </si>
  <si>
    <t>يعصف</t>
  </si>
  <si>
    <t>مطوق</t>
  </si>
  <si>
    <t>حاصر</t>
  </si>
  <si>
    <t>محاصر</t>
  </si>
  <si>
    <t>أفشى سرا</t>
  </si>
  <si>
    <t>الخيانات</t>
  </si>
  <si>
    <t>ضلالي</t>
  </si>
  <si>
    <t>الخونة</t>
  </si>
  <si>
    <t>ينم</t>
  </si>
  <si>
    <t>احترس</t>
  </si>
  <si>
    <t>حير</t>
  </si>
  <si>
    <t>متحير</t>
  </si>
  <si>
    <t>مذهل</t>
  </si>
  <si>
    <t>تثير الارتباك</t>
  </si>
  <si>
    <t>حيرة</t>
  </si>
  <si>
    <t>متعصب</t>
  </si>
  <si>
    <t>تعصب أعمى</t>
  </si>
  <si>
    <t>المتعصبين</t>
  </si>
  <si>
    <t>ماء آسن</t>
  </si>
  <si>
    <t>قيعان</t>
  </si>
  <si>
    <t>الكلبة</t>
  </si>
  <si>
    <t>الكلبات</t>
  </si>
  <si>
    <t>الحقد</t>
  </si>
  <si>
    <t>الشكوى</t>
  </si>
  <si>
    <t>مشاكس</t>
  </si>
  <si>
    <t>مرير</t>
  </si>
  <si>
    <t>ألد</t>
  </si>
  <si>
    <t>زيت الملح</t>
  </si>
  <si>
    <t>مرارة</t>
  </si>
  <si>
    <t>البيرة</t>
  </si>
  <si>
    <t>حلو ومر</t>
  </si>
  <si>
    <t>غريب</t>
  </si>
  <si>
    <t>الغرابة</t>
  </si>
  <si>
    <t>ابتزاز</t>
  </si>
  <si>
    <t>المبتز</t>
  </si>
  <si>
    <t>المبتزين</t>
  </si>
  <si>
    <t>بلاه</t>
  </si>
  <si>
    <t>لوم</t>
  </si>
  <si>
    <t>اللوم</t>
  </si>
  <si>
    <t>برئ</t>
  </si>
  <si>
    <t>بلا لوم</t>
  </si>
  <si>
    <t>يلوم</t>
  </si>
  <si>
    <t>مستحق اللوم</t>
  </si>
  <si>
    <t>محملا</t>
  </si>
  <si>
    <t>لطيف</t>
  </si>
  <si>
    <t>بلانديست</t>
  </si>
  <si>
    <t>الرياء</t>
  </si>
  <si>
    <t>متملق</t>
  </si>
  <si>
    <t>صارخ</t>
  </si>
  <si>
    <t>بشكل صارخ</t>
  </si>
  <si>
    <t>كئيب</t>
  </si>
  <si>
    <t>أكثر كآبة</t>
  </si>
  <si>
    <t>أتعس</t>
  </si>
  <si>
    <t>كآبة</t>
  </si>
  <si>
    <t>عيب</t>
  </si>
  <si>
    <t>الملطخ</t>
  </si>
  <si>
    <t>العيوب</t>
  </si>
  <si>
    <t>أعمى</t>
  </si>
  <si>
    <t>معمى</t>
  </si>
  <si>
    <t>بليندر</t>
  </si>
  <si>
    <t>عصب العينين</t>
  </si>
  <si>
    <t>معصوب العينين</t>
  </si>
  <si>
    <t>تعمية</t>
  </si>
  <si>
    <t>تمام الوضوح</t>
  </si>
  <si>
    <t>على نحو أعمى</t>
  </si>
  <si>
    <t>عمى</t>
  </si>
  <si>
    <t>الستائر</t>
  </si>
  <si>
    <t>كتلة</t>
  </si>
  <si>
    <t>الحصار</t>
  </si>
  <si>
    <t>انسداد</t>
  </si>
  <si>
    <t>اقبال</t>
  </si>
  <si>
    <t>الافلام</t>
  </si>
  <si>
    <t>مسدود</t>
  </si>
  <si>
    <t>حاصرات</t>
  </si>
  <si>
    <t>الأبله</t>
  </si>
  <si>
    <t>المتخلفون</t>
  </si>
  <si>
    <t>حجب</t>
  </si>
  <si>
    <t>كتل</t>
  </si>
  <si>
    <t>ممتلئ الجسم</t>
  </si>
  <si>
    <t>سفك الدماء</t>
  </si>
  <si>
    <t>متعطش للدم</t>
  </si>
  <si>
    <t>دموي</t>
  </si>
  <si>
    <t>تخبط</t>
  </si>
  <si>
    <t>متخبط</t>
  </si>
  <si>
    <t>عثرات</t>
  </si>
  <si>
    <t>الأخطاء</t>
  </si>
  <si>
    <t>كليل</t>
  </si>
  <si>
    <t>أشد فظاظة</t>
  </si>
  <si>
    <t>الغير حاد</t>
  </si>
  <si>
    <t>تصد</t>
  </si>
  <si>
    <t>بصراحة</t>
  </si>
  <si>
    <t>فظاظة</t>
  </si>
  <si>
    <t>يتثلم</t>
  </si>
  <si>
    <t>شىء ضبابي</t>
  </si>
  <si>
    <t>دعاية مغالى فيها</t>
  </si>
  <si>
    <t>النصوص من</t>
  </si>
  <si>
    <t>عدم وضوح</t>
  </si>
  <si>
    <t>ضبابية</t>
  </si>
  <si>
    <t>يطمس</t>
  </si>
  <si>
    <t>أفشى من غير تفكير</t>
  </si>
  <si>
    <t>بادره</t>
  </si>
  <si>
    <t>قول مندفعا</t>
  </si>
  <si>
    <t>تباهى</t>
  </si>
  <si>
    <t>تفاخر</t>
  </si>
  <si>
    <t>المتفاخر</t>
  </si>
  <si>
    <t>مختال</t>
  </si>
  <si>
    <t>متبجح</t>
  </si>
  <si>
    <t>بمزيد من الفخر</t>
  </si>
  <si>
    <t>التفاخر</t>
  </si>
  <si>
    <t>تفتخر</t>
  </si>
  <si>
    <t>مزيف</t>
  </si>
  <si>
    <t>عاصف</t>
  </si>
  <si>
    <t>بصخب</t>
  </si>
  <si>
    <t>صاعقة</t>
  </si>
  <si>
    <t>انسحب</t>
  </si>
  <si>
    <t>مقترع</t>
  </si>
  <si>
    <t>براغي</t>
  </si>
  <si>
    <t>قنبلة</t>
  </si>
  <si>
    <t>قصف</t>
  </si>
  <si>
    <t>مدفعي</t>
  </si>
  <si>
    <t>قذف بالقنابل</t>
  </si>
  <si>
    <t>القصف</t>
  </si>
  <si>
    <t>يقصف</t>
  </si>
  <si>
    <t>كلام منمق</t>
  </si>
  <si>
    <t>منمق</t>
  </si>
  <si>
    <t>بومباي</t>
  </si>
  <si>
    <t>قصفت</t>
  </si>
  <si>
    <t>قاذفة القنابل</t>
  </si>
  <si>
    <t>مفجرين</t>
  </si>
  <si>
    <t>تفجيرات</t>
  </si>
  <si>
    <t>القنابل</t>
  </si>
  <si>
    <t>عبودية</t>
  </si>
  <si>
    <t>تجويف</t>
  </si>
  <si>
    <t>شمالي</t>
  </si>
  <si>
    <t>ضجر</t>
  </si>
  <si>
    <t>ملل</t>
  </si>
  <si>
    <t>بئر</t>
  </si>
  <si>
    <t>الآبار</t>
  </si>
  <si>
    <t>مثقب</t>
  </si>
  <si>
    <t>الحفارون</t>
  </si>
  <si>
    <t>المملون</t>
  </si>
  <si>
    <t>ممل</t>
  </si>
  <si>
    <t>ازعجت</t>
  </si>
  <si>
    <t>مضايقة</t>
  </si>
  <si>
    <t>المتفاخرون</t>
  </si>
  <si>
    <t>يتفاخر</t>
  </si>
  <si>
    <t>لوح مهددا</t>
  </si>
  <si>
    <t>لوح</t>
  </si>
  <si>
    <t>يلوح</t>
  </si>
  <si>
    <t>التلويح</t>
  </si>
  <si>
    <t>شقي</t>
  </si>
  <si>
    <t>صعاليك</t>
  </si>
  <si>
    <t>تبجح</t>
  </si>
  <si>
    <t>شجار</t>
  </si>
  <si>
    <t>تشاجر</t>
  </si>
  <si>
    <t>شجاعة</t>
  </si>
  <si>
    <t>المشاجرة</t>
  </si>
  <si>
    <t>شجارات</t>
  </si>
  <si>
    <t>وقح</t>
  </si>
  <si>
    <t>بوقاحة</t>
  </si>
  <si>
    <t>قاحته</t>
  </si>
  <si>
    <t>خرق</t>
  </si>
  <si>
    <t>خرقت</t>
  </si>
  <si>
    <t>مخالفات</t>
  </si>
  <si>
    <t>اختراق</t>
  </si>
  <si>
    <t>انهيار</t>
  </si>
  <si>
    <t>أعطال</t>
  </si>
  <si>
    <t>رشوة</t>
  </si>
  <si>
    <t>صاحب رشوة</t>
  </si>
  <si>
    <t>الراشي</t>
  </si>
  <si>
    <t>الراشين</t>
  </si>
  <si>
    <t>الرشاوى</t>
  </si>
  <si>
    <t>الشعر الخشن</t>
  </si>
  <si>
    <t>شعيرات</t>
  </si>
  <si>
    <t>حطم</t>
  </si>
  <si>
    <t>كسر</t>
  </si>
  <si>
    <t>يائس</t>
  </si>
  <si>
    <t>مكسرا</t>
  </si>
  <si>
    <t>وسيط</t>
  </si>
  <si>
    <t>سمسرة</t>
  </si>
  <si>
    <t>توسطت</t>
  </si>
  <si>
    <t>السماسرة</t>
  </si>
  <si>
    <t>الحضنة</t>
  </si>
  <si>
    <t>حضن</t>
  </si>
  <si>
    <t>الحضن</t>
  </si>
  <si>
    <t>المكتئب</t>
  </si>
  <si>
    <t>أحضان</t>
  </si>
  <si>
    <t>نزاع إلى التأمل</t>
  </si>
  <si>
    <t>كدمة</t>
  </si>
  <si>
    <t>بكدمة</t>
  </si>
  <si>
    <t>الملا كم</t>
  </si>
  <si>
    <t>ضخام</t>
  </si>
  <si>
    <t>كدمات</t>
  </si>
  <si>
    <t>فظ</t>
  </si>
  <si>
    <t>بفظاظة</t>
  </si>
  <si>
    <t>وحشي</t>
  </si>
  <si>
    <t>النزعة الوحشية</t>
  </si>
  <si>
    <t>بوحشية</t>
  </si>
  <si>
    <t>الشراسة</t>
  </si>
  <si>
    <t>المتوحشون</t>
  </si>
  <si>
    <t>حماقة</t>
  </si>
  <si>
    <t>التوى</t>
  </si>
  <si>
    <t>مهرج</t>
  </si>
  <si>
    <t>تهريج المهرج</t>
  </si>
  <si>
    <t>المهرجون</t>
  </si>
  <si>
    <t>بق</t>
  </si>
  <si>
    <t>مصدر قلق</t>
  </si>
  <si>
    <t>الهموم</t>
  </si>
  <si>
    <t>تنصتت</t>
  </si>
  <si>
    <t>فتى</t>
  </si>
  <si>
    <t>اللواط</t>
  </si>
  <si>
    <t>التافهون</t>
  </si>
  <si>
    <t>اللواطة</t>
  </si>
  <si>
    <t>العربات</t>
  </si>
  <si>
    <t>التنصت</t>
  </si>
  <si>
    <t>بوجي</t>
  </si>
  <si>
    <t>بوق</t>
  </si>
  <si>
    <t>بروجي</t>
  </si>
  <si>
    <t>أبواق</t>
  </si>
  <si>
    <t>الابواق</t>
  </si>
  <si>
    <t>البق</t>
  </si>
  <si>
    <t>رصاصة</t>
  </si>
  <si>
    <t>نشرة</t>
  </si>
  <si>
    <t>نشرات</t>
  </si>
  <si>
    <t>الرصاص</t>
  </si>
  <si>
    <t>متسكع</t>
  </si>
  <si>
    <t>تلعثم</t>
  </si>
  <si>
    <t>المتردد</t>
  </si>
  <si>
    <t>المترددون</t>
  </si>
  <si>
    <t>يتلعثم</t>
  </si>
  <si>
    <t>التلعثم</t>
  </si>
  <si>
    <t>نتوء</t>
  </si>
  <si>
    <t>صدم</t>
  </si>
  <si>
    <t>ممتص الصدمات</t>
  </si>
  <si>
    <t>مصدات</t>
  </si>
  <si>
    <t>عورة</t>
  </si>
  <si>
    <t>الاهتزاز</t>
  </si>
  <si>
    <t>ريفي</t>
  </si>
  <si>
    <t>بومبكينس</t>
  </si>
  <si>
    <t>المطبات</t>
  </si>
  <si>
    <t>متعالي</t>
  </si>
  <si>
    <t>وعر</t>
  </si>
  <si>
    <t>المتشردون</t>
  </si>
  <si>
    <t>عمل غير متقن</t>
  </si>
  <si>
    <t>غير متقنة</t>
  </si>
  <si>
    <t>عامل غير بارع</t>
  </si>
  <si>
    <t>أغبياء</t>
  </si>
  <si>
    <t>كلام يعوزه الصدق</t>
  </si>
  <si>
    <t>عبء</t>
  </si>
  <si>
    <t>مثقلة</t>
  </si>
  <si>
    <t>إثقال كاهل</t>
  </si>
  <si>
    <t>أعباء</t>
  </si>
  <si>
    <t>مرهقة</t>
  </si>
  <si>
    <t>لص</t>
  </si>
  <si>
    <t>السطو</t>
  </si>
  <si>
    <t>اللصوص</t>
  </si>
  <si>
    <t>سطا</t>
  </si>
  <si>
    <t>سطو</t>
  </si>
  <si>
    <t>يسطو</t>
  </si>
  <si>
    <t>مدفون</t>
  </si>
  <si>
    <t>حرق</t>
  </si>
  <si>
    <t>أحرق</t>
  </si>
  <si>
    <t>حارق</t>
  </si>
  <si>
    <t>الشعلات</t>
  </si>
  <si>
    <t>إحراق</t>
  </si>
  <si>
    <t>الحرق</t>
  </si>
  <si>
    <t>لامع</t>
  </si>
  <si>
    <t>الصقل</t>
  </si>
  <si>
    <t>الحروق</t>
  </si>
  <si>
    <t>دفن</t>
  </si>
  <si>
    <t>فضولي</t>
  </si>
  <si>
    <t>مجزرة</t>
  </si>
  <si>
    <t>المصائب</t>
  </si>
  <si>
    <t>فاجع</t>
  </si>
  <si>
    <t>كارثية</t>
  </si>
  <si>
    <t>قاسي القلب</t>
  </si>
  <si>
    <t>متصلبة</t>
  </si>
  <si>
    <t>بقسوة</t>
  </si>
  <si>
    <t>قسوة</t>
  </si>
  <si>
    <t>ألغيت</t>
  </si>
  <si>
    <t>سرطان</t>
  </si>
  <si>
    <t>سرطاني</t>
  </si>
  <si>
    <t>السرطان</t>
  </si>
  <si>
    <t>آكل لحم البشر</t>
  </si>
  <si>
    <t>فكك</t>
  </si>
  <si>
    <t>تفكيكها</t>
  </si>
  <si>
    <t>أكل لحوم البشر</t>
  </si>
  <si>
    <t>أكلة لحوم البشر</t>
  </si>
  <si>
    <t>مدفع</t>
  </si>
  <si>
    <t>تسديدة صاروخية</t>
  </si>
  <si>
    <t>المدافع</t>
  </si>
  <si>
    <t>ارتدت</t>
  </si>
  <si>
    <t>الإصطدام</t>
  </si>
  <si>
    <t>مدافع</t>
  </si>
  <si>
    <t>أذعن</t>
  </si>
  <si>
    <t>استسلمت</t>
  </si>
  <si>
    <t>يستسلم</t>
  </si>
  <si>
    <t>نزوي</t>
  </si>
  <si>
    <t>نزوة</t>
  </si>
  <si>
    <t>اتباع الهوى</t>
  </si>
  <si>
    <t>انقلب</t>
  </si>
  <si>
    <t>ينقلب</t>
  </si>
  <si>
    <t>أسير</t>
  </si>
  <si>
    <t>الأسرى</t>
  </si>
  <si>
    <t>أسر</t>
  </si>
  <si>
    <t>القبض</t>
  </si>
  <si>
    <t>يلتقط</t>
  </si>
  <si>
    <t>مهمل</t>
  </si>
  <si>
    <t>بإهمال</t>
  </si>
  <si>
    <t>مصاب</t>
  </si>
  <si>
    <t>طوفان</t>
  </si>
  <si>
    <t>الكارثية</t>
  </si>
  <si>
    <t>كارثة</t>
  </si>
  <si>
    <t>الكوارث</t>
  </si>
  <si>
    <t>الرقيب</t>
  </si>
  <si>
    <t>رقابة</t>
  </si>
  <si>
    <t>مراقبي</t>
  </si>
  <si>
    <t>فرض رقابة</t>
  </si>
  <si>
    <t>عياب ميال للنقد القاسي</t>
  </si>
  <si>
    <t>التنديد</t>
  </si>
  <si>
    <t>الرقابة</t>
  </si>
  <si>
    <t>توبيخ</t>
  </si>
  <si>
    <t>الإنزعاج</t>
  </si>
  <si>
    <t>تثير غضبها</t>
  </si>
  <si>
    <t>تحد</t>
  </si>
  <si>
    <t>تحدى</t>
  </si>
  <si>
    <t>المتحدي</t>
  </si>
  <si>
    <t>منافسيه</t>
  </si>
  <si>
    <t>التحديات</t>
  </si>
  <si>
    <t>باضطراب</t>
  </si>
  <si>
    <t>تهمة</t>
  </si>
  <si>
    <t>تحميلها</t>
  </si>
  <si>
    <t>متهم</t>
  </si>
  <si>
    <t>شاحن</t>
  </si>
  <si>
    <t>الشحن</t>
  </si>
  <si>
    <t>الرسوم</t>
  </si>
  <si>
    <t>مطاردة</t>
  </si>
  <si>
    <t>طاردت</t>
  </si>
  <si>
    <t>حصان السباق</t>
  </si>
  <si>
    <t>المطاردون</t>
  </si>
  <si>
    <t>مطاردات</t>
  </si>
  <si>
    <t>عاقب</t>
  </si>
  <si>
    <t>انتقد</t>
  </si>
  <si>
    <t>معاقبة</t>
  </si>
  <si>
    <t>رخيص</t>
  </si>
  <si>
    <t>رخص</t>
  </si>
  <si>
    <t>بخس</t>
  </si>
  <si>
    <t>تراجع أسعار</t>
  </si>
  <si>
    <t>يرخص</t>
  </si>
  <si>
    <t>أرخص</t>
  </si>
  <si>
    <t>كابش</t>
  </si>
  <si>
    <t>بثمن بخس</t>
  </si>
  <si>
    <t>تشيبسكاتيس</t>
  </si>
  <si>
    <t>خدع</t>
  </si>
  <si>
    <t>الغشاش</t>
  </si>
  <si>
    <t>الغشاشون</t>
  </si>
  <si>
    <t>قرع</t>
  </si>
  <si>
    <t>وبخ</t>
  </si>
  <si>
    <t>يوبخ</t>
  </si>
  <si>
    <t>طفولي</t>
  </si>
  <si>
    <t>صبيانية</t>
  </si>
  <si>
    <t>خنق</t>
  </si>
  <si>
    <t>اختنق</t>
  </si>
  <si>
    <t>قلادة</t>
  </si>
  <si>
    <t>الإختناقات</t>
  </si>
  <si>
    <t>عمل روتيني</t>
  </si>
  <si>
    <t>الرقاص مرض عصبي</t>
  </si>
  <si>
    <t>فشلت</t>
  </si>
  <si>
    <t>مدير الرقص</t>
  </si>
  <si>
    <t>مصممي الرقص</t>
  </si>
  <si>
    <t>واضع الألحان الراقصة</t>
  </si>
  <si>
    <t>تصميم رقصة</t>
  </si>
  <si>
    <t>رقص</t>
  </si>
  <si>
    <t>الأعمال</t>
  </si>
  <si>
    <t>مزمن</t>
  </si>
  <si>
    <t>وقائع</t>
  </si>
  <si>
    <t>أرخ</t>
  </si>
  <si>
    <t>المؤرخ الإخباري</t>
  </si>
  <si>
    <t>المؤرخون</t>
  </si>
  <si>
    <t>سجلات</t>
  </si>
  <si>
    <t>يكتبونه</t>
  </si>
  <si>
    <t>صخاب</t>
  </si>
  <si>
    <t>اشتباك</t>
  </si>
  <si>
    <t>اشتبك</t>
  </si>
  <si>
    <t>اشتباكات</t>
  </si>
  <si>
    <t>تشتبك</t>
  </si>
  <si>
    <t>قعقعة</t>
  </si>
  <si>
    <t>حلقت</t>
  </si>
  <si>
    <t>كلاتيرينج</t>
  </si>
  <si>
    <t>البعثرة</t>
  </si>
  <si>
    <t>زمرة</t>
  </si>
  <si>
    <t>الزمر</t>
  </si>
  <si>
    <t>قبقاب</t>
  </si>
  <si>
    <t>قباقيب</t>
  </si>
  <si>
    <t>أخرق</t>
  </si>
  <si>
    <t>تشوش</t>
  </si>
  <si>
    <t>التبعثر</t>
  </si>
  <si>
    <t>يبعثر</t>
  </si>
  <si>
    <t>خشن</t>
  </si>
  <si>
    <t>خشنا</t>
  </si>
  <si>
    <t>خشونة</t>
  </si>
  <si>
    <t>صياح الديك</t>
  </si>
  <si>
    <t>الككتوه ببغاء ذو ??عرف</t>
  </si>
  <si>
    <t>الببغاوات</t>
  </si>
  <si>
    <t>الجاهزة</t>
  </si>
  <si>
    <t>ديك صغير</t>
  </si>
  <si>
    <t>الديوك</t>
  </si>
  <si>
    <t>الأحول</t>
  </si>
  <si>
    <t>اكتفاء</t>
  </si>
  <si>
    <t>رد ديك البندقية</t>
  </si>
  <si>
    <t>تغضن</t>
  </si>
  <si>
    <t>الكوكل</t>
  </si>
  <si>
    <t>كوكني</t>
  </si>
  <si>
    <t>مواطني لندن</t>
  </si>
  <si>
    <t>مقصورة الطيار</t>
  </si>
  <si>
    <t>قمرات القيادة</t>
  </si>
  <si>
    <t>صرصور</t>
  </si>
  <si>
    <t>الصراصير</t>
  </si>
  <si>
    <t>كوكتيل</t>
  </si>
  <si>
    <t>كوكتيلات</t>
  </si>
  <si>
    <t>مغرور</t>
  </si>
  <si>
    <t>تجبر</t>
  </si>
  <si>
    <t>بالإكراه</t>
  </si>
  <si>
    <t>تكره</t>
  </si>
  <si>
    <t>الإكراه</t>
  </si>
  <si>
    <t>إكراه</t>
  </si>
  <si>
    <t>قسري</t>
  </si>
  <si>
    <t>قسرا</t>
  </si>
  <si>
    <t>بارد</t>
  </si>
  <si>
    <t>بدم بارد</t>
  </si>
  <si>
    <t>برودة</t>
  </si>
  <si>
    <t>أبرد</t>
  </si>
  <si>
    <t>مبالي</t>
  </si>
  <si>
    <t>مشعر بالبرد</t>
  </si>
  <si>
    <t>نزلات البرد</t>
  </si>
  <si>
    <t>انهار</t>
  </si>
  <si>
    <t>الانهيارات</t>
  </si>
  <si>
    <t>تصادم</t>
  </si>
  <si>
    <t>اصطدم</t>
  </si>
  <si>
    <t>يصطدم</t>
  </si>
  <si>
    <t>الاصطدامية</t>
  </si>
  <si>
    <t>اصطدام</t>
  </si>
  <si>
    <t>تواطؤ</t>
  </si>
  <si>
    <t>قتال</t>
  </si>
  <si>
    <t>مقاتل</t>
  </si>
  <si>
    <t>المقاتلين</t>
  </si>
  <si>
    <t>مكافحتها</t>
  </si>
  <si>
    <t>مكافحة</t>
  </si>
  <si>
    <t>مولع بالقتال</t>
  </si>
  <si>
    <t>بنضالها</t>
  </si>
  <si>
    <t>المعارك</t>
  </si>
  <si>
    <t>بزوال</t>
  </si>
  <si>
    <t>احتفال</t>
  </si>
  <si>
    <t>احيت</t>
  </si>
  <si>
    <t>ذكرى</t>
  </si>
  <si>
    <t>مواساة</t>
  </si>
  <si>
    <t>من عامة الشعب</t>
  </si>
  <si>
    <t>العوام</t>
  </si>
  <si>
    <t>هياج</t>
  </si>
  <si>
    <t>الاضطرابات</t>
  </si>
  <si>
    <t>مجبر</t>
  </si>
  <si>
    <t>قهري</t>
  </si>
  <si>
    <t>مقنع</t>
  </si>
  <si>
    <t>يجبر</t>
  </si>
  <si>
    <t>شكا</t>
  </si>
  <si>
    <t>المدعي</t>
  </si>
  <si>
    <t>الشاكين</t>
  </si>
  <si>
    <t>المتذمر</t>
  </si>
  <si>
    <t>تشكو</t>
  </si>
  <si>
    <t>يشكو</t>
  </si>
  <si>
    <t>شكوى</t>
  </si>
  <si>
    <t>الشكاوى</t>
  </si>
  <si>
    <t>تعقد</t>
  </si>
  <si>
    <t>معقد</t>
  </si>
  <si>
    <t>يعقد</t>
  </si>
  <si>
    <t>تعقيد</t>
  </si>
  <si>
    <t>المضاعفات</t>
  </si>
  <si>
    <t>التواطؤ</t>
  </si>
  <si>
    <t>الدوافع</t>
  </si>
  <si>
    <t>كتم</t>
  </si>
  <si>
    <t>أخفى</t>
  </si>
  <si>
    <t>إخفاء</t>
  </si>
  <si>
    <t>يخفي</t>
  </si>
  <si>
    <t>غرور</t>
  </si>
  <si>
    <t>الأوهام</t>
  </si>
  <si>
    <t>حول</t>
  </si>
  <si>
    <t>شجب</t>
  </si>
  <si>
    <t>مدان</t>
  </si>
  <si>
    <t>إدانة</t>
  </si>
  <si>
    <t>الادانات</t>
  </si>
  <si>
    <t>للمصلحة العامة</t>
  </si>
  <si>
    <t>تدين</t>
  </si>
  <si>
    <t>تعطف</t>
  </si>
  <si>
    <t>التنازل</t>
  </si>
  <si>
    <t>متنازل</t>
  </si>
  <si>
    <t>يتنازل</t>
  </si>
  <si>
    <t>هبوط بالمستوى</t>
  </si>
  <si>
    <t>عزى</t>
  </si>
  <si>
    <t>العزاء</t>
  </si>
  <si>
    <t>تعزية</t>
  </si>
  <si>
    <t>التعازي</t>
  </si>
  <si>
    <t>يعزي</t>
  </si>
  <si>
    <t>اعترف</t>
  </si>
  <si>
    <t>يعترف</t>
  </si>
  <si>
    <t>الاعتراف</t>
  </si>
  <si>
    <t>اعتراف</t>
  </si>
  <si>
    <t>كرسي الاعتراف</t>
  </si>
  <si>
    <t>المصارحة</t>
  </si>
  <si>
    <t>اعترافات</t>
  </si>
  <si>
    <t>المعترف</t>
  </si>
  <si>
    <t>المعترفون</t>
  </si>
  <si>
    <t>حبس</t>
  </si>
  <si>
    <t>تقتصر</t>
  </si>
  <si>
    <t>زنازين</t>
  </si>
  <si>
    <t>حدود</t>
  </si>
  <si>
    <t>مصادرة</t>
  </si>
  <si>
    <t>صادرت</t>
  </si>
  <si>
    <t>يصادر</t>
  </si>
  <si>
    <t>صراع</t>
  </si>
  <si>
    <t>يتعارض</t>
  </si>
  <si>
    <t>متعارض</t>
  </si>
  <si>
    <t>الصراعات</t>
  </si>
  <si>
    <t>المتنازعة</t>
  </si>
  <si>
    <t>أربك</t>
  </si>
  <si>
    <t>يفند</t>
  </si>
  <si>
    <t>مواجهة</t>
  </si>
  <si>
    <t>المواجهة</t>
  </si>
  <si>
    <t>المواجهات</t>
  </si>
  <si>
    <t>واجه</t>
  </si>
  <si>
    <t>يتصدى</t>
  </si>
  <si>
    <t>المربكة</t>
  </si>
  <si>
    <t>تحير</t>
  </si>
  <si>
    <t>بارتباك</t>
  </si>
  <si>
    <t>مشوش</t>
  </si>
  <si>
    <t>يشوش</t>
  </si>
  <si>
    <t>ارتباك</t>
  </si>
  <si>
    <t>التباسات</t>
  </si>
  <si>
    <t>مزدحم</t>
  </si>
  <si>
    <t>احتقان</t>
  </si>
  <si>
    <t>مؤامرة</t>
  </si>
  <si>
    <t>متآمر</t>
  </si>
  <si>
    <t>تآمري</t>
  </si>
  <si>
    <t>بشكل تآمري</t>
  </si>
  <si>
    <t>المتآمرون</t>
  </si>
  <si>
    <t>تآمر</t>
  </si>
  <si>
    <t>يتآمر</t>
  </si>
  <si>
    <t>ذعر</t>
  </si>
  <si>
    <t>تقيد</t>
  </si>
  <si>
    <t>مقيدة</t>
  </si>
  <si>
    <t>تقييد</t>
  </si>
  <si>
    <t>القيود</t>
  </si>
  <si>
    <t>قيود</t>
  </si>
  <si>
    <t>المسلول</t>
  </si>
  <si>
    <t>عدوى</t>
  </si>
  <si>
    <t>معد</t>
  </si>
  <si>
    <t>لوث</t>
  </si>
  <si>
    <t>ملوث</t>
  </si>
  <si>
    <t>يلوث</t>
  </si>
  <si>
    <t>تلويث</t>
  </si>
  <si>
    <t>تلوث</t>
  </si>
  <si>
    <t>احتقار</t>
  </si>
  <si>
    <t>خسيس</t>
  </si>
  <si>
    <t>مزدر</t>
  </si>
  <si>
    <t>باحتقار</t>
  </si>
  <si>
    <t>تنافس</t>
  </si>
  <si>
    <t>ادعت</t>
  </si>
  <si>
    <t>المنافس</t>
  </si>
  <si>
    <t>المتنافسين</t>
  </si>
  <si>
    <t>معتبرا</t>
  </si>
  <si>
    <t>ويدعي</t>
  </si>
  <si>
    <t>تعارض</t>
  </si>
  <si>
    <t>تناقض</t>
  </si>
  <si>
    <t>التناقضات</t>
  </si>
  <si>
    <t>متناقض</t>
  </si>
  <si>
    <t>يتناقض</t>
  </si>
  <si>
    <t>عكس</t>
  </si>
  <si>
    <t>خلافي</t>
  </si>
  <si>
    <t>جدل</t>
  </si>
  <si>
    <t>الخلافات</t>
  </si>
  <si>
    <t>جدال</t>
  </si>
  <si>
    <t>المحكوم</t>
  </si>
  <si>
    <t>الإدانات</t>
  </si>
  <si>
    <t>المحكومين</t>
  </si>
  <si>
    <t>رباطة جأش</t>
  </si>
  <si>
    <t>تآكل</t>
  </si>
  <si>
    <t>متآكلة</t>
  </si>
  <si>
    <t>يفسد</t>
  </si>
  <si>
    <t>فاسد</t>
  </si>
  <si>
    <t>تلف</t>
  </si>
  <si>
    <t>قابل للرشوة والفساد</t>
  </si>
  <si>
    <t>إفساد</t>
  </si>
  <si>
    <t>فساد</t>
  </si>
  <si>
    <t>الفساد</t>
  </si>
  <si>
    <t>تفسد</t>
  </si>
  <si>
    <t>الغلالي</t>
  </si>
  <si>
    <t>مكلفة</t>
  </si>
  <si>
    <t>تصدى ل</t>
  </si>
  <si>
    <t>مبطل</t>
  </si>
  <si>
    <t>يصد</t>
  </si>
  <si>
    <t>تزوير</t>
  </si>
  <si>
    <t>المقلدة</t>
  </si>
  <si>
    <t>المزورين</t>
  </si>
  <si>
    <t>التزوير</t>
  </si>
  <si>
    <t>المزيفة</t>
  </si>
  <si>
    <t>خفي</t>
  </si>
  <si>
    <t>خفية</t>
  </si>
  <si>
    <t>أطماع</t>
  </si>
  <si>
    <t>إشتهى ملك غيره</t>
  </si>
  <si>
    <t>مرغوب</t>
  </si>
  <si>
    <t>بالطمع</t>
  </si>
  <si>
    <t>طامع</t>
  </si>
  <si>
    <t>الطمع</t>
  </si>
  <si>
    <t>تتوق</t>
  </si>
  <si>
    <t>جبان</t>
  </si>
  <si>
    <t>جبانة</t>
  </si>
  <si>
    <t>الجبناء</t>
  </si>
  <si>
    <t>ماكر</t>
  </si>
  <si>
    <t>حشر</t>
  </si>
  <si>
    <t>الحشاء</t>
  </si>
  <si>
    <t>هدفهم</t>
  </si>
  <si>
    <t>تشنج</t>
  </si>
  <si>
    <t>ضيق</t>
  </si>
  <si>
    <t>التشنج</t>
  </si>
  <si>
    <t>كلاب لرفع الأثقال</t>
  </si>
  <si>
    <t>الأشرطة</t>
  </si>
  <si>
    <t>تشنجات</t>
  </si>
  <si>
    <t>يحشر</t>
  </si>
  <si>
    <t>غريب الأطوار</t>
  </si>
  <si>
    <t>تام</t>
  </si>
  <si>
    <t>التمام</t>
  </si>
  <si>
    <t>حن</t>
  </si>
  <si>
    <t>مشتهى</t>
  </si>
  <si>
    <t>شخص جبان</t>
  </si>
  <si>
    <t>بجبن</t>
  </si>
  <si>
    <t>يتعطش</t>
  </si>
  <si>
    <t>زحف</t>
  </si>
  <si>
    <t>زحفت</t>
  </si>
  <si>
    <t>الزاحف</t>
  </si>
  <si>
    <t>الزواحف</t>
  </si>
  <si>
    <t>تتبع الارتباطات</t>
  </si>
  <si>
    <t>جنون</t>
  </si>
  <si>
    <t>مخبول</t>
  </si>
  <si>
    <t>يجنن</t>
  </si>
  <si>
    <t>جنونا</t>
  </si>
  <si>
    <t>الجنون</t>
  </si>
  <si>
    <t>مجنون</t>
  </si>
  <si>
    <t>ساذج</t>
  </si>
  <si>
    <t>بكى</t>
  </si>
  <si>
    <t>صرخات</t>
  </si>
  <si>
    <t>جريمة</t>
  </si>
  <si>
    <t>شبه جزيرة القرم</t>
  </si>
  <si>
    <t>جرائم</t>
  </si>
  <si>
    <t>مجرم</t>
  </si>
  <si>
    <t>تجريم</t>
  </si>
  <si>
    <t>يجرم</t>
  </si>
  <si>
    <t>جنائيا</t>
  </si>
  <si>
    <t>تذلل</t>
  </si>
  <si>
    <t>متذلل</t>
  </si>
  <si>
    <t>يتذلل</t>
  </si>
  <si>
    <t>شل</t>
  </si>
  <si>
    <t>أعرج</t>
  </si>
  <si>
    <t>الكسحاء</t>
  </si>
  <si>
    <t>أزمة</t>
  </si>
  <si>
    <t>الناقد</t>
  </si>
  <si>
    <t>خطيرة</t>
  </si>
  <si>
    <t>نقد</t>
  </si>
  <si>
    <t>ينتقد</t>
  </si>
  <si>
    <t>انتقاد</t>
  </si>
  <si>
    <t>الانتقادات</t>
  </si>
  <si>
    <t>النقاد</t>
  </si>
  <si>
    <t>تشاءم</t>
  </si>
  <si>
    <t>ناعق</t>
  </si>
  <si>
    <t>نعيب</t>
  </si>
  <si>
    <t>ينعق</t>
  </si>
  <si>
    <t>المحتال</t>
  </si>
  <si>
    <t>معوج</t>
  </si>
  <si>
    <t>كروكيدلي</t>
  </si>
  <si>
    <t>عوج</t>
  </si>
  <si>
    <t>المحتالون</t>
  </si>
  <si>
    <t>عبر</t>
  </si>
  <si>
    <t>عبر كعكة</t>
  </si>
  <si>
    <t>العارضة</t>
  </si>
  <si>
    <t>العارضتين</t>
  </si>
  <si>
    <t>عظمتين متقاطعتين</t>
  </si>
  <si>
    <t>قوس ونشاب</t>
  </si>
  <si>
    <t>النشاب</t>
  </si>
  <si>
    <t>هجين</t>
  </si>
  <si>
    <t>شيك مسطر</t>
  </si>
  <si>
    <t>قابلت بين ل</t>
  </si>
  <si>
    <t>تدقيق مرجعي</t>
  </si>
  <si>
    <t>وتقاطع المعلومات</t>
  </si>
  <si>
    <t>كروسكونتري</t>
  </si>
  <si>
    <t>عبرت</t>
  </si>
  <si>
    <t>كعابر</t>
  </si>
  <si>
    <t>الصلبان</t>
  </si>
  <si>
    <t>نيران متقاطعة</t>
  </si>
  <si>
    <t>معبر</t>
  </si>
  <si>
    <t>المعابر</t>
  </si>
  <si>
    <t>تهريج</t>
  </si>
  <si>
    <t>كروس</t>
  </si>
  <si>
    <t>عمليات الانتقال</t>
  </si>
  <si>
    <t>الاحاله</t>
  </si>
  <si>
    <t>مفترق</t>
  </si>
  <si>
    <t>المقطعي</t>
  </si>
  <si>
    <t>الحديث المتبادل</t>
  </si>
  <si>
    <t>ملتقى طرق</t>
  </si>
  <si>
    <t>المتقاطعة</t>
  </si>
  <si>
    <t>كروسويندس</t>
  </si>
  <si>
    <t>الكلمات المتقاطعة</t>
  </si>
  <si>
    <t>الخام</t>
  </si>
  <si>
    <t>بفجاجة</t>
  </si>
  <si>
    <t>أغلظ</t>
  </si>
  <si>
    <t>قاس</t>
  </si>
  <si>
    <t>أقسى</t>
  </si>
  <si>
    <t>القسوة</t>
  </si>
  <si>
    <t>تفتت</t>
  </si>
  <si>
    <t>مفتت</t>
  </si>
  <si>
    <t>يتفتت</t>
  </si>
  <si>
    <t>جعدة</t>
  </si>
  <si>
    <t>تكوم</t>
  </si>
  <si>
    <t>يتكوم</t>
  </si>
  <si>
    <t>سحق</t>
  </si>
  <si>
    <t>مهروس</t>
  </si>
  <si>
    <t>محطم</t>
  </si>
  <si>
    <t>كسارات</t>
  </si>
  <si>
    <t>يسحق</t>
  </si>
  <si>
    <t>الساحق</t>
  </si>
  <si>
    <t>ساحق</t>
  </si>
  <si>
    <t>صرخة</t>
  </si>
  <si>
    <t>بكاء</t>
  </si>
  <si>
    <t>المبردة</t>
  </si>
  <si>
    <t>فيزياء درجات الحرارة المتدنية</t>
  </si>
  <si>
    <t>ناظم البرد</t>
  </si>
  <si>
    <t>سرداب</t>
  </si>
  <si>
    <t>تحليل الشفرات</t>
  </si>
  <si>
    <t>بغموض</t>
  </si>
  <si>
    <t>اللازهرية نبتة</t>
  </si>
  <si>
    <t>كريبتوغرابهيرس</t>
  </si>
  <si>
    <t>التشفير</t>
  </si>
  <si>
    <t>مشفر</t>
  </si>
  <si>
    <t>الخبايا</t>
  </si>
  <si>
    <t>بلور</t>
  </si>
  <si>
    <t>بلوري</t>
  </si>
  <si>
    <t>التبلور</t>
  </si>
  <si>
    <t>تبلور</t>
  </si>
  <si>
    <t>مبلور</t>
  </si>
  <si>
    <t>يبلور</t>
  </si>
  <si>
    <t>بلورة</t>
  </si>
  <si>
    <t>البلورات</t>
  </si>
  <si>
    <t>علم البلوريات</t>
  </si>
  <si>
    <t>بلورات</t>
  </si>
  <si>
    <t>مذنب</t>
  </si>
  <si>
    <t>المذنب</t>
  </si>
  <si>
    <t>الجناة</t>
  </si>
  <si>
    <t>ثقيل</t>
  </si>
  <si>
    <t>لعنة</t>
  </si>
  <si>
    <t>ملعون</t>
  </si>
  <si>
    <t>الشتائم</t>
  </si>
  <si>
    <t>خاطف</t>
  </si>
  <si>
    <t>جاف</t>
  </si>
  <si>
    <t>قلصت</t>
  </si>
  <si>
    <t>التضييق</t>
  </si>
  <si>
    <t>تقليص</t>
  </si>
  <si>
    <t>التقليص</t>
  </si>
  <si>
    <t>ينتقص</t>
  </si>
  <si>
    <t>ستارة</t>
  </si>
  <si>
    <t>كورتينيد</t>
  </si>
  <si>
    <t>بالستائر</t>
  </si>
  <si>
    <t>الفناء</t>
  </si>
  <si>
    <t>باقتضاب</t>
  </si>
  <si>
    <t>إقتضاب فظ</t>
  </si>
  <si>
    <t>تنحني المرأة</t>
  </si>
  <si>
    <t>إنحناء لك</t>
  </si>
  <si>
    <t>ساخر</t>
  </si>
  <si>
    <t>بسخرية</t>
  </si>
  <si>
    <t>تعبير ساخر</t>
  </si>
  <si>
    <t>الساخرين</t>
  </si>
  <si>
    <t>ضرر</t>
  </si>
  <si>
    <t>التالفة</t>
  </si>
  <si>
    <t>خسائر</t>
  </si>
  <si>
    <t>الضارة</t>
  </si>
  <si>
    <t>الفشل إحداثا للضرر</t>
  </si>
  <si>
    <t>جدير باللعنة</t>
  </si>
  <si>
    <t>اللعن</t>
  </si>
  <si>
    <t>اللعنات</t>
  </si>
  <si>
    <t>خطر</t>
  </si>
  <si>
    <t>خطير</t>
  </si>
  <si>
    <t>الخطورة</t>
  </si>
  <si>
    <t>الأخطار</t>
  </si>
  <si>
    <t>مظلم</t>
  </si>
  <si>
    <t>غمض</t>
  </si>
  <si>
    <t>كحيل</t>
  </si>
  <si>
    <t>سواد</t>
  </si>
  <si>
    <t>يظلم</t>
  </si>
  <si>
    <t>قتامة</t>
  </si>
  <si>
    <t>أحلك</t>
  </si>
  <si>
    <t>بحزن</t>
  </si>
  <si>
    <t>ظلام</t>
  </si>
  <si>
    <t>غرفة مظلمة</t>
  </si>
  <si>
    <t>الغرف المظلمة</t>
  </si>
  <si>
    <t>الرتق</t>
  </si>
  <si>
    <t>مرتق</t>
  </si>
  <si>
    <t>رتقه</t>
  </si>
  <si>
    <t>دارنس</t>
  </si>
  <si>
    <t>شاقة</t>
  </si>
  <si>
    <t>توانى</t>
  </si>
  <si>
    <t>دوخ</t>
  </si>
  <si>
    <t>مصاب بالدوار</t>
  </si>
  <si>
    <t>ميت</t>
  </si>
  <si>
    <t>مرهق</t>
  </si>
  <si>
    <t>أمات</t>
  </si>
  <si>
    <t>النهاية المسدودة</t>
  </si>
  <si>
    <t>التخفيت</t>
  </si>
  <si>
    <t>تميت</t>
  </si>
  <si>
    <t>الخيال</t>
  </si>
  <si>
    <t>فتكا</t>
  </si>
  <si>
    <t>دموية</t>
  </si>
  <si>
    <t>الموعد الأخير</t>
  </si>
  <si>
    <t>المواعيد النهائية</t>
  </si>
  <si>
    <t>مأزق</t>
  </si>
  <si>
    <t>طريق مسدود</t>
  </si>
  <si>
    <t>أصاب بالجمود</t>
  </si>
  <si>
    <t>المآزق</t>
  </si>
  <si>
    <t>جامد الوجه</t>
  </si>
  <si>
    <t>البحر الميت</t>
  </si>
  <si>
    <t>أصم</t>
  </si>
  <si>
    <t>أبكم</t>
  </si>
  <si>
    <t>أصمت</t>
  </si>
  <si>
    <t>تصم</t>
  </si>
  <si>
    <t>صمم</t>
  </si>
  <si>
    <t>قلة</t>
  </si>
  <si>
    <t>الموت</t>
  </si>
  <si>
    <t>فراش الموت</t>
  </si>
  <si>
    <t>خالد</t>
  </si>
  <si>
    <t>مميت</t>
  </si>
  <si>
    <t>وفيات</t>
  </si>
  <si>
    <t>قابل للمناقشة</t>
  </si>
  <si>
    <t>مدين</t>
  </si>
  <si>
    <t>المدينين</t>
  </si>
  <si>
    <t>انحلال</t>
  </si>
  <si>
    <t>منحط</t>
  </si>
  <si>
    <t>الاضمحلال</t>
  </si>
  <si>
    <t>المتحللة</t>
  </si>
  <si>
    <t>يضمحل</t>
  </si>
  <si>
    <t>الوفاة</t>
  </si>
  <si>
    <t>متوفى</t>
  </si>
  <si>
    <t>توفى</t>
  </si>
  <si>
    <t>مخادع</t>
  </si>
  <si>
    <t>يخدع</t>
  </si>
  <si>
    <t>الخداع</t>
  </si>
  <si>
    <t>خادع</t>
  </si>
  <si>
    <t>مخادعة</t>
  </si>
  <si>
    <t>هبوط</t>
  </si>
  <si>
    <t>رفض</t>
  </si>
  <si>
    <t>انخفاض</t>
  </si>
  <si>
    <t>متفسخ</t>
  </si>
  <si>
    <t>تتحلل</t>
  </si>
  <si>
    <t>متحللة</t>
  </si>
  <si>
    <t>التحلل</t>
  </si>
  <si>
    <t>التحليلات</t>
  </si>
  <si>
    <t>نقصان</t>
  </si>
  <si>
    <t>انخفضت</t>
  </si>
  <si>
    <t>النقصان</t>
  </si>
  <si>
    <t>قذف</t>
  </si>
  <si>
    <t>افترائي</t>
  </si>
  <si>
    <t>شهرت</t>
  </si>
  <si>
    <t>المشهر</t>
  </si>
  <si>
    <t>يشهر</t>
  </si>
  <si>
    <t>التشهير</t>
  </si>
  <si>
    <t>الافتراضي</t>
  </si>
  <si>
    <t>تخلفت</t>
  </si>
  <si>
    <t>المختلس</t>
  </si>
  <si>
    <t>المتعثرين</t>
  </si>
  <si>
    <t>الافتراضات</t>
  </si>
  <si>
    <t>مهزوم</t>
  </si>
  <si>
    <t>قهر</t>
  </si>
  <si>
    <t>انهزامية</t>
  </si>
  <si>
    <t>انهزامي</t>
  </si>
  <si>
    <t>الهزائم</t>
  </si>
  <si>
    <t>خلل</t>
  </si>
  <si>
    <t>انشق</t>
  </si>
  <si>
    <t>انشقاقه</t>
  </si>
  <si>
    <t>ارتداد</t>
  </si>
  <si>
    <t>الانشقاقات</t>
  </si>
  <si>
    <t>معيب</t>
  </si>
  <si>
    <t>ديفيكتيفيس</t>
  </si>
  <si>
    <t>فار</t>
  </si>
  <si>
    <t>المنشقين</t>
  </si>
  <si>
    <t>دفاع</t>
  </si>
  <si>
    <t>العزل</t>
  </si>
  <si>
    <t>عن الدفاع</t>
  </si>
  <si>
    <t>الدفاعات</t>
  </si>
  <si>
    <t>المدعى عليه</t>
  </si>
  <si>
    <t>المتهمين</t>
  </si>
  <si>
    <t>دفاعي</t>
  </si>
  <si>
    <t>الدفاعية</t>
  </si>
  <si>
    <t>الدفاعي</t>
  </si>
  <si>
    <t>جريء</t>
  </si>
  <si>
    <t>بتحد</t>
  </si>
  <si>
    <t>نقص</t>
  </si>
  <si>
    <t>ناقص</t>
  </si>
  <si>
    <t>العجز</t>
  </si>
  <si>
    <t>دنس</t>
  </si>
  <si>
    <t>مدنس</t>
  </si>
  <si>
    <t>نجاسة</t>
  </si>
  <si>
    <t>ينجس</t>
  </si>
  <si>
    <t>تتحدى</t>
  </si>
  <si>
    <t>ينحط</t>
  </si>
  <si>
    <t>تحلل</t>
  </si>
  <si>
    <t>انحطاط</t>
  </si>
  <si>
    <t>المتدهورة</t>
  </si>
  <si>
    <t>يحط</t>
  </si>
  <si>
    <t>مهين</t>
  </si>
  <si>
    <t>مكتئب</t>
  </si>
  <si>
    <t>باكتئاب</t>
  </si>
  <si>
    <t>تأخير</t>
  </si>
  <si>
    <t>مؤجل</t>
  </si>
  <si>
    <t>معوق</t>
  </si>
  <si>
    <t>التأخير</t>
  </si>
  <si>
    <t>إهمال</t>
  </si>
  <si>
    <t>جانح</t>
  </si>
  <si>
    <t>الجانحين</t>
  </si>
  <si>
    <t>هذيان</t>
  </si>
  <si>
    <t>تدفقت</t>
  </si>
  <si>
    <t>بفيضانات</t>
  </si>
  <si>
    <t>وهم</t>
  </si>
  <si>
    <t>الوهمية</t>
  </si>
  <si>
    <t>حط من قدر</t>
  </si>
  <si>
    <t>تهين</t>
  </si>
  <si>
    <t>مهينة</t>
  </si>
  <si>
    <t>سلوك</t>
  </si>
  <si>
    <t>زوال</t>
  </si>
  <si>
    <t>المؤجرة</t>
  </si>
  <si>
    <t>هدم</t>
  </si>
  <si>
    <t>المدمر</t>
  </si>
  <si>
    <t>تهدم</t>
  </si>
  <si>
    <t>شيطان</t>
  </si>
  <si>
    <t>شيطاني</t>
  </si>
  <si>
    <t>تشويه صورة</t>
  </si>
  <si>
    <t>دراسة الشياطين</t>
  </si>
  <si>
    <t>الشياطين</t>
  </si>
  <si>
    <t>ممكن إثباته</t>
  </si>
  <si>
    <t>واضح</t>
  </si>
  <si>
    <t>شرح</t>
  </si>
  <si>
    <t>تظاهر</t>
  </si>
  <si>
    <t>يوضح</t>
  </si>
  <si>
    <t>التظاهر</t>
  </si>
  <si>
    <t>مظاهرة</t>
  </si>
  <si>
    <t>مظاهرات</t>
  </si>
  <si>
    <t>برهاني</t>
  </si>
  <si>
    <t>متظاهر</t>
  </si>
  <si>
    <t>المتظاهرين</t>
  </si>
  <si>
    <t>إنكار</t>
  </si>
  <si>
    <t>نددت</t>
  </si>
  <si>
    <t>يشجب</t>
  </si>
  <si>
    <t>غور</t>
  </si>
  <si>
    <t>الأسنان</t>
  </si>
  <si>
    <t>تراجع</t>
  </si>
  <si>
    <t>عاج</t>
  </si>
  <si>
    <t>العاجين عاج الأسنان</t>
  </si>
  <si>
    <t>مقوضين</t>
  </si>
  <si>
    <t>طبيب أسنان</t>
  </si>
  <si>
    <t>طب الأسنان</t>
  </si>
  <si>
    <t>أطباء الأسنان</t>
  </si>
  <si>
    <t>عدد الأسنان</t>
  </si>
  <si>
    <t>الطعجات</t>
  </si>
  <si>
    <t>طقم أسنان</t>
  </si>
  <si>
    <t>أسنان إصطناعية</t>
  </si>
  <si>
    <t>تنكر</t>
  </si>
  <si>
    <t>تابع</t>
  </si>
  <si>
    <t>تستنفد</t>
  </si>
  <si>
    <t>المنضب</t>
  </si>
  <si>
    <t>بائس</t>
  </si>
  <si>
    <t>نشجب</t>
  </si>
  <si>
    <t>استنكر</t>
  </si>
  <si>
    <t>يشجب بقوة</t>
  </si>
  <si>
    <t>عزل</t>
  </si>
  <si>
    <t>المخلوع</t>
  </si>
  <si>
    <t>فسد</t>
  </si>
  <si>
    <t>لئيم</t>
  </si>
  <si>
    <t>الافساد</t>
  </si>
  <si>
    <t>تنخفض قيمته</t>
  </si>
  <si>
    <t>انخفضت قيمة</t>
  </si>
  <si>
    <t>خفض</t>
  </si>
  <si>
    <t>اكتئاب</t>
  </si>
  <si>
    <t>يخفض</t>
  </si>
  <si>
    <t>محزن</t>
  </si>
  <si>
    <t>الكآبة</t>
  </si>
  <si>
    <t>منخفضات</t>
  </si>
  <si>
    <t>مريض بالاكتئاب</t>
  </si>
  <si>
    <t>حرمان</t>
  </si>
  <si>
    <t>الحرمان</t>
  </si>
  <si>
    <t>حرم</t>
  </si>
  <si>
    <t>يحرم</t>
  </si>
  <si>
    <t>سخر</t>
  </si>
  <si>
    <t>يسخر</t>
  </si>
  <si>
    <t>سخرية</t>
  </si>
  <si>
    <t>ازدرائي</t>
  </si>
  <si>
    <t>صحراء</t>
  </si>
  <si>
    <t>مرتد</t>
  </si>
  <si>
    <t>الفارين</t>
  </si>
  <si>
    <t>التصحر</t>
  </si>
  <si>
    <t>الصحاري</t>
  </si>
  <si>
    <t>مقفر</t>
  </si>
  <si>
    <t>مقفرا</t>
  </si>
  <si>
    <t>خراب</t>
  </si>
  <si>
    <t>يأس</t>
  </si>
  <si>
    <t>يئس</t>
  </si>
  <si>
    <t>بيأس</t>
  </si>
  <si>
    <t>اليأس</t>
  </si>
  <si>
    <t>ماسة</t>
  </si>
  <si>
    <t>احتقر</t>
  </si>
  <si>
    <t>يحتقر</t>
  </si>
  <si>
    <t>ازدراء</t>
  </si>
  <si>
    <t>معدم</t>
  </si>
  <si>
    <t>عوز</t>
  </si>
  <si>
    <t>تحطيم</t>
  </si>
  <si>
    <t>دمرت</t>
  </si>
  <si>
    <t>مدمر</t>
  </si>
  <si>
    <t>مدمرات</t>
  </si>
  <si>
    <t>تدمير</t>
  </si>
  <si>
    <t>تدمر</t>
  </si>
  <si>
    <t>التدمير</t>
  </si>
  <si>
    <t>التدميرية</t>
  </si>
  <si>
    <t>انفصال</t>
  </si>
  <si>
    <t>مفارز</t>
  </si>
  <si>
    <t>حجز</t>
  </si>
  <si>
    <t>معتقل</t>
  </si>
  <si>
    <t>المعتقل</t>
  </si>
  <si>
    <t>المعتقلين</t>
  </si>
  <si>
    <t>الحاجز</t>
  </si>
  <si>
    <t>تحتجز</t>
  </si>
  <si>
    <t>ردع</t>
  </si>
  <si>
    <t>منظف</t>
  </si>
  <si>
    <t>المنظفات</t>
  </si>
  <si>
    <t>تدهور</t>
  </si>
  <si>
    <t>تدهورت</t>
  </si>
  <si>
    <t>للتحديد</t>
  </si>
  <si>
    <t>الحتمية</t>
  </si>
  <si>
    <t>مقرر</t>
  </si>
  <si>
    <t>المحددات</t>
  </si>
  <si>
    <t>حاسم</t>
  </si>
  <si>
    <t>بحسم</t>
  </si>
  <si>
    <t>تقرير</t>
  </si>
  <si>
    <t>قرارات</t>
  </si>
  <si>
    <t>حاسمة</t>
  </si>
  <si>
    <t>حدد</t>
  </si>
  <si>
    <t>مصمم</t>
  </si>
  <si>
    <t>باصرار</t>
  </si>
  <si>
    <t>يحدد</t>
  </si>
  <si>
    <t>تحديد</t>
  </si>
  <si>
    <t>القطعية</t>
  </si>
  <si>
    <t>حتمي</t>
  </si>
  <si>
    <t>رادع</t>
  </si>
  <si>
    <t>روادع</t>
  </si>
  <si>
    <t>تردع</t>
  </si>
  <si>
    <t>أبغض</t>
  </si>
  <si>
    <t>مقيت</t>
  </si>
  <si>
    <t>مقت</t>
  </si>
  <si>
    <t>ممقوت</t>
  </si>
  <si>
    <t>كرهه</t>
  </si>
  <si>
    <t>انتقصت</t>
  </si>
  <si>
    <t>الانتقاص</t>
  </si>
  <si>
    <t>انتقاص</t>
  </si>
  <si>
    <t>الذام</t>
  </si>
  <si>
    <t>يحطون</t>
  </si>
  <si>
    <t>ضار</t>
  </si>
  <si>
    <t>ضارا</t>
  </si>
  <si>
    <t>دمر</t>
  </si>
  <si>
    <t>دمار</t>
  </si>
  <si>
    <t>انحرف</t>
  </si>
  <si>
    <t>انحرفت</t>
  </si>
  <si>
    <t>ينحرف</t>
  </si>
  <si>
    <t>الانحراف</t>
  </si>
  <si>
    <t>الانحرافات</t>
  </si>
  <si>
    <t>إبليس</t>
  </si>
  <si>
    <t>إلى حد بعيد</t>
  </si>
  <si>
    <t>تبلة حارة مركزة</t>
  </si>
  <si>
    <t>سلوك شيطانى</t>
  </si>
  <si>
    <t>مراوغة</t>
  </si>
  <si>
    <t>خالية</t>
  </si>
  <si>
    <t>شيطانيا</t>
  </si>
  <si>
    <t>تملي</t>
  </si>
  <si>
    <t>أملى</t>
  </si>
  <si>
    <t>إملاءات</t>
  </si>
  <si>
    <t>دكتاتوري</t>
  </si>
  <si>
    <t>اختلف</t>
  </si>
  <si>
    <t>فرق</t>
  </si>
  <si>
    <t>يفرق</t>
  </si>
  <si>
    <t>مختلف</t>
  </si>
  <si>
    <t>التفاضل</t>
  </si>
  <si>
    <t>اختلاف</t>
  </si>
  <si>
    <t>الفارق</t>
  </si>
  <si>
    <t>تفاضلي</t>
  </si>
  <si>
    <t>فروق</t>
  </si>
  <si>
    <t>تميز</t>
  </si>
  <si>
    <t>متباينة</t>
  </si>
  <si>
    <t>ميزت</t>
  </si>
  <si>
    <t>التفريق</t>
  </si>
  <si>
    <t>التفرقة</t>
  </si>
  <si>
    <t>بشكل مختلف</t>
  </si>
  <si>
    <t>يختلف</t>
  </si>
  <si>
    <t>صعب</t>
  </si>
  <si>
    <t>الصعوبات</t>
  </si>
  <si>
    <t>صعوبة</t>
  </si>
  <si>
    <t>معضلة</t>
  </si>
  <si>
    <t>المعضلات</t>
  </si>
  <si>
    <t>خافت</t>
  </si>
  <si>
    <t>الدايم</t>
  </si>
  <si>
    <t>بعد</t>
  </si>
  <si>
    <t>الأبعاد</t>
  </si>
  <si>
    <t>أبعاد</t>
  </si>
  <si>
    <t>إنتاج مقاسات</t>
  </si>
  <si>
    <t>ديمر</t>
  </si>
  <si>
    <t>الدايمات</t>
  </si>
  <si>
    <t>يقلل</t>
  </si>
  <si>
    <t>تضاءلت</t>
  </si>
  <si>
    <t>يتناقص</t>
  </si>
  <si>
    <t>تناقص</t>
  </si>
  <si>
    <t>متضائل</t>
  </si>
  <si>
    <t>صيغة التصغير</t>
  </si>
  <si>
    <t>الضئيلون</t>
  </si>
  <si>
    <t>باهتة</t>
  </si>
  <si>
    <t>ضوء السيارة الصغير</t>
  </si>
  <si>
    <t>المخفتات</t>
  </si>
  <si>
    <t>خفوت</t>
  </si>
  <si>
    <t>يعتم</t>
  </si>
  <si>
    <t>عتمة</t>
  </si>
  <si>
    <t>ديمبرافيك</t>
  </si>
  <si>
    <t>إزدواج الشكل</t>
  </si>
  <si>
    <t>نقرة صغيرة في الماء</t>
  </si>
  <si>
    <t>مدمل</t>
  </si>
  <si>
    <t>الدمامل</t>
  </si>
  <si>
    <t>يخفت</t>
  </si>
  <si>
    <t>الغبي</t>
  </si>
  <si>
    <t>الدين</t>
  </si>
  <si>
    <t>دينار</t>
  </si>
  <si>
    <t>تناول الطعام</t>
  </si>
  <si>
    <t>تناول الغداء</t>
  </si>
  <si>
    <t>حافلة الطعام</t>
  </si>
  <si>
    <t>بالرواد</t>
  </si>
  <si>
    <t>يتعشى</t>
  </si>
  <si>
    <t>دينجيد</t>
  </si>
  <si>
    <t>قوارب</t>
  </si>
  <si>
    <t>قارب</t>
  </si>
  <si>
    <t>دكنة</t>
  </si>
  <si>
    <t>الوادي المشجر</t>
  </si>
  <si>
    <t>الدنغ كلب استرالي</t>
  </si>
  <si>
    <t>أنيق</t>
  </si>
  <si>
    <t>عشاء</t>
  </si>
  <si>
    <t>العشاء</t>
  </si>
  <si>
    <t>ديناصور</t>
  </si>
  <si>
    <t>الديناصورات</t>
  </si>
  <si>
    <t>عجة</t>
  </si>
  <si>
    <t>رهيب</t>
  </si>
  <si>
    <t>مباشر</t>
  </si>
  <si>
    <t>توجه</t>
  </si>
  <si>
    <t>توجيه</t>
  </si>
  <si>
    <t>اتجاه</t>
  </si>
  <si>
    <t>اتجاهي</t>
  </si>
  <si>
    <t>الاتجاهية</t>
  </si>
  <si>
    <t>إتجاهي</t>
  </si>
  <si>
    <t>بلا اتجاه</t>
  </si>
  <si>
    <t>الاتجاهات</t>
  </si>
  <si>
    <t>توجيهات</t>
  </si>
  <si>
    <t>مباشرة</t>
  </si>
  <si>
    <t>مدير</t>
  </si>
  <si>
    <t>إدارة</t>
  </si>
  <si>
    <t>مديريات</t>
  </si>
  <si>
    <t>الإخراجية</t>
  </si>
  <si>
    <t>الدلائل</t>
  </si>
  <si>
    <t>الإدارة</t>
  </si>
  <si>
    <t>لمدير</t>
  </si>
  <si>
    <t>مجالس الإدارة</t>
  </si>
  <si>
    <t>دليل</t>
  </si>
  <si>
    <t>يوجه</t>
  </si>
  <si>
    <t>الشدة</t>
  </si>
  <si>
    <t>مسيس</t>
  </si>
  <si>
    <t>قذارة</t>
  </si>
  <si>
    <t>موسخ</t>
  </si>
  <si>
    <t>أقذر</t>
  </si>
  <si>
    <t>بقذارة</t>
  </si>
  <si>
    <t>الأوساخ</t>
  </si>
  <si>
    <t>قذر</t>
  </si>
  <si>
    <t>توسخ</t>
  </si>
  <si>
    <t>تعطيل</t>
  </si>
  <si>
    <t>عجز</t>
  </si>
  <si>
    <t>مساوئ</t>
  </si>
  <si>
    <t>محروم</t>
  </si>
  <si>
    <t>عيوب</t>
  </si>
  <si>
    <t>متضارب</t>
  </si>
  <si>
    <t>خلاف</t>
  </si>
  <si>
    <t>يعترض</t>
  </si>
  <si>
    <t>يخيب</t>
  </si>
  <si>
    <t>خيبة أمل</t>
  </si>
  <si>
    <t>مخيب للآمال</t>
  </si>
  <si>
    <t>خيبات الأمل</t>
  </si>
  <si>
    <t>استنكار</t>
  </si>
  <si>
    <t>يعارض</t>
  </si>
  <si>
    <t>رافض</t>
  </si>
  <si>
    <t>بشكل قاطع من الرفض</t>
  </si>
  <si>
    <t>نزع سلاح</t>
  </si>
  <si>
    <t>ينزع سلاح</t>
  </si>
  <si>
    <t>كارثي</t>
  </si>
  <si>
    <t>تنصلت</t>
  </si>
  <si>
    <t>التنصل</t>
  </si>
  <si>
    <t>جحود</t>
  </si>
  <si>
    <t>تفريغ</t>
  </si>
  <si>
    <t>تفريغها</t>
  </si>
  <si>
    <t>التصريف</t>
  </si>
  <si>
    <t>نكر</t>
  </si>
  <si>
    <t>التنازلات</t>
  </si>
  <si>
    <t>تتنصل</t>
  </si>
  <si>
    <t>الإزعاج</t>
  </si>
  <si>
    <t>المضايقات</t>
  </si>
  <si>
    <t>استياء</t>
  </si>
  <si>
    <t>ساخط</t>
  </si>
  <si>
    <t>السخط</t>
  </si>
  <si>
    <t>تثبيط</t>
  </si>
  <si>
    <t>مثبط</t>
  </si>
  <si>
    <t>غير مشجعة</t>
  </si>
  <si>
    <t>إحباطا</t>
  </si>
  <si>
    <t>تشويه السمعة</t>
  </si>
  <si>
    <t>مخز</t>
  </si>
  <si>
    <t>فقدت مصداقيتها</t>
  </si>
  <si>
    <t>تشويه سمعة</t>
  </si>
  <si>
    <t>يسيء</t>
  </si>
  <si>
    <t>التمييز</t>
  </si>
  <si>
    <t>تمييز</t>
  </si>
  <si>
    <t>ازدرى</t>
  </si>
  <si>
    <t>متكبر</t>
  </si>
  <si>
    <t>إزدراء</t>
  </si>
  <si>
    <t>مريض</t>
  </si>
  <si>
    <t>الأمراض</t>
  </si>
  <si>
    <t>عار</t>
  </si>
  <si>
    <t>يهان</t>
  </si>
  <si>
    <t>الخزى</t>
  </si>
  <si>
    <t>تمويه</t>
  </si>
  <si>
    <t>متنكر</t>
  </si>
  <si>
    <t>التنكر</t>
  </si>
  <si>
    <t>قرف</t>
  </si>
  <si>
    <t>مشمئز</t>
  </si>
  <si>
    <t>مثير للاشمئزاز</t>
  </si>
  <si>
    <t>مقرف</t>
  </si>
  <si>
    <t>الإشمئزاز</t>
  </si>
  <si>
    <t>تبتئس</t>
  </si>
  <si>
    <t>المثبط للهمم</t>
  </si>
  <si>
    <t>غير أمين</t>
  </si>
  <si>
    <t>شريفة</t>
  </si>
  <si>
    <t>عدم الأمانة</t>
  </si>
  <si>
    <t>تحرير من الوهم</t>
  </si>
  <si>
    <t>خيبة الأمل</t>
  </si>
  <si>
    <t>الخيبة</t>
  </si>
  <si>
    <t>بمكر</t>
  </si>
  <si>
    <t>نزيه</t>
  </si>
  <si>
    <t>بمجانية</t>
  </si>
  <si>
    <t>كرها</t>
  </si>
  <si>
    <t>بينما لم يعجب</t>
  </si>
  <si>
    <t>الكره</t>
  </si>
  <si>
    <t>فزع</t>
  </si>
  <si>
    <t>بالفزع</t>
  </si>
  <si>
    <t>المفزع</t>
  </si>
  <si>
    <t>الفزع</t>
  </si>
  <si>
    <t>إقالة</t>
  </si>
  <si>
    <t>الفصل</t>
  </si>
  <si>
    <t>يطرد</t>
  </si>
  <si>
    <t>يمكن تجاهله</t>
  </si>
  <si>
    <t>باستخفاف</t>
  </si>
  <si>
    <t>عصيان</t>
  </si>
  <si>
    <t>عاص</t>
  </si>
  <si>
    <t>اضطراب</t>
  </si>
  <si>
    <t>مضطرب</t>
  </si>
  <si>
    <t>مخل بالنظام</t>
  </si>
  <si>
    <t>اضطرابات</t>
  </si>
  <si>
    <t>انتقص</t>
  </si>
  <si>
    <t>الاستخفاف</t>
  </si>
  <si>
    <t>تبديد</t>
  </si>
  <si>
    <t>بدد</t>
  </si>
  <si>
    <t>يبدد</t>
  </si>
  <si>
    <t>الاستغناء</t>
  </si>
  <si>
    <t>موزع</t>
  </si>
  <si>
    <t>موزعات</t>
  </si>
  <si>
    <t>الاستغناء عنه</t>
  </si>
  <si>
    <t>أزاح</t>
  </si>
  <si>
    <t>النازحين</t>
  </si>
  <si>
    <t>الإزاحة</t>
  </si>
  <si>
    <t>نزوح</t>
  </si>
  <si>
    <t>المحل</t>
  </si>
  <si>
    <t>تزيح</t>
  </si>
  <si>
    <t>مستاء</t>
  </si>
  <si>
    <t>تصرف</t>
  </si>
  <si>
    <t>التصرف</t>
  </si>
  <si>
    <t>التخلص</t>
  </si>
  <si>
    <t>المتخلص</t>
  </si>
  <si>
    <t>يتخلصون منها</t>
  </si>
  <si>
    <t>يتصرف</t>
  </si>
  <si>
    <t>غير متناسب</t>
  </si>
  <si>
    <t>دحض</t>
  </si>
  <si>
    <t>مفند</t>
  </si>
  <si>
    <t>فيه نظر</t>
  </si>
  <si>
    <t>المتنازع عليها</t>
  </si>
  <si>
    <t>النزاعات</t>
  </si>
  <si>
    <t>تجاهل</t>
  </si>
  <si>
    <t>تستخف</t>
  </si>
  <si>
    <t>تعطلت</t>
  </si>
  <si>
    <t>مخلة</t>
  </si>
  <si>
    <t>تشويش</t>
  </si>
  <si>
    <t>التخريبية</t>
  </si>
  <si>
    <t>اختلال و</t>
  </si>
  <si>
    <t>يعطل</t>
  </si>
  <si>
    <t>إستياء</t>
  </si>
  <si>
    <t>أثار الاستياء</t>
  </si>
  <si>
    <t>ديساتيسفيينج</t>
  </si>
  <si>
    <t>معارضة</t>
  </si>
  <si>
    <t>المنشق</t>
  </si>
  <si>
    <t>المنشقون</t>
  </si>
  <si>
    <t>معارض</t>
  </si>
  <si>
    <t>شوه</t>
  </si>
  <si>
    <t>مشوه</t>
  </si>
  <si>
    <t>المشوه</t>
  </si>
  <si>
    <t>تشويه</t>
  </si>
  <si>
    <t>التشوهات</t>
  </si>
  <si>
    <t>يشوه</t>
  </si>
  <si>
    <t>صرف الانتباه</t>
  </si>
  <si>
    <t>يصرف</t>
  </si>
  <si>
    <t>محير</t>
  </si>
  <si>
    <t>تشتيت</t>
  </si>
  <si>
    <t>إلهاء</t>
  </si>
  <si>
    <t>ذاهل</t>
  </si>
  <si>
    <t>بالأسى</t>
  </si>
  <si>
    <t>الضيقات</t>
  </si>
  <si>
    <t>عدم ثقة</t>
  </si>
  <si>
    <t>يثق</t>
  </si>
  <si>
    <t>مرتاب</t>
  </si>
  <si>
    <t>اقتناعك</t>
  </si>
  <si>
    <t>الإرتياب</t>
  </si>
  <si>
    <t>أزعج</t>
  </si>
  <si>
    <t>مختل</t>
  </si>
  <si>
    <t>مقلق</t>
  </si>
  <si>
    <t>تحويل</t>
  </si>
  <si>
    <t>الرتج</t>
  </si>
  <si>
    <t>يحول</t>
  </si>
  <si>
    <t>تقسيم</t>
  </si>
  <si>
    <t>فرقي</t>
  </si>
  <si>
    <t>الانقسامات</t>
  </si>
  <si>
    <t>طلاق</t>
  </si>
  <si>
    <t>المطلقات</t>
  </si>
  <si>
    <t>مطلق</t>
  </si>
  <si>
    <t>الطلاق</t>
  </si>
  <si>
    <t>دوخة</t>
  </si>
  <si>
    <t>مصاب بدوار</t>
  </si>
  <si>
    <t>مذهلة</t>
  </si>
  <si>
    <t>إلى حد مذهل</t>
  </si>
  <si>
    <t>ركود</t>
  </si>
  <si>
    <t>غالبي</t>
  </si>
  <si>
    <t>سيطر</t>
  </si>
  <si>
    <t>يسيطر</t>
  </si>
  <si>
    <t>يهيمن</t>
  </si>
  <si>
    <t>هيمنة</t>
  </si>
  <si>
    <t>محكوم</t>
  </si>
  <si>
    <t>حتمية</t>
  </si>
  <si>
    <t>يوم القيامة</t>
  </si>
  <si>
    <t>مخدر</t>
  </si>
  <si>
    <t>بليد</t>
  </si>
  <si>
    <t>شك</t>
  </si>
  <si>
    <t>شكك</t>
  </si>
  <si>
    <t>الشكاك</t>
  </si>
  <si>
    <t>المشككين</t>
  </si>
  <si>
    <t>مشكوك فيه</t>
  </si>
  <si>
    <t>بارتياب</t>
  </si>
  <si>
    <t>الشك</t>
  </si>
  <si>
    <t>بدون شك</t>
  </si>
  <si>
    <t>بلا شك</t>
  </si>
  <si>
    <t>الشكوك</t>
  </si>
  <si>
    <t>مسبل</t>
  </si>
  <si>
    <t>سقوط</t>
  </si>
  <si>
    <t>مومس</t>
  </si>
  <si>
    <t>سحب</t>
  </si>
  <si>
    <t>جر</t>
  </si>
  <si>
    <t>مصيدة</t>
  </si>
  <si>
    <t>تنين</t>
  </si>
  <si>
    <t>اليعسوب</t>
  </si>
  <si>
    <t>التنين</t>
  </si>
  <si>
    <t>جندي في سلاح الفرسان</t>
  </si>
  <si>
    <t>الجهنمية</t>
  </si>
  <si>
    <t>الفرسان</t>
  </si>
  <si>
    <t>المؤثرات السلبية</t>
  </si>
  <si>
    <t>اللعين</t>
  </si>
  <si>
    <t>الفزاعة</t>
  </si>
  <si>
    <t>عن الخوف</t>
  </si>
  <si>
    <t>المجدل</t>
  </si>
  <si>
    <t>ثوب من نسيج رخيص</t>
  </si>
  <si>
    <t>يخشى</t>
  </si>
  <si>
    <t>بالترهات</t>
  </si>
  <si>
    <t>الهراء</t>
  </si>
  <si>
    <t>تدلى</t>
  </si>
  <si>
    <t>ذابل متدلي</t>
  </si>
  <si>
    <t>انحناء</t>
  </si>
  <si>
    <t>يتدلى</t>
  </si>
  <si>
    <t>متخاذل</t>
  </si>
  <si>
    <t>قطرة</t>
  </si>
  <si>
    <t>قطيرة</t>
  </si>
  <si>
    <t>قطرات</t>
  </si>
  <si>
    <t>التسرب</t>
  </si>
  <si>
    <t>المتسربين</t>
  </si>
  <si>
    <t>انخفض</t>
  </si>
  <si>
    <t>قطارة</t>
  </si>
  <si>
    <t>إسقاط</t>
  </si>
  <si>
    <t>روث</t>
  </si>
  <si>
    <t>داء الاستسقاء</t>
  </si>
  <si>
    <t>جفاف</t>
  </si>
  <si>
    <t>الجفاف</t>
  </si>
  <si>
    <t>غرق</t>
  </si>
  <si>
    <t>الغرق</t>
  </si>
  <si>
    <t>يغرق</t>
  </si>
  <si>
    <t>نعاس</t>
  </si>
  <si>
    <t>نعسان</t>
  </si>
  <si>
    <t>سكران</t>
  </si>
  <si>
    <t>سكير</t>
  </si>
  <si>
    <t>السكاري</t>
  </si>
  <si>
    <t>مخمور</t>
  </si>
  <si>
    <t>الإنجيل</t>
  </si>
  <si>
    <t>السكر</t>
  </si>
  <si>
    <t>السكارى</t>
  </si>
  <si>
    <t>يسجل</t>
  </si>
  <si>
    <t>المريبة</t>
  </si>
  <si>
    <t>المغفل</t>
  </si>
  <si>
    <t>البلداء</t>
  </si>
  <si>
    <t>خفف</t>
  </si>
  <si>
    <t>التبلد</t>
  </si>
  <si>
    <t>بلادة</t>
  </si>
  <si>
    <t>يبلد</t>
  </si>
  <si>
    <t>حسب الأصول المرعية</t>
  </si>
  <si>
    <t>الدمبل</t>
  </si>
  <si>
    <t>غباء</t>
  </si>
  <si>
    <t>أغبى</t>
  </si>
  <si>
    <t>صعق</t>
  </si>
  <si>
    <t>مدهش</t>
  </si>
  <si>
    <t>يصعق</t>
  </si>
  <si>
    <t>أخرس</t>
  </si>
  <si>
    <t>البكم</t>
  </si>
  <si>
    <t>مذهولا</t>
  </si>
  <si>
    <t>نفاية</t>
  </si>
  <si>
    <t>ملقاة</t>
  </si>
  <si>
    <t>شاحنة قلابة</t>
  </si>
  <si>
    <t>الإغراق</t>
  </si>
  <si>
    <t>زلابية</t>
  </si>
  <si>
    <t>الزلابية</t>
  </si>
  <si>
    <t>نفايات</t>
  </si>
  <si>
    <t>بدين وقصير</t>
  </si>
  <si>
    <t>غبي</t>
  </si>
  <si>
    <t>زنزانة</t>
  </si>
  <si>
    <t>الأبراج المحصنة</t>
  </si>
  <si>
    <t>واجب</t>
  </si>
  <si>
    <t>يسكن</t>
  </si>
  <si>
    <t>سكن</t>
  </si>
  <si>
    <t>ساكن</t>
  </si>
  <si>
    <t>سكان</t>
  </si>
  <si>
    <t>المساكن</t>
  </si>
  <si>
    <t>تضاءل</t>
  </si>
  <si>
    <t>تتضاءل</t>
  </si>
  <si>
    <t>وفاة</t>
  </si>
  <si>
    <t>امركزي</t>
  </si>
  <si>
    <t>غرابة الأطوار</t>
  </si>
  <si>
    <t>غريبي الأطوار</t>
  </si>
  <si>
    <t>أنانية</t>
  </si>
  <si>
    <t>أناني</t>
  </si>
  <si>
    <t>الأناني</t>
  </si>
  <si>
    <t>معاندة او مكابرة</t>
  </si>
  <si>
    <t>المغرورون</t>
  </si>
  <si>
    <t>القضاء</t>
  </si>
  <si>
    <t>يزيل</t>
  </si>
  <si>
    <t>إزالة</t>
  </si>
  <si>
    <t>التصفيات</t>
  </si>
  <si>
    <t>خجول</t>
  </si>
  <si>
    <t>يحرج</t>
  </si>
  <si>
    <t>إلى حد مربك</t>
  </si>
  <si>
    <t>المواقف المحرجة</t>
  </si>
  <si>
    <t>حالات الطوارئ</t>
  </si>
  <si>
    <t>عاطفي</t>
  </si>
  <si>
    <t>العاطفية</t>
  </si>
  <si>
    <t>الانفعالية</t>
  </si>
  <si>
    <t>عاطفيا</t>
  </si>
  <si>
    <t>أفرغت</t>
  </si>
  <si>
    <t>يفرغ</t>
  </si>
  <si>
    <t>فراغا</t>
  </si>
  <si>
    <t>فراغ</t>
  </si>
  <si>
    <t>فارغ</t>
  </si>
  <si>
    <t>تجاوز</t>
  </si>
  <si>
    <t>تعدت</t>
  </si>
  <si>
    <t>يتوغل</t>
  </si>
  <si>
    <t>التعدي</t>
  </si>
  <si>
    <t>انتهاك</t>
  </si>
  <si>
    <t>تعديات</t>
  </si>
  <si>
    <t>يعرض للخطر</t>
  </si>
  <si>
    <t>المهددة بالانقراض</t>
  </si>
  <si>
    <t>تعريض</t>
  </si>
  <si>
    <t>يهدد</t>
  </si>
  <si>
    <t>الأعداء</t>
  </si>
  <si>
    <t>العدو</t>
  </si>
  <si>
    <t>فرض</t>
  </si>
  <si>
    <t>إنفاذ</t>
  </si>
  <si>
    <t>واجب النفاذ</t>
  </si>
  <si>
    <t>القسري</t>
  </si>
  <si>
    <t>تطبيق</t>
  </si>
  <si>
    <t>إنفاذها</t>
  </si>
  <si>
    <t>المنفذ</t>
  </si>
  <si>
    <t>منفذي</t>
  </si>
  <si>
    <t>يفرض</t>
  </si>
  <si>
    <t>ابتلع</t>
  </si>
  <si>
    <t>اجتاحت</t>
  </si>
  <si>
    <t>عمود</t>
  </si>
  <si>
    <t>يحتضن</t>
  </si>
  <si>
    <t>مغضب</t>
  </si>
  <si>
    <t>استعبد</t>
  </si>
  <si>
    <t>مستعبد</t>
  </si>
  <si>
    <t>استعباد</t>
  </si>
  <si>
    <t>يستعبد</t>
  </si>
  <si>
    <t>وقع في الشرك</t>
  </si>
  <si>
    <t>متورط</t>
  </si>
  <si>
    <t>تشابك</t>
  </si>
  <si>
    <t>التشابكات</t>
  </si>
  <si>
    <t>المعقد</t>
  </si>
  <si>
    <t>توسل</t>
  </si>
  <si>
    <t>متوسل</t>
  </si>
  <si>
    <t>توسلات</t>
  </si>
  <si>
    <t>يتوسل</t>
  </si>
  <si>
    <t>يحسد</t>
  </si>
  <si>
    <t>الحسد</t>
  </si>
  <si>
    <t>حسود</t>
  </si>
  <si>
    <t>وباء</t>
  </si>
  <si>
    <t>الأوبئة</t>
  </si>
  <si>
    <t>لقب</t>
  </si>
  <si>
    <t>نعوت</t>
  </si>
  <si>
    <t>مريب</t>
  </si>
  <si>
    <t>محو</t>
  </si>
  <si>
    <t>تمحى</t>
  </si>
  <si>
    <t>ممحاة</t>
  </si>
  <si>
    <t>محايات</t>
  </si>
  <si>
    <t>يتآكل</t>
  </si>
  <si>
    <t>تحاتية</t>
  </si>
  <si>
    <t>تآكلات</t>
  </si>
  <si>
    <t>أخطأ</t>
  </si>
  <si>
    <t>مأمورية</t>
  </si>
  <si>
    <t>المهمات</t>
  </si>
  <si>
    <t>شارد</t>
  </si>
  <si>
    <t>أخطاء مطبعية</t>
  </si>
  <si>
    <t>متقلب</t>
  </si>
  <si>
    <t>خطأ مطبعي</t>
  </si>
  <si>
    <t>خطأ</t>
  </si>
  <si>
    <t>أخطاء</t>
  </si>
  <si>
    <t>يخطئ</t>
  </si>
  <si>
    <t>مقصور على فئة معينة</t>
  </si>
  <si>
    <t>اسوتيريكا</t>
  </si>
  <si>
    <t>باطني</t>
  </si>
  <si>
    <t>المبعدة</t>
  </si>
  <si>
    <t>تهرب</t>
  </si>
  <si>
    <t>متهرب</t>
  </si>
  <si>
    <t>المتهربين</t>
  </si>
  <si>
    <t>يتهرب</t>
  </si>
  <si>
    <t>تملص</t>
  </si>
  <si>
    <t>التهرب</t>
  </si>
  <si>
    <t>طرد</t>
  </si>
  <si>
    <t>الإخلاء</t>
  </si>
  <si>
    <t>تطرد</t>
  </si>
  <si>
    <t>شر</t>
  </si>
  <si>
    <t>الفاجر</t>
  </si>
  <si>
    <t>بشكل شرير</t>
  </si>
  <si>
    <t>الشر</t>
  </si>
  <si>
    <t>الشرور</t>
  </si>
  <si>
    <t>بالغ</t>
  </si>
  <si>
    <t>مبالغ فيه</t>
  </si>
  <si>
    <t>على نحو مبالغ</t>
  </si>
  <si>
    <t>يبالغ</t>
  </si>
  <si>
    <t>المبالغة</t>
  </si>
  <si>
    <t>مبالغة</t>
  </si>
  <si>
    <t>المبالغات</t>
  </si>
  <si>
    <t>أسخط</t>
  </si>
  <si>
    <t>اعتراها الغضب</t>
  </si>
  <si>
    <t>سخط</t>
  </si>
  <si>
    <t>فائض</t>
  </si>
  <si>
    <t>التجاوزات</t>
  </si>
  <si>
    <t>مفرط</t>
  </si>
  <si>
    <t>بإفراط</t>
  </si>
  <si>
    <t>منع</t>
  </si>
  <si>
    <t>استبعاد</t>
  </si>
  <si>
    <t>يستثني</t>
  </si>
  <si>
    <t>إقصاء</t>
  </si>
  <si>
    <t>إقصائية</t>
  </si>
  <si>
    <t>الاستثناءات</t>
  </si>
  <si>
    <t>التكفيري</t>
  </si>
  <si>
    <t>موجع</t>
  </si>
  <si>
    <t>بشكل لا يطاق</t>
  </si>
  <si>
    <t>معذب جدا</t>
  </si>
  <si>
    <t>تنفيذ</t>
  </si>
  <si>
    <t>أعدم</t>
  </si>
  <si>
    <t>ينفذ</t>
  </si>
  <si>
    <t>معفى</t>
  </si>
  <si>
    <t>إعفاء</t>
  </si>
  <si>
    <t>الإعفاءات</t>
  </si>
  <si>
    <t>تعفي</t>
  </si>
  <si>
    <t>العادم</t>
  </si>
  <si>
    <t>منهك</t>
  </si>
  <si>
    <t>غير قابل للتجديد</t>
  </si>
  <si>
    <t>إنهاك</t>
  </si>
  <si>
    <t>شاملة</t>
  </si>
  <si>
    <t>باستفاضة</t>
  </si>
  <si>
    <t>عوادم</t>
  </si>
  <si>
    <t>منفى</t>
  </si>
  <si>
    <t>المنفى</t>
  </si>
  <si>
    <t>المنفيين</t>
  </si>
  <si>
    <t>خروج</t>
  </si>
  <si>
    <t>خرجت</t>
  </si>
  <si>
    <t>الخروج</t>
  </si>
  <si>
    <t>مخارج</t>
  </si>
  <si>
    <t>وسيلة</t>
  </si>
  <si>
    <t>الذرائع</t>
  </si>
  <si>
    <t>نفقة</t>
  </si>
  <si>
    <t>نفقات</t>
  </si>
  <si>
    <t>ثمنا باهظا</t>
  </si>
  <si>
    <t>تفجر</t>
  </si>
  <si>
    <t>انفجرت</t>
  </si>
  <si>
    <t>مفجر</t>
  </si>
  <si>
    <t>المفجر</t>
  </si>
  <si>
    <t>ينفجر</t>
  </si>
  <si>
    <t>انفجار</t>
  </si>
  <si>
    <t>انفجارات</t>
  </si>
  <si>
    <t>مادة متفجرة</t>
  </si>
  <si>
    <t>متفجرات</t>
  </si>
  <si>
    <t>الإنفجارية</t>
  </si>
  <si>
    <t>فضح</t>
  </si>
  <si>
    <t>مكشوف</t>
  </si>
  <si>
    <t>يفضح</t>
  </si>
  <si>
    <t>يبيد</t>
  </si>
  <si>
    <t>الإبادة</t>
  </si>
  <si>
    <t>المبيد</t>
  </si>
  <si>
    <t>منقرض</t>
  </si>
  <si>
    <t>انقراض</t>
  </si>
  <si>
    <t>إطفاء</t>
  </si>
  <si>
    <t>انطفأت</t>
  </si>
  <si>
    <t>مطفأة</t>
  </si>
  <si>
    <t>طفايات</t>
  </si>
  <si>
    <t>تطفئ</t>
  </si>
  <si>
    <t>باسراف</t>
  </si>
  <si>
    <t>صنع</t>
  </si>
  <si>
    <t>مختلق</t>
  </si>
  <si>
    <t>تلفيق</t>
  </si>
  <si>
    <t>افتعال</t>
  </si>
  <si>
    <t>افتراءات</t>
  </si>
  <si>
    <t>ملفق</t>
  </si>
  <si>
    <t>شاذ جنسيا</t>
  </si>
  <si>
    <t>مجموعة من المثليين</t>
  </si>
  <si>
    <t>فشل</t>
  </si>
  <si>
    <t>فاشل</t>
  </si>
  <si>
    <t>القصور</t>
  </si>
  <si>
    <t>الفشل</t>
  </si>
  <si>
    <t>أغمي</t>
  </si>
  <si>
    <t>خفوتا</t>
  </si>
  <si>
    <t>أضعف</t>
  </si>
  <si>
    <t>اتكف</t>
  </si>
  <si>
    <t>إغماء</t>
  </si>
  <si>
    <t>بصوت ضعيف</t>
  </si>
  <si>
    <t>الضعف</t>
  </si>
  <si>
    <t>النحيلون</t>
  </si>
  <si>
    <t>كافر</t>
  </si>
  <si>
    <t>زائف</t>
  </si>
  <si>
    <t>الملفقون</t>
  </si>
  <si>
    <t>التزييف</t>
  </si>
  <si>
    <t>مزيفة</t>
  </si>
  <si>
    <t>مغالطة</t>
  </si>
  <si>
    <t>تداعيات</t>
  </si>
  <si>
    <t>كذب</t>
  </si>
  <si>
    <t>الأكاذيب</t>
  </si>
  <si>
    <t>يتعثر</t>
  </si>
  <si>
    <t>تعثرت</t>
  </si>
  <si>
    <t>مترنح</t>
  </si>
  <si>
    <t>متعثرة</t>
  </si>
  <si>
    <t>مجاعة</t>
  </si>
  <si>
    <t>المجاعات</t>
  </si>
  <si>
    <t>مجوع</t>
  </si>
  <si>
    <t>بتعصب</t>
  </si>
  <si>
    <t>تعصب</t>
  </si>
  <si>
    <t>مهزلة</t>
  </si>
  <si>
    <t>مهازل</t>
  </si>
  <si>
    <t>فاشي</t>
  </si>
  <si>
    <t>الفاشيين</t>
  </si>
  <si>
    <t>دهن</t>
  </si>
  <si>
    <t>قضاء وقدر</t>
  </si>
  <si>
    <t>المؤمن بالقضاء والقدر</t>
  </si>
  <si>
    <t>القدرية</t>
  </si>
  <si>
    <t>جبريا</t>
  </si>
  <si>
    <t>الوفيات</t>
  </si>
  <si>
    <t>نكبة</t>
  </si>
  <si>
    <t>على نحو مهلك</t>
  </si>
  <si>
    <t>fatcat</t>
  </si>
  <si>
    <t>مصير</t>
  </si>
  <si>
    <t>مقدر</t>
  </si>
  <si>
    <t>مصيري</t>
  </si>
  <si>
    <t>مصائر</t>
  </si>
  <si>
    <t>الأب</t>
  </si>
  <si>
    <t>أنجب</t>
  </si>
  <si>
    <t>الأبوة</t>
  </si>
  <si>
    <t>وطن أسلاف المرء</t>
  </si>
  <si>
    <t>يتيم</t>
  </si>
  <si>
    <t>أبوي</t>
  </si>
  <si>
    <t>الآباء</t>
  </si>
  <si>
    <t>سبر الغور</t>
  </si>
  <si>
    <t>يفهم</t>
  </si>
  <si>
    <t>قامات</t>
  </si>
  <si>
    <t>تعب</t>
  </si>
  <si>
    <t>زيا</t>
  </si>
  <si>
    <t>مجهد</t>
  </si>
  <si>
    <t>بدون شحم</t>
  </si>
  <si>
    <t>بدانة</t>
  </si>
  <si>
    <t>الدهون</t>
  </si>
  <si>
    <t>المسمن</t>
  </si>
  <si>
    <t>سمن</t>
  </si>
  <si>
    <t>مخصب</t>
  </si>
  <si>
    <t>تسمين</t>
  </si>
  <si>
    <t>يسمن</t>
  </si>
  <si>
    <t>أسمن</t>
  </si>
  <si>
    <t>دهني</t>
  </si>
  <si>
    <t>بسخافة</t>
  </si>
  <si>
    <t>الفتوى</t>
  </si>
  <si>
    <t>الصدعية</t>
  </si>
  <si>
    <t>يخطأ</t>
  </si>
  <si>
    <t>لا عيب فيه</t>
  </si>
  <si>
    <t>بشكل تام</t>
  </si>
  <si>
    <t>محاباة</t>
  </si>
  <si>
    <t>خوف</t>
  </si>
  <si>
    <t>بخوف</t>
  </si>
  <si>
    <t>الخوف</t>
  </si>
  <si>
    <t>خوفا</t>
  </si>
  <si>
    <t>لا يعرف الخوف</t>
  </si>
  <si>
    <t>دون خوف</t>
  </si>
  <si>
    <t>جسارة</t>
  </si>
  <si>
    <t>الرهبة</t>
  </si>
  <si>
    <t>ضعيف</t>
  </si>
  <si>
    <t>المعتوه</t>
  </si>
  <si>
    <t>ضعف</t>
  </si>
  <si>
    <t>الأضعف</t>
  </si>
  <si>
    <t>اختلق</t>
  </si>
  <si>
    <t>مدع</t>
  </si>
  <si>
    <t>يختلق</t>
  </si>
  <si>
    <t>مكر</t>
  </si>
  <si>
    <t>الخدع</t>
  </si>
  <si>
    <t>بشراسة</t>
  </si>
  <si>
    <t>شراسة</t>
  </si>
  <si>
    <t>ضراوة</t>
  </si>
  <si>
    <t>الإقطاعية</t>
  </si>
  <si>
    <t>إقطاعية</t>
  </si>
  <si>
    <t>احتدام</t>
  </si>
  <si>
    <t>المتناحرة</t>
  </si>
  <si>
    <t>حمى</t>
  </si>
  <si>
    <t>محموم</t>
  </si>
  <si>
    <t>الحمى</t>
  </si>
  <si>
    <t>تقلب</t>
  </si>
  <si>
    <t>تململ</t>
  </si>
  <si>
    <t>تململت</t>
  </si>
  <si>
    <t>التململ</t>
  </si>
  <si>
    <t>متململين والمترددين</t>
  </si>
  <si>
    <t>عصبي</t>
  </si>
  <si>
    <t>عنيف</t>
  </si>
  <si>
    <t>أشرس</t>
  </si>
  <si>
    <t>ناري</t>
  </si>
  <si>
    <t>صحوة</t>
  </si>
  <si>
    <t>القتال</t>
  </si>
  <si>
    <t>فيلثيست</t>
  </si>
  <si>
    <t>أطلقت</t>
  </si>
  <si>
    <t>قبضة</t>
  </si>
  <si>
    <t>القبضة</t>
  </si>
  <si>
    <t>تلاكم</t>
  </si>
  <si>
    <t>القبضات</t>
  </si>
  <si>
    <t>ناسور</t>
  </si>
  <si>
    <t>فاضح</t>
  </si>
  <si>
    <t>لهب</t>
  </si>
  <si>
    <t>ملتهب</t>
  </si>
  <si>
    <t>الفلامنكو</t>
  </si>
  <si>
    <t>مضادة للحريق</t>
  </si>
  <si>
    <t>النيران</t>
  </si>
  <si>
    <t>بلا عيب</t>
  </si>
  <si>
    <t>لا تشوبه شائبة</t>
  </si>
  <si>
    <t>فر</t>
  </si>
  <si>
    <t>ريش</t>
  </si>
  <si>
    <t>العضوية</t>
  </si>
  <si>
    <t>وغر</t>
  </si>
  <si>
    <t>يريش</t>
  </si>
  <si>
    <t>الوليدة</t>
  </si>
  <si>
    <t>الفراخ</t>
  </si>
  <si>
    <t>الصوف</t>
  </si>
  <si>
    <t>مجزوز</t>
  </si>
  <si>
    <t>الأصواف</t>
  </si>
  <si>
    <t>الجز</t>
  </si>
  <si>
    <t>صوفي</t>
  </si>
  <si>
    <t>يفر</t>
  </si>
  <si>
    <t>أسطول</t>
  </si>
  <si>
    <t>عابر</t>
  </si>
  <si>
    <t>عابرة</t>
  </si>
  <si>
    <t>أساطيل</t>
  </si>
  <si>
    <t>مهلهل</t>
  </si>
  <si>
    <t>عدو</t>
  </si>
  <si>
    <t>خصوم</t>
  </si>
  <si>
    <t>جنيني</t>
  </si>
  <si>
    <t>كريه الرائحة</t>
  </si>
  <si>
    <t>جنين</t>
  </si>
  <si>
    <t>الأجنة</t>
  </si>
  <si>
    <t>نقطة ضعف</t>
  </si>
  <si>
    <t>النواقص</t>
  </si>
  <si>
    <t>ينخدع</t>
  </si>
  <si>
    <t>تهور</t>
  </si>
  <si>
    <t>متهور</t>
  </si>
  <si>
    <t>أحمق</t>
  </si>
  <si>
    <t>بحماقة</t>
  </si>
  <si>
    <t>سهل جدا</t>
  </si>
  <si>
    <t>الحمقى</t>
  </si>
  <si>
    <t>وزيري عدد</t>
  </si>
  <si>
    <t>ممنوع</t>
  </si>
  <si>
    <t>الممتحنة</t>
  </si>
  <si>
    <t>قوة</t>
  </si>
  <si>
    <t>قوي</t>
  </si>
  <si>
    <t>ملقط</t>
  </si>
  <si>
    <t>القوات</t>
  </si>
  <si>
    <t>نذير</t>
  </si>
  <si>
    <t>نذر الشؤم</t>
  </si>
  <si>
    <t>غربة</t>
  </si>
  <si>
    <t>مصادرتها</t>
  </si>
  <si>
    <t>المصادرات</t>
  </si>
  <si>
    <t>نسيان</t>
  </si>
  <si>
    <t>دفعه</t>
  </si>
  <si>
    <t>هائل</t>
  </si>
  <si>
    <t>منبوذ</t>
  </si>
  <si>
    <t>مؤسس</t>
  </si>
  <si>
    <t>مؤسسو</t>
  </si>
  <si>
    <t>الكسور</t>
  </si>
  <si>
    <t>هش</t>
  </si>
  <si>
    <t>مسعور</t>
  </si>
  <si>
    <t>بشكل محموم</t>
  </si>
  <si>
    <t>احتيال</t>
  </si>
  <si>
    <t>الاحتيال</t>
  </si>
  <si>
    <t>المحتالين</t>
  </si>
  <si>
    <t>محتال</t>
  </si>
  <si>
    <t>عن طريق الاحتيال</t>
  </si>
  <si>
    <t>مشحون</t>
  </si>
  <si>
    <t>استثنائي</t>
  </si>
  <si>
    <t>عجيب</t>
  </si>
  <si>
    <t>النزوات</t>
  </si>
  <si>
    <t>تأكل</t>
  </si>
  <si>
    <t>الفريتس</t>
  </si>
  <si>
    <t>عبوس</t>
  </si>
  <si>
    <t>النقاق</t>
  </si>
  <si>
    <t>الحنق</t>
  </si>
  <si>
    <t>منشار دقيق الأسنان</t>
  </si>
  <si>
    <t>نغتاظ</t>
  </si>
  <si>
    <t>نقش شبكي</t>
  </si>
  <si>
    <t>رعب</t>
  </si>
  <si>
    <t>يخيف</t>
  </si>
  <si>
    <t>بشكل مروع</t>
  </si>
  <si>
    <t>فاتر</t>
  </si>
  <si>
    <t>بطيش</t>
  </si>
  <si>
    <t>عبس</t>
  </si>
  <si>
    <t>مقطب</t>
  </si>
  <si>
    <t>يستهجن</t>
  </si>
  <si>
    <t>غير مثمر</t>
  </si>
  <si>
    <t>دون جدوى</t>
  </si>
  <si>
    <t>أحبط</t>
  </si>
  <si>
    <t>محبط</t>
  </si>
  <si>
    <t>يحبط</t>
  </si>
  <si>
    <t>إحباط</t>
  </si>
  <si>
    <t>الإحباط</t>
  </si>
  <si>
    <t>حلوى</t>
  </si>
  <si>
    <t>ملفقة</t>
  </si>
  <si>
    <t>بالتنصل</t>
  </si>
  <si>
    <t>الهاربين</t>
  </si>
  <si>
    <t>تخبطت</t>
  </si>
  <si>
    <t>تلمس</t>
  </si>
  <si>
    <t>دخان</t>
  </si>
  <si>
    <t>أبخرة</t>
  </si>
  <si>
    <t>دخن</t>
  </si>
  <si>
    <t>ضجيج</t>
  </si>
  <si>
    <t>مدلل</t>
  </si>
  <si>
    <t>يهتاج</t>
  </si>
  <si>
    <t>فوسر</t>
  </si>
  <si>
    <t>فوسيست</t>
  </si>
  <si>
    <t>بعناية فائقة</t>
  </si>
  <si>
    <t>هرج</t>
  </si>
  <si>
    <t>التدليل</t>
  </si>
  <si>
    <t>نيق</t>
  </si>
  <si>
    <t>عبث</t>
  </si>
  <si>
    <t>شجاع</t>
  </si>
  <si>
    <t>بشجاعة</t>
  </si>
  <si>
    <t>بسالة</t>
  </si>
  <si>
    <t>الشهم</t>
  </si>
  <si>
    <t>بالغضب</t>
  </si>
  <si>
    <t>الغليون سفينة شراعية</t>
  </si>
  <si>
    <t>جاليون</t>
  </si>
  <si>
    <t>على الفنون</t>
  </si>
  <si>
    <t>المعارض</t>
  </si>
  <si>
    <t>رواق</t>
  </si>
  <si>
    <t>مطبخ السفينة</t>
  </si>
  <si>
    <t>ألواح الطباعة</t>
  </si>
  <si>
    <t>غالي خاص ببلاد الغال الفرنية</t>
  </si>
  <si>
    <t>مثير للحنق</t>
  </si>
  <si>
    <t>الغاليوم عنصر فلزي نادر</t>
  </si>
  <si>
    <t>التسكع</t>
  </si>
  <si>
    <t>غالون</t>
  </si>
  <si>
    <t>رماحة</t>
  </si>
  <si>
    <t>اندفع</t>
  </si>
  <si>
    <t>جالت</t>
  </si>
  <si>
    <t>مشنقة</t>
  </si>
  <si>
    <t>الورم</t>
  </si>
  <si>
    <t>حصى في المرارة</t>
  </si>
  <si>
    <t>مغامرة</t>
  </si>
  <si>
    <t>راهن</t>
  </si>
  <si>
    <t>مقامر</t>
  </si>
  <si>
    <t>المقامرين</t>
  </si>
  <si>
    <t>المراهنات</t>
  </si>
  <si>
    <t>سجن</t>
  </si>
  <si>
    <t>سجان</t>
  </si>
  <si>
    <t>السجانون</t>
  </si>
  <si>
    <t>الأهداف التنموية</t>
  </si>
  <si>
    <t>قمامة</t>
  </si>
  <si>
    <t>جرح بليغ</t>
  </si>
  <si>
    <t>الجروح البليغة</t>
  </si>
  <si>
    <t>بالغاز</t>
  </si>
  <si>
    <t>مبهرج</t>
  </si>
  <si>
    <t>مثلي الجنس</t>
  </si>
  <si>
    <t>مثليون جنسيا</t>
  </si>
  <si>
    <t>المهوس</t>
  </si>
  <si>
    <t>المهوسون</t>
  </si>
  <si>
    <t>جرثومة</t>
  </si>
  <si>
    <t>ألماني</t>
  </si>
  <si>
    <t>وثيق الصلة</t>
  </si>
  <si>
    <t>التعصب لألمانيا</t>
  </si>
  <si>
    <t>الألمان</t>
  </si>
  <si>
    <t>ألمانيا</t>
  </si>
  <si>
    <t>مبيد للجراثيم</t>
  </si>
  <si>
    <t>مبيدات الجراثيم</t>
  </si>
  <si>
    <t>برز</t>
  </si>
  <si>
    <t>نبتت</t>
  </si>
  <si>
    <t>الإنبات</t>
  </si>
  <si>
    <t>إنبات</t>
  </si>
  <si>
    <t>الجراثيم</t>
  </si>
  <si>
    <t>الغيتو</t>
  </si>
  <si>
    <t>الثرثرة</t>
  </si>
  <si>
    <t>رطانة</t>
  </si>
  <si>
    <t>وهج</t>
  </si>
  <si>
    <t>ساطع</t>
  </si>
  <si>
    <t>يبرز على نحو فاضح</t>
  </si>
  <si>
    <t>فرح</t>
  </si>
  <si>
    <t>نسب اليه شماتة</t>
  </si>
  <si>
    <t>شماتة</t>
  </si>
  <si>
    <t>تشاؤما</t>
  </si>
  <si>
    <t>على نحو كئيب</t>
  </si>
  <si>
    <t>تمجيد</t>
  </si>
  <si>
    <t>نميمة</t>
  </si>
  <si>
    <t>النميمة</t>
  </si>
  <si>
    <t>انتزاع</t>
  </si>
  <si>
    <t>انتزع</t>
  </si>
  <si>
    <t>المختطف</t>
  </si>
  <si>
    <t>الأيادي</t>
  </si>
  <si>
    <t>قمة سائغة</t>
  </si>
  <si>
    <t>تصارع</t>
  </si>
  <si>
    <t>الخطاطيف</t>
  </si>
  <si>
    <t>مجاني</t>
  </si>
  <si>
    <t>مسوغ</t>
  </si>
  <si>
    <t>اللامعقولية</t>
  </si>
  <si>
    <t>قبر</t>
  </si>
  <si>
    <t>حفار القبور</t>
  </si>
  <si>
    <t>حفارو القبور</t>
  </si>
  <si>
    <t>حصى</t>
  </si>
  <si>
    <t>حصوية</t>
  </si>
  <si>
    <t>أجش</t>
  </si>
  <si>
    <t>الحصى</t>
  </si>
  <si>
    <t>المحفورة</t>
  </si>
  <si>
    <t>منقاش</t>
  </si>
  <si>
    <t>المقابر</t>
  </si>
  <si>
    <t>القبر</t>
  </si>
  <si>
    <t>أخطر</t>
  </si>
  <si>
    <t>شاهد القبر</t>
  </si>
  <si>
    <t>شواهد القبور</t>
  </si>
  <si>
    <t>مقبرة</t>
  </si>
  <si>
    <t>طمع</t>
  </si>
  <si>
    <t>بشراهة</t>
  </si>
  <si>
    <t>حزن</t>
  </si>
  <si>
    <t>الحزن</t>
  </si>
  <si>
    <t>المظالم</t>
  </si>
  <si>
    <t>حزين</t>
  </si>
  <si>
    <t>مآسيه</t>
  </si>
  <si>
    <t>متجهم</t>
  </si>
  <si>
    <t>كشر</t>
  </si>
  <si>
    <t>يتلوى</t>
  </si>
  <si>
    <t>التجهم</t>
  </si>
  <si>
    <t>مقطبا</t>
  </si>
  <si>
    <t>سخام</t>
  </si>
  <si>
    <t>بتجهم</t>
  </si>
  <si>
    <t>جريم</t>
  </si>
  <si>
    <t>سوداوية</t>
  </si>
  <si>
    <t>بؤسا</t>
  </si>
  <si>
    <t>وسخ</t>
  </si>
  <si>
    <t>أشيب</t>
  </si>
  <si>
    <t>إجمالي</t>
  </si>
  <si>
    <t>حقق</t>
  </si>
  <si>
    <t>اجمالي</t>
  </si>
  <si>
    <t>أفدح</t>
  </si>
  <si>
    <t>على نحو فادح</t>
  </si>
  <si>
    <t>بشاعة ووحشية</t>
  </si>
  <si>
    <t>تذمر</t>
  </si>
  <si>
    <t>عابس</t>
  </si>
  <si>
    <t>مهدور</t>
  </si>
  <si>
    <t>متذمر</t>
  </si>
  <si>
    <t>الهدر</t>
  </si>
  <si>
    <t>الهدير</t>
  </si>
  <si>
    <t>ضغينة</t>
  </si>
  <si>
    <t>الاحقاد</t>
  </si>
  <si>
    <t>بشكل خشن</t>
  </si>
  <si>
    <t>هرير</t>
  </si>
  <si>
    <t>متبرم</t>
  </si>
  <si>
    <t>التذمر</t>
  </si>
  <si>
    <t>إثم</t>
  </si>
  <si>
    <t>ذنبا</t>
  </si>
  <si>
    <t>على نحو إجرامي</t>
  </si>
  <si>
    <t>الذنوب</t>
  </si>
  <si>
    <t>مظهر</t>
  </si>
  <si>
    <t>مظاهر</t>
  </si>
  <si>
    <t>بندقية</t>
  </si>
  <si>
    <t>السفينة المدفعية</t>
  </si>
  <si>
    <t>الزوارق الحربية</t>
  </si>
  <si>
    <t>تبادل لاطلاق النار</t>
  </si>
  <si>
    <t>اطلاق نار</t>
  </si>
  <si>
    <t>الإطلاقات النارية</t>
  </si>
  <si>
    <t>gunite</t>
  </si>
  <si>
    <t>المادة اللزجة</t>
  </si>
  <si>
    <t>مسلح</t>
  </si>
  <si>
    <t>مسلحون</t>
  </si>
  <si>
    <t>جونميتال</t>
  </si>
  <si>
    <t>المدفعية</t>
  </si>
  <si>
    <t>علم المسدسات</t>
  </si>
  <si>
    <t>تحت تهديد السلاح</t>
  </si>
  <si>
    <t>بارود</t>
  </si>
  <si>
    <t>البنادق</t>
  </si>
  <si>
    <t>حربية</t>
  </si>
  <si>
    <t>طائرات</t>
  </si>
  <si>
    <t>إطلاق نار</t>
  </si>
  <si>
    <t>طلق ناري</t>
  </si>
  <si>
    <t>فوهة البندقية</t>
  </si>
  <si>
    <t>صانع السلاح</t>
  </si>
  <si>
    <t>تاجر السلاح</t>
  </si>
  <si>
    <t>الشفير الحافة العليا من المركب</t>
  </si>
  <si>
    <t>الإختراق</t>
  </si>
  <si>
    <t>اخترق</t>
  </si>
  <si>
    <t>القراصنة</t>
  </si>
  <si>
    <t>قراصنة</t>
  </si>
  <si>
    <t>القرصنة</t>
  </si>
  <si>
    <t>الممشقة</t>
  </si>
  <si>
    <t>التمشيط</t>
  </si>
  <si>
    <t>بتذلل</t>
  </si>
  <si>
    <t>مبتذل</t>
  </si>
  <si>
    <t>الخارقة</t>
  </si>
  <si>
    <t>منشار المعادن</t>
  </si>
  <si>
    <t>عجوز شمطاء</t>
  </si>
  <si>
    <t>صقر قريش</t>
  </si>
  <si>
    <t>الإنهاك</t>
  </si>
  <si>
    <t>هاجيس</t>
  </si>
  <si>
    <t>ساوم</t>
  </si>
  <si>
    <t>بالمساومة</t>
  </si>
  <si>
    <t>المساوم</t>
  </si>
  <si>
    <t>مساومة</t>
  </si>
  <si>
    <t>سير القديسين</t>
  </si>
  <si>
    <t>العفاريت</t>
  </si>
  <si>
    <t>عائق</t>
  </si>
  <si>
    <t>المعوقة</t>
  </si>
  <si>
    <t>المعوقات</t>
  </si>
  <si>
    <t>علق</t>
  </si>
  <si>
    <t>حظيرة للطائرات</t>
  </si>
  <si>
    <t>حظائر</t>
  </si>
  <si>
    <t>ذليل</t>
  </si>
  <si>
    <t>مشنوق</t>
  </si>
  <si>
    <t>الشانق</t>
  </si>
  <si>
    <t>الشماعات</t>
  </si>
  <si>
    <t>معلق</t>
  </si>
  <si>
    <t>ستائر</t>
  </si>
  <si>
    <t>جلاد</t>
  </si>
  <si>
    <t>الجلادون</t>
  </si>
  <si>
    <t>الاستراحة</t>
  </si>
  <si>
    <t>مخلفات</t>
  </si>
  <si>
    <t>الإفراط في تناول الكحول</t>
  </si>
  <si>
    <t>توقف</t>
  </si>
  <si>
    <t>اغلاق الخط</t>
  </si>
  <si>
    <t>صدفة</t>
  </si>
  <si>
    <t>جزافا</t>
  </si>
  <si>
    <t>قليل الحظ</t>
  </si>
  <si>
    <t>تحرش</t>
  </si>
  <si>
    <t>المتحرشين</t>
  </si>
  <si>
    <t>يضايق</t>
  </si>
  <si>
    <t>ضائقة</t>
  </si>
  <si>
    <t>المصاعب</t>
  </si>
  <si>
    <t>أذى</t>
  </si>
  <si>
    <t>هارمر</t>
  </si>
  <si>
    <t>مضر</t>
  </si>
  <si>
    <t>إيذاء</t>
  </si>
  <si>
    <t>غير مؤذية</t>
  </si>
  <si>
    <t>اتجهت</t>
  </si>
  <si>
    <t>غير ضارة</t>
  </si>
  <si>
    <t>متناسق</t>
  </si>
  <si>
    <t>هارمونيكا</t>
  </si>
  <si>
    <t>بتناسق</t>
  </si>
  <si>
    <t>التوافقيات</t>
  </si>
  <si>
    <t>التجانس</t>
  </si>
  <si>
    <t>متناغم</t>
  </si>
  <si>
    <t>وئام</t>
  </si>
  <si>
    <t>توافق</t>
  </si>
  <si>
    <t>منسقة</t>
  </si>
  <si>
    <t>مواءمة</t>
  </si>
  <si>
    <t>قدمية ضرب من الارغن</t>
  </si>
  <si>
    <t>الانسجام</t>
  </si>
  <si>
    <t>الأضرار</t>
  </si>
  <si>
    <t>بخشونة</t>
  </si>
  <si>
    <t>مشاحنة</t>
  </si>
  <si>
    <t>يكره</t>
  </si>
  <si>
    <t>القبعى صانع القبعات</t>
  </si>
  <si>
    <t>كارهي</t>
  </si>
  <si>
    <t>كره</t>
  </si>
  <si>
    <t>الأحقاد</t>
  </si>
  <si>
    <t>متغطرس</t>
  </si>
  <si>
    <t>تردد</t>
  </si>
  <si>
    <t>تطارده الاشباح</t>
  </si>
  <si>
    <t>مسكون بالارواح</t>
  </si>
  <si>
    <t>حزنا</t>
  </si>
  <si>
    <t>يطارد</t>
  </si>
  <si>
    <t>المخاطرة</t>
  </si>
  <si>
    <t>المخاطر</t>
  </si>
  <si>
    <t>ضبابي</t>
  </si>
  <si>
    <t>صداع</t>
  </si>
  <si>
    <t>الصداع</t>
  </si>
  <si>
    <t>حسرة</t>
  </si>
  <si>
    <t>مفجع</t>
  </si>
  <si>
    <t>هرتبركس</t>
  </si>
  <si>
    <t>متحجر القلب</t>
  </si>
  <si>
    <t>غافل</t>
  </si>
  <si>
    <t>غفلة</t>
  </si>
  <si>
    <t>شنيع</t>
  </si>
  <si>
    <t>الجحيم</t>
  </si>
  <si>
    <t>الهيلينية</t>
  </si>
  <si>
    <t>جهنم</t>
  </si>
  <si>
    <t>جهنمي</t>
  </si>
  <si>
    <t>مرحبا</t>
  </si>
  <si>
    <t>عاجز</t>
  </si>
  <si>
    <t>بلا حول ولا قوة</t>
  </si>
  <si>
    <t>بتردد</t>
  </si>
  <si>
    <t>ترددت</t>
  </si>
  <si>
    <t>يتردد</t>
  </si>
  <si>
    <t>بشكل مشكوك به</t>
  </si>
  <si>
    <t>بشع</t>
  </si>
  <si>
    <t>بشاعة</t>
  </si>
  <si>
    <t>خطف</t>
  </si>
  <si>
    <t>خطفت</t>
  </si>
  <si>
    <t>الخاطفين</t>
  </si>
  <si>
    <t>سرقات</t>
  </si>
  <si>
    <t>أعاق</t>
  </si>
  <si>
    <t>مناع</t>
  </si>
  <si>
    <t>إعاقة</t>
  </si>
  <si>
    <t>يعيق</t>
  </si>
  <si>
    <t>العوائق</t>
  </si>
  <si>
    <t>ذخيرة</t>
  </si>
  <si>
    <t>مكنوز</t>
  </si>
  <si>
    <t>المكتنز</t>
  </si>
  <si>
    <t>المكتنزون</t>
  </si>
  <si>
    <t>لوحة إعلانات ضخمة</t>
  </si>
  <si>
    <t>لوحات</t>
  </si>
  <si>
    <t>الكنوز</t>
  </si>
  <si>
    <t>عرج</t>
  </si>
  <si>
    <t>يعرج</t>
  </si>
  <si>
    <t>أجوف</t>
  </si>
  <si>
    <t>المجوفة</t>
  </si>
  <si>
    <t>بيتي</t>
  </si>
  <si>
    <t>حنين للوطن والأسرة</t>
  </si>
  <si>
    <t>الشواق</t>
  </si>
  <si>
    <t>المثلية</t>
  </si>
  <si>
    <t>معالجة المثلية</t>
  </si>
  <si>
    <t>الخليط</t>
  </si>
  <si>
    <t>تجانس</t>
  </si>
  <si>
    <t>متجانس</t>
  </si>
  <si>
    <t>متجانسة</t>
  </si>
  <si>
    <t>متشاكلة</t>
  </si>
  <si>
    <t>متماثل</t>
  </si>
  <si>
    <t>نديد</t>
  </si>
  <si>
    <t>المتماثلات</t>
  </si>
  <si>
    <t>التماثل</t>
  </si>
  <si>
    <t>تشابهات شكلية</t>
  </si>
  <si>
    <t>مجانسة</t>
  </si>
  <si>
    <t>هومونيم</t>
  </si>
  <si>
    <t>الجنسية المثلية</t>
  </si>
  <si>
    <t>الخوف من المثليين</t>
  </si>
  <si>
    <t>الهوموفون</t>
  </si>
  <si>
    <t>الشذوذ الجنسي</t>
  </si>
  <si>
    <t>ميؤوس</t>
  </si>
  <si>
    <t>حشد</t>
  </si>
  <si>
    <t>جحافل</t>
  </si>
  <si>
    <t>مريع</t>
  </si>
  <si>
    <t>مرعب</t>
  </si>
  <si>
    <t>فظيعة</t>
  </si>
  <si>
    <t>يروع</t>
  </si>
  <si>
    <t>أرهب</t>
  </si>
  <si>
    <t>أهوال</t>
  </si>
  <si>
    <t>إذلال</t>
  </si>
  <si>
    <t>أذل</t>
  </si>
  <si>
    <t>يذل</t>
  </si>
  <si>
    <t>مذل</t>
  </si>
  <si>
    <t>مذلة</t>
  </si>
  <si>
    <t>الإهانات</t>
  </si>
  <si>
    <t>حمورلس</t>
  </si>
  <si>
    <t>جوع</t>
  </si>
  <si>
    <t>النهم الشديد</t>
  </si>
  <si>
    <t>التواق</t>
  </si>
  <si>
    <t>متعطش</t>
  </si>
  <si>
    <t>أكثر جوعا</t>
  </si>
  <si>
    <t>جوعا</t>
  </si>
  <si>
    <t>بجوع</t>
  </si>
  <si>
    <t>جائع</t>
  </si>
  <si>
    <t>صياد</t>
  </si>
  <si>
    <t>الصيادين</t>
  </si>
  <si>
    <t>آذى</t>
  </si>
  <si>
    <t>مؤذ</t>
  </si>
  <si>
    <t>تقدم بسرعة</t>
  </si>
  <si>
    <t>اندفاعهم</t>
  </si>
  <si>
    <t>يندفع</t>
  </si>
  <si>
    <t>تندفع</t>
  </si>
  <si>
    <t>صخب</t>
  </si>
  <si>
    <t>مدفوع</t>
  </si>
  <si>
    <t>المزاحمون</t>
  </si>
  <si>
    <t>الزحام</t>
  </si>
  <si>
    <t>مراقي</t>
  </si>
  <si>
    <t>ممروق</t>
  </si>
  <si>
    <t>نفاق</t>
  </si>
  <si>
    <t>منافق</t>
  </si>
  <si>
    <t>المنافقين</t>
  </si>
  <si>
    <t>هستيريا</t>
  </si>
  <si>
    <t>هستيري</t>
  </si>
  <si>
    <t>هستيرية</t>
  </si>
  <si>
    <t>مقولات</t>
  </si>
  <si>
    <t>مخبل</t>
  </si>
  <si>
    <t>البلهاء</t>
  </si>
  <si>
    <t>كسل</t>
  </si>
  <si>
    <t>تجاهلها</t>
  </si>
  <si>
    <t>عدم معرفة</t>
  </si>
  <si>
    <t>الجهلاء</t>
  </si>
  <si>
    <t>جاهل</t>
  </si>
  <si>
    <t>بجهل</t>
  </si>
  <si>
    <t>يتجاهل</t>
  </si>
  <si>
    <t>سوء</t>
  </si>
  <si>
    <t>غير شرعي</t>
  </si>
  <si>
    <t>المخالفات</t>
  </si>
  <si>
    <t>شرعية</t>
  </si>
  <si>
    <t>بصورة غير مشروعة</t>
  </si>
  <si>
    <t>قراءته</t>
  </si>
  <si>
    <t>غير مقروء</t>
  </si>
  <si>
    <t>بصورة تصعب قراءتها</t>
  </si>
  <si>
    <t>بطريقة غير شرعية</t>
  </si>
  <si>
    <t>غير مشروع</t>
  </si>
  <si>
    <t>لا متناهي</t>
  </si>
  <si>
    <t>إلينوي</t>
  </si>
  <si>
    <t>غير السائلة</t>
  </si>
  <si>
    <t>أمية</t>
  </si>
  <si>
    <t>أمي</t>
  </si>
  <si>
    <t>الأميين</t>
  </si>
  <si>
    <t>اللامنطق</t>
  </si>
  <si>
    <t>غير منطقي</t>
  </si>
  <si>
    <t>لامنطقية</t>
  </si>
  <si>
    <t>العلل</t>
  </si>
  <si>
    <t>إنارة</t>
  </si>
  <si>
    <t>أنار</t>
  </si>
  <si>
    <t>مضيئة</t>
  </si>
  <si>
    <t>ينير</t>
  </si>
  <si>
    <t>إلقاء الضوء على</t>
  </si>
  <si>
    <t>إضاءة</t>
  </si>
  <si>
    <t>إضاءات</t>
  </si>
  <si>
    <t>السحرة</t>
  </si>
  <si>
    <t>أوهام</t>
  </si>
  <si>
    <t>توضيح</t>
  </si>
  <si>
    <t>يتضح</t>
  </si>
  <si>
    <t>توضح</t>
  </si>
  <si>
    <t>الرسوم التوضيحية</t>
  </si>
  <si>
    <t>المصور</t>
  </si>
  <si>
    <t>الرسامين</t>
  </si>
  <si>
    <t>غير ناضج</t>
  </si>
  <si>
    <t>طائشة</t>
  </si>
  <si>
    <t>جمود</t>
  </si>
  <si>
    <t>لا اخلاقي</t>
  </si>
  <si>
    <t>فجور</t>
  </si>
  <si>
    <t>غير أخلاقي</t>
  </si>
  <si>
    <t>ثابت</t>
  </si>
  <si>
    <t>يضعف</t>
  </si>
  <si>
    <t>للإعاقة</t>
  </si>
  <si>
    <t>العاهات</t>
  </si>
  <si>
    <t>يعوق</t>
  </si>
  <si>
    <t>نفاذ صبر</t>
  </si>
  <si>
    <t>نافذ الصبر</t>
  </si>
  <si>
    <t>بفارغ الصبر</t>
  </si>
  <si>
    <t>عوائق</t>
  </si>
  <si>
    <t>لا شخصي</t>
  </si>
  <si>
    <t>مجهول</t>
  </si>
  <si>
    <t>غير شخصية</t>
  </si>
  <si>
    <t>توريط</t>
  </si>
  <si>
    <t>يورط</t>
  </si>
  <si>
    <t>مناشد</t>
  </si>
  <si>
    <t>غير مهذب</t>
  </si>
  <si>
    <t>قلة ذوق</t>
  </si>
  <si>
    <t>مفروض</t>
  </si>
  <si>
    <t>عدم الدقة</t>
  </si>
  <si>
    <t>مسجون</t>
  </si>
  <si>
    <t>السجن</t>
  </si>
  <si>
    <t>تسجن</t>
  </si>
  <si>
    <t>غير صحيح</t>
  </si>
  <si>
    <t>خطاء</t>
  </si>
  <si>
    <t>مندفع</t>
  </si>
  <si>
    <t>باندفاع</t>
  </si>
  <si>
    <t>اندفاع</t>
  </si>
  <si>
    <t>نجس</t>
  </si>
  <si>
    <t>عدم إمكانية الوصول</t>
  </si>
  <si>
    <t>لا يمكن الوصول إليها</t>
  </si>
  <si>
    <t>عدم دقة</t>
  </si>
  <si>
    <t>عدم ملائمة</t>
  </si>
  <si>
    <t>غير كاف</t>
  </si>
  <si>
    <t>غير قادر</t>
  </si>
  <si>
    <t>متواصل</t>
  </si>
  <si>
    <t>باستمرار</t>
  </si>
  <si>
    <t>عدم التوافق</t>
  </si>
  <si>
    <t>غير كفؤ</t>
  </si>
  <si>
    <t>غير واف</t>
  </si>
  <si>
    <t>غير الأكفاء</t>
  </si>
  <si>
    <t>غير متناسقة</t>
  </si>
  <si>
    <t>غير متسق</t>
  </si>
  <si>
    <t>يتعب</t>
  </si>
  <si>
    <t>غير مريح</t>
  </si>
  <si>
    <t>غير مناسب</t>
  </si>
  <si>
    <t>عدم صحة</t>
  </si>
  <si>
    <t>عضال</t>
  </si>
  <si>
    <t>بذاءة</t>
  </si>
  <si>
    <t>غير لائق</t>
  </si>
  <si>
    <t>غير محتشمة</t>
  </si>
  <si>
    <t>غير حاسم</t>
  </si>
  <si>
    <t>التردد</t>
  </si>
  <si>
    <t>غير محدد</t>
  </si>
  <si>
    <t>إلى أجل غير مسمى</t>
  </si>
  <si>
    <t>متعذر تحديده</t>
  </si>
  <si>
    <t>عدم التعيين</t>
  </si>
  <si>
    <t>لوائح اتهام</t>
  </si>
  <si>
    <t>غير مبال</t>
  </si>
  <si>
    <t>بحيادية</t>
  </si>
  <si>
    <t>دلل</t>
  </si>
  <si>
    <t>منغمس</t>
  </si>
  <si>
    <t>تساهل</t>
  </si>
  <si>
    <t>الانغماس</t>
  </si>
  <si>
    <t>متسامح</t>
  </si>
  <si>
    <t>على نحو متساهل</t>
  </si>
  <si>
    <t>ينغمس</t>
  </si>
  <si>
    <t>غير فعالة</t>
  </si>
  <si>
    <t>غير فعال</t>
  </si>
  <si>
    <t>عدم فعالية</t>
  </si>
  <si>
    <t>غير نافع</t>
  </si>
  <si>
    <t>عدم الكفاءة</t>
  </si>
  <si>
    <t>عدم المساواة</t>
  </si>
  <si>
    <t>تفاوت</t>
  </si>
  <si>
    <t>غير دقيق</t>
  </si>
  <si>
    <t>لا يمكن تفسيره</t>
  </si>
  <si>
    <t>سيء السمعة</t>
  </si>
  <si>
    <t>سيئ السمعة</t>
  </si>
  <si>
    <t>إصابة</t>
  </si>
  <si>
    <t>اصابة</t>
  </si>
  <si>
    <t>العدوى</t>
  </si>
  <si>
    <t>أدنى منزلة</t>
  </si>
  <si>
    <t>عقدة النقص</t>
  </si>
  <si>
    <t>التوابع</t>
  </si>
  <si>
    <t>غزو</t>
  </si>
  <si>
    <t>الإصابة</t>
  </si>
  <si>
    <t>المصابة</t>
  </si>
  <si>
    <t>تغزو</t>
  </si>
  <si>
    <t>تتسرب</t>
  </si>
  <si>
    <t>التسلل</t>
  </si>
  <si>
    <t>المتسلل</t>
  </si>
  <si>
    <t>متسللين</t>
  </si>
  <si>
    <t>ملتهبة</t>
  </si>
  <si>
    <t>تشعل</t>
  </si>
  <si>
    <t>التضخم</t>
  </si>
  <si>
    <t>تضخمي</t>
  </si>
  <si>
    <t>إلحاق</t>
  </si>
  <si>
    <t>فعل الضحايا</t>
  </si>
  <si>
    <t>المصيب</t>
  </si>
  <si>
    <t>ايقاع</t>
  </si>
  <si>
    <t>بلاء</t>
  </si>
  <si>
    <t>يلحق</t>
  </si>
  <si>
    <t>مخالفة</t>
  </si>
  <si>
    <t>التعديات</t>
  </si>
  <si>
    <t>يثير حنق وغضب</t>
  </si>
  <si>
    <t>نكران الجميل</t>
  </si>
  <si>
    <t>مستعمل</t>
  </si>
  <si>
    <t>كبت</t>
  </si>
  <si>
    <t>الموانع</t>
  </si>
  <si>
    <t>المانع</t>
  </si>
  <si>
    <t>مثبطات</t>
  </si>
  <si>
    <t>المثبطة</t>
  </si>
  <si>
    <t>يثبط</t>
  </si>
  <si>
    <t>غير إنساني</t>
  </si>
  <si>
    <t>إنسانية</t>
  </si>
  <si>
    <t>غير انسانية</t>
  </si>
  <si>
    <t>إنذار قضائي</t>
  </si>
  <si>
    <t>أوامر</t>
  </si>
  <si>
    <t>جرح</t>
  </si>
  <si>
    <t>اصابات</t>
  </si>
  <si>
    <t>تجريحي</t>
  </si>
  <si>
    <t>بجنون</t>
  </si>
  <si>
    <t>غير آمن</t>
  </si>
  <si>
    <t>غير مأمون</t>
  </si>
  <si>
    <t>انعدام الأمن</t>
  </si>
  <si>
    <t>عدم الأمان</t>
  </si>
  <si>
    <t>غير مدرك</t>
  </si>
  <si>
    <t>غادر</t>
  </si>
  <si>
    <t>دهاء</t>
  </si>
  <si>
    <t>ضئيل</t>
  </si>
  <si>
    <t>بتفاهه</t>
  </si>
  <si>
    <t>غير مخلص</t>
  </si>
  <si>
    <t>بتصنع</t>
  </si>
  <si>
    <t>دس</t>
  </si>
  <si>
    <t>لمح</t>
  </si>
  <si>
    <t>دسي</t>
  </si>
  <si>
    <t>بتملق</t>
  </si>
  <si>
    <t>تلميح</t>
  </si>
  <si>
    <t>التلميحات</t>
  </si>
  <si>
    <t>وقاحة</t>
  </si>
  <si>
    <t>بكل وقاحة</t>
  </si>
  <si>
    <t>عدم إستقرار</t>
  </si>
  <si>
    <t>قصور</t>
  </si>
  <si>
    <t>كاف</t>
  </si>
  <si>
    <t>إهانة</t>
  </si>
  <si>
    <t>أهان</t>
  </si>
  <si>
    <t>المهين</t>
  </si>
  <si>
    <t>تدخل</t>
  </si>
  <si>
    <t>تدخلت</t>
  </si>
  <si>
    <t>التدخلات</t>
  </si>
  <si>
    <t>المتدخل</t>
  </si>
  <si>
    <t>يتداخل</t>
  </si>
  <si>
    <t>التدخل</t>
  </si>
  <si>
    <t>المدخال مقياس التداخل</t>
  </si>
  <si>
    <t>تداخل</t>
  </si>
  <si>
    <t>التداخل</t>
  </si>
  <si>
    <t>مضاد للفيروسات</t>
  </si>
  <si>
    <t>قطع</t>
  </si>
  <si>
    <t>متقطع</t>
  </si>
  <si>
    <t>مقاطعة</t>
  </si>
  <si>
    <t>انقطاع</t>
  </si>
  <si>
    <t>المقاطعات</t>
  </si>
  <si>
    <t>تخويف</t>
  </si>
  <si>
    <t>ترهيب</t>
  </si>
  <si>
    <t>الترهيب</t>
  </si>
  <si>
    <t>التخويف</t>
  </si>
  <si>
    <t>لا يطاق</t>
  </si>
  <si>
    <t>سمم</t>
  </si>
  <si>
    <t>ثمل</t>
  </si>
  <si>
    <t>تطفل</t>
  </si>
  <si>
    <t>توغلت</t>
  </si>
  <si>
    <t>المتطفل</t>
  </si>
  <si>
    <t>الدخلاء</t>
  </si>
  <si>
    <t>يتطفل</t>
  </si>
  <si>
    <t>التطفل</t>
  </si>
  <si>
    <t>الاختراقات</t>
  </si>
  <si>
    <t>غدق</t>
  </si>
  <si>
    <t>غمرت</t>
  </si>
  <si>
    <t>غزا</t>
  </si>
  <si>
    <t>غزت</t>
  </si>
  <si>
    <t>غاز</t>
  </si>
  <si>
    <t>الغزاة</t>
  </si>
  <si>
    <t>يغزو</t>
  </si>
  <si>
    <t>باطل</t>
  </si>
  <si>
    <t>يبطل</t>
  </si>
  <si>
    <t>نواقض</t>
  </si>
  <si>
    <t>إبطال</t>
  </si>
  <si>
    <t>معوقين</t>
  </si>
  <si>
    <t>الغيبيات</t>
  </si>
  <si>
    <t>لا إرادي</t>
  </si>
  <si>
    <t>ضايق</t>
  </si>
  <si>
    <t>أغضب</t>
  </si>
  <si>
    <t>مما ازعج</t>
  </si>
  <si>
    <t>يؤرق</t>
  </si>
  <si>
    <t>مسام</t>
  </si>
  <si>
    <t>الملل</t>
  </si>
  <si>
    <t>ومن المفارقات</t>
  </si>
  <si>
    <t>اللاعقلانية</t>
  </si>
  <si>
    <t>لاعقلانية</t>
  </si>
  <si>
    <t>غير عقلاني</t>
  </si>
  <si>
    <t>غير منتظم</t>
  </si>
  <si>
    <t>عدم انتظام</t>
  </si>
  <si>
    <t>غير نظامية</t>
  </si>
  <si>
    <t>عدم المسؤولية</t>
  </si>
  <si>
    <t>غير مسؤول</t>
  </si>
  <si>
    <t>التهيجية</t>
  </si>
  <si>
    <t>سريع الغضب</t>
  </si>
  <si>
    <t>بانفعال</t>
  </si>
  <si>
    <t>مهيج</t>
  </si>
  <si>
    <t>المهيجات</t>
  </si>
  <si>
    <t>تهيج</t>
  </si>
  <si>
    <t>معزول</t>
  </si>
  <si>
    <t>العزلات</t>
  </si>
  <si>
    <t>العزلة</t>
  </si>
  <si>
    <t>الانعزالية</t>
  </si>
  <si>
    <t>انعزالية</t>
  </si>
  <si>
    <t>المعزل</t>
  </si>
  <si>
    <t>العوازل</t>
  </si>
  <si>
    <t>حمار</t>
  </si>
  <si>
    <t>الحمير</t>
  </si>
  <si>
    <t>سئم</t>
  </si>
  <si>
    <t>سجين</t>
  </si>
  <si>
    <t>السجون</t>
  </si>
  <si>
    <t>غيور</t>
  </si>
  <si>
    <t>الغيرة</t>
  </si>
  <si>
    <t>بغيرة</t>
  </si>
  <si>
    <t>غيرة</t>
  </si>
  <si>
    <t>تهكم</t>
  </si>
  <si>
    <t>نفروا</t>
  </si>
  <si>
    <t>الإستهزاء</t>
  </si>
  <si>
    <t>السخريات</t>
  </si>
  <si>
    <t>رعشة</t>
  </si>
  <si>
    <t>قريد</t>
  </si>
  <si>
    <t>بتقفز</t>
  </si>
  <si>
    <t>جيركين</t>
  </si>
  <si>
    <t>الرجيج</t>
  </si>
  <si>
    <t>جيركينز</t>
  </si>
  <si>
    <t>الهزات</t>
  </si>
  <si>
    <t>متشنج</t>
  </si>
  <si>
    <t>نرفز</t>
  </si>
  <si>
    <t>البطالة</t>
  </si>
  <si>
    <t>نزهة</t>
  </si>
  <si>
    <t>السائق من أجل المتعة</t>
  </si>
  <si>
    <t>وثاب</t>
  </si>
  <si>
    <t>خردة</t>
  </si>
  <si>
    <t>يونكر</t>
  </si>
  <si>
    <t>وليمة</t>
  </si>
  <si>
    <t>عاشق</t>
  </si>
  <si>
    <t>الحشاشون</t>
  </si>
  <si>
    <t>السفن الشراعية</t>
  </si>
  <si>
    <t>ركلة</t>
  </si>
  <si>
    <t>ركل</t>
  </si>
  <si>
    <t>كيكر</t>
  </si>
  <si>
    <t>الركل</t>
  </si>
  <si>
    <t>ركلات</t>
  </si>
  <si>
    <t>انعاش</t>
  </si>
  <si>
    <t>بدء هذه</t>
  </si>
  <si>
    <t>الخطف</t>
  </si>
  <si>
    <t>القاتل</t>
  </si>
  <si>
    <t>القتل</t>
  </si>
  <si>
    <t>مفسد البهجة</t>
  </si>
  <si>
    <t>يقتل</t>
  </si>
  <si>
    <t>سكين</t>
  </si>
  <si>
    <t>طعنت</t>
  </si>
  <si>
    <t>بسكين</t>
  </si>
  <si>
    <t>سكاكين</t>
  </si>
  <si>
    <t>واهن</t>
  </si>
  <si>
    <t>تفتقر</t>
  </si>
  <si>
    <t>خادم</t>
  </si>
  <si>
    <t>أذناب</t>
  </si>
  <si>
    <t>يفتقر</t>
  </si>
  <si>
    <t>اميد</t>
  </si>
  <si>
    <t>العرجاء</t>
  </si>
  <si>
    <t>مرثاة</t>
  </si>
  <si>
    <t>مؤسف</t>
  </si>
  <si>
    <t>أسف</t>
  </si>
  <si>
    <t>رثاء</t>
  </si>
  <si>
    <t>عوابل</t>
  </si>
  <si>
    <t>رثى</t>
  </si>
  <si>
    <t>التباكي</t>
  </si>
  <si>
    <t>الرثاء</t>
  </si>
  <si>
    <t>اعرج</t>
  </si>
  <si>
    <t>ضنى</t>
  </si>
  <si>
    <t>ضعفت</t>
  </si>
  <si>
    <t>يقبع</t>
  </si>
  <si>
    <t>يقبعون</t>
  </si>
  <si>
    <t>هفوة</t>
  </si>
  <si>
    <t>ساقطا</t>
  </si>
  <si>
    <t>هفوات</t>
  </si>
  <si>
    <t>مثير للضحك</t>
  </si>
  <si>
    <t>الدعاوى القضائية</t>
  </si>
  <si>
    <t>أشد كسلا</t>
  </si>
  <si>
    <t>كسلا</t>
  </si>
  <si>
    <t>بتكاسل</t>
  </si>
  <si>
    <t>كسول</t>
  </si>
  <si>
    <t>المتواني</t>
  </si>
  <si>
    <t>تسرب</t>
  </si>
  <si>
    <t>التسربات</t>
  </si>
  <si>
    <t>تسربت</t>
  </si>
  <si>
    <t>تسريب</t>
  </si>
  <si>
    <t>التسريبات</t>
  </si>
  <si>
    <t>راشح</t>
  </si>
  <si>
    <t>المطلوبات</t>
  </si>
  <si>
    <t>مسئولية</t>
  </si>
  <si>
    <t>عرضة</t>
  </si>
  <si>
    <t>كذاب</t>
  </si>
  <si>
    <t>كذابين</t>
  </si>
  <si>
    <t>تشهير</t>
  </si>
  <si>
    <t>القذف بحق</t>
  </si>
  <si>
    <t>مقذوف</t>
  </si>
  <si>
    <t>القذف</t>
  </si>
  <si>
    <t>تشهيري</t>
  </si>
  <si>
    <t>الأغاني الألمانية</t>
  </si>
  <si>
    <t>الموات</t>
  </si>
  <si>
    <t>وخرج</t>
  </si>
  <si>
    <t>اللصقة شخص لا يفارق</t>
  </si>
  <si>
    <t>بطلينوس</t>
  </si>
  <si>
    <t>شفاف</t>
  </si>
  <si>
    <t>بشكل هزيل</t>
  </si>
  <si>
    <t>ليمبوبو</t>
  </si>
  <si>
    <t>تخلص من</t>
  </si>
  <si>
    <t>تصفية</t>
  </si>
  <si>
    <t>المتقاضين</t>
  </si>
  <si>
    <t>قاضى</t>
  </si>
  <si>
    <t>التقاضي</t>
  </si>
  <si>
    <t>دعوى</t>
  </si>
  <si>
    <t>المشاكسة</t>
  </si>
  <si>
    <t>تناثرت</t>
  </si>
  <si>
    <t>رمي النفايات</t>
  </si>
  <si>
    <t>الفضلات</t>
  </si>
  <si>
    <t>وحيد</t>
  </si>
  <si>
    <t>للوحدة</t>
  </si>
  <si>
    <t>وحيدا</t>
  </si>
  <si>
    <t>المنعزلون</t>
  </si>
  <si>
    <t>شوق</t>
  </si>
  <si>
    <t>بشوق</t>
  </si>
  <si>
    <t>أشواق</t>
  </si>
  <si>
    <t>فقد</t>
  </si>
  <si>
    <t>خاسر</t>
  </si>
  <si>
    <t>الخاسرين</t>
  </si>
  <si>
    <t>يفقد</t>
  </si>
  <si>
    <t>فقدان</t>
  </si>
  <si>
    <t>الخسران</t>
  </si>
  <si>
    <t>خسارة</t>
  </si>
  <si>
    <t>مفقود</t>
  </si>
  <si>
    <t>قملة</t>
  </si>
  <si>
    <t>يتيم الحب</t>
  </si>
  <si>
    <t>منخفض</t>
  </si>
  <si>
    <t>أدنى</t>
  </si>
  <si>
    <t>صغيرة</t>
  </si>
  <si>
    <t>خفضت</t>
  </si>
  <si>
    <t>خوار</t>
  </si>
  <si>
    <t>الأراضي المنخفضة</t>
  </si>
  <si>
    <t>نذالة</t>
  </si>
  <si>
    <t>وضيع</t>
  </si>
  <si>
    <t>سفالة</t>
  </si>
  <si>
    <t>أدنى مستوياته</t>
  </si>
  <si>
    <t>منحوس</t>
  </si>
  <si>
    <t>مضحك</t>
  </si>
  <si>
    <t>السخافة</t>
  </si>
  <si>
    <t>هدوء مؤقت</t>
  </si>
  <si>
    <t>التهويدات</t>
  </si>
  <si>
    <t>تهليل</t>
  </si>
  <si>
    <t>يركن</t>
  </si>
  <si>
    <t>التهدئة</t>
  </si>
  <si>
    <t>فترات الهدوء</t>
  </si>
  <si>
    <t>معتوه</t>
  </si>
  <si>
    <t>المجانين</t>
  </si>
  <si>
    <t>جذبه</t>
  </si>
  <si>
    <t>السحر</t>
  </si>
  <si>
    <t>لركس</t>
  </si>
  <si>
    <t>اندس</t>
  </si>
  <si>
    <t>مترصد</t>
  </si>
  <si>
    <t>عضو جديد ل</t>
  </si>
  <si>
    <t>مكمن</t>
  </si>
  <si>
    <t>يتربص</t>
  </si>
  <si>
    <t>سيدتي</t>
  </si>
  <si>
    <t>السيدات</t>
  </si>
  <si>
    <t>جنوني</t>
  </si>
  <si>
    <t>خبل</t>
  </si>
  <si>
    <t>مجن</t>
  </si>
  <si>
    <t>مادنس</t>
  </si>
  <si>
    <t>الفوة نبات صبغي</t>
  </si>
  <si>
    <t>أكثر جنونا</t>
  </si>
  <si>
    <t>مصنوع</t>
  </si>
  <si>
    <t>الماديرا</t>
  </si>
  <si>
    <t>مدموزيل</t>
  </si>
  <si>
    <t>مستشفي المجانين</t>
  </si>
  <si>
    <t>مدراس</t>
  </si>
  <si>
    <t>مدريد</t>
  </si>
  <si>
    <t>مادريجال</t>
  </si>
  <si>
    <t>مدريغلس]</t>
  </si>
  <si>
    <t>مجنونة</t>
  </si>
  <si>
    <t>غير منسجم</t>
  </si>
  <si>
    <t>عدم إنتظام</t>
  </si>
  <si>
    <t>حقد</t>
  </si>
  <si>
    <t>خبيث</t>
  </si>
  <si>
    <t>بشكل ضار</t>
  </si>
  <si>
    <t>الأورام الخبيثة</t>
  </si>
  <si>
    <t>يعاب</t>
  </si>
  <si>
    <t>الافتراء</t>
  </si>
  <si>
    <t>إساءة لل</t>
  </si>
  <si>
    <t>المهترئ</t>
  </si>
  <si>
    <t>معصرة بالضغط</t>
  </si>
  <si>
    <t>مهووس</t>
  </si>
  <si>
    <t>بشكل جنوني</t>
  </si>
  <si>
    <t>مجانين</t>
  </si>
  <si>
    <t>تلاعب</t>
  </si>
  <si>
    <t>التلاعب</t>
  </si>
  <si>
    <t>بالتلاعب</t>
  </si>
  <si>
    <t>المتلاعبة</t>
  </si>
  <si>
    <t>مناور</t>
  </si>
  <si>
    <t>المتلاعبين</t>
  </si>
  <si>
    <t>مارس</t>
  </si>
  <si>
    <t>مارا</t>
  </si>
  <si>
    <t>الماراثون</t>
  </si>
  <si>
    <t>سباقات الماراثون</t>
  </si>
  <si>
    <t>المغيرة</t>
  </si>
  <si>
    <t>رخام</t>
  </si>
  <si>
    <t>رخامي</t>
  </si>
  <si>
    <t>أفكار</t>
  </si>
  <si>
    <t>مسيرة</t>
  </si>
  <si>
    <t>سار</t>
  </si>
  <si>
    <t>المسيرة</t>
  </si>
  <si>
    <t>مسيرات</t>
  </si>
  <si>
    <t>المركيزة زوجة المركيز</t>
  </si>
  <si>
    <t>فرس</t>
  </si>
  <si>
    <t>الأفراس</t>
  </si>
  <si>
    <t>السمن النباتي</t>
  </si>
  <si>
    <t>مارجيت</t>
  </si>
  <si>
    <t>هامش</t>
  </si>
  <si>
    <t>هامشي</t>
  </si>
  <si>
    <t>تلويحات</t>
  </si>
  <si>
    <t>التهميش</t>
  </si>
  <si>
    <t>تهميش</t>
  </si>
  <si>
    <t>المهمشة</t>
  </si>
  <si>
    <t>الربح البسيط</t>
  </si>
  <si>
    <t>هوامش</t>
  </si>
  <si>
    <t>ماريا</t>
  </si>
  <si>
    <t>الآذريون نبات</t>
  </si>
  <si>
    <t>القطيفة</t>
  </si>
  <si>
    <t>قنب هندي</t>
  </si>
  <si>
    <t>المرسى</t>
  </si>
  <si>
    <t>ماء مالح</t>
  </si>
  <si>
    <t>المراسي</t>
  </si>
  <si>
    <t>نقع بالخل</t>
  </si>
  <si>
    <t>منقع</t>
  </si>
  <si>
    <t>بحري</t>
  </si>
  <si>
    <t>بحار</t>
  </si>
  <si>
    <t>البحارة</t>
  </si>
  <si>
    <t>المارينز</t>
  </si>
  <si>
    <t>دمية تتحرك بالاسلاكي</t>
  </si>
  <si>
    <t>الدمى</t>
  </si>
  <si>
    <t>زوجي</t>
  </si>
  <si>
    <t>علامة</t>
  </si>
  <si>
    <t>ملحوظ</t>
  </si>
  <si>
    <t>بشكل ملحوظ</t>
  </si>
  <si>
    <t>علامات</t>
  </si>
  <si>
    <t>سوق</t>
  </si>
  <si>
    <t>تسويق</t>
  </si>
  <si>
    <t>تجار السوق</t>
  </si>
  <si>
    <t>الأسواق</t>
  </si>
  <si>
    <t>وسم</t>
  </si>
  <si>
    <t>هداف</t>
  </si>
  <si>
    <t>عضوية الرماة</t>
  </si>
  <si>
    <t>الرماة</t>
  </si>
  <si>
    <t>العلامات</t>
  </si>
  <si>
    <t>هوامش الربح</t>
  </si>
  <si>
    <t>المرل طين</t>
  </si>
  <si>
    <t>المرملاد مربى من قشور الحمضيات</t>
  </si>
  <si>
    <t>القشة قرد أميركي</t>
  </si>
  <si>
    <t>القرد الأميركي</t>
  </si>
  <si>
    <t>المرموط من القوارض</t>
  </si>
  <si>
    <t>كستنائي</t>
  </si>
  <si>
    <t>تقطعت بهم السبل</t>
  </si>
  <si>
    <t>الهجر</t>
  </si>
  <si>
    <t>المارون</t>
  </si>
  <si>
    <t>إذنا</t>
  </si>
  <si>
    <t>سرادق</t>
  </si>
  <si>
    <t>سرادقات</t>
  </si>
  <si>
    <t>ماركيز</t>
  </si>
  <si>
    <t>المركيز</t>
  </si>
  <si>
    <t>الخشب المطعم</t>
  </si>
  <si>
    <t>شابت</t>
  </si>
  <si>
    <t>زواج</t>
  </si>
  <si>
    <t>صالح للزواج</t>
  </si>
  <si>
    <t>الزواج</t>
  </si>
  <si>
    <t>متزوج</t>
  </si>
  <si>
    <t>يتزوج</t>
  </si>
  <si>
    <t>نخاع</t>
  </si>
  <si>
    <t>الكوسا</t>
  </si>
  <si>
    <t>تزوج</t>
  </si>
  <si>
    <t>المريخ</t>
  </si>
  <si>
    <t>مارسالا</t>
  </si>
  <si>
    <t>سبخة</t>
  </si>
  <si>
    <t>مارشال</t>
  </si>
  <si>
    <t>تنظيمها</t>
  </si>
  <si>
    <t>حفظ النظام</t>
  </si>
  <si>
    <t>حراس</t>
  </si>
  <si>
    <t>الاهوار</t>
  </si>
  <si>
    <t>مستنقع</t>
  </si>
  <si>
    <t>الخطمي</t>
  </si>
  <si>
    <t>أعشاب من الفصيلة الخبازية</t>
  </si>
  <si>
    <t>مستنقعي</t>
  </si>
  <si>
    <t>جرابي</t>
  </si>
  <si>
    <t>الجرابيات</t>
  </si>
  <si>
    <t>الدلق حيوان</t>
  </si>
  <si>
    <t>مارتنز</t>
  </si>
  <si>
    <t>عسكري</t>
  </si>
  <si>
    <t>مارتن</t>
  </si>
  <si>
    <t>الضابط المتشدد</t>
  </si>
  <si>
    <t>مارتينجال</t>
  </si>
  <si>
    <t>مارتيني</t>
  </si>
  <si>
    <t>مارتينز</t>
  </si>
  <si>
    <t>شهيد</t>
  </si>
  <si>
    <t>استشهد</t>
  </si>
  <si>
    <t>الشهداء</t>
  </si>
  <si>
    <t>أعجوبة</t>
  </si>
  <si>
    <t>فتعجب</t>
  </si>
  <si>
    <t>التعجب</t>
  </si>
  <si>
    <t>رائع</t>
  </si>
  <si>
    <t>الأعاجيب</t>
  </si>
  <si>
    <t>ماركس</t>
  </si>
  <si>
    <t>الماركسية</t>
  </si>
  <si>
    <t>الماركسيون</t>
  </si>
  <si>
    <t>مريم العذراء</t>
  </si>
  <si>
    <t>مرزبانية حلوى لوز وسكر</t>
  </si>
  <si>
    <t>ماسوشية تلذذ بالإضهاد</t>
  </si>
  <si>
    <t>المنحرف جنسيا</t>
  </si>
  <si>
    <t>ماسوشي</t>
  </si>
  <si>
    <t>المستالمون</t>
  </si>
  <si>
    <t>مذبحة</t>
  </si>
  <si>
    <t>مجازر</t>
  </si>
  <si>
    <t>القذر الشحيح</t>
  </si>
  <si>
    <t>لا معنى له</t>
  </si>
  <si>
    <t>اللامعنى</t>
  </si>
  <si>
    <t>تتدخل</t>
  </si>
  <si>
    <t>المتدخلين</t>
  </si>
  <si>
    <t>يتدخل</t>
  </si>
  <si>
    <t>متوسط</t>
  </si>
  <si>
    <t>توسط</t>
  </si>
  <si>
    <t>وديع</t>
  </si>
  <si>
    <t>ميكر</t>
  </si>
  <si>
    <t>بخنوع</t>
  </si>
  <si>
    <t>وداعة</t>
  </si>
  <si>
    <t>سوداء</t>
  </si>
  <si>
    <t>مليودرامي</t>
  </si>
  <si>
    <t>تهديد</t>
  </si>
  <si>
    <t>مهددة</t>
  </si>
  <si>
    <t>لا يرحم</t>
  </si>
  <si>
    <t>بلا رحمة</t>
  </si>
  <si>
    <t>رسالة</t>
  </si>
  <si>
    <t>رسائل</t>
  </si>
  <si>
    <t>الرسائل</t>
  </si>
  <si>
    <t>عابث</t>
  </si>
  <si>
    <t>رسول</t>
  </si>
  <si>
    <t>رسل</t>
  </si>
  <si>
    <t>المسيح</t>
  </si>
  <si>
    <t>ميسييه</t>
  </si>
  <si>
    <t>خبطة</t>
  </si>
  <si>
    <t>الفوضى</t>
  </si>
  <si>
    <t>العبث</t>
  </si>
  <si>
    <t>أساء التصرف</t>
  </si>
  <si>
    <t>أساءت التصرف</t>
  </si>
  <si>
    <t>يسيء التصرف</t>
  </si>
  <si>
    <t>الأذى</t>
  </si>
  <si>
    <t>بخبث</t>
  </si>
  <si>
    <t>البخيل</t>
  </si>
  <si>
    <t>على نحو بائس</t>
  </si>
  <si>
    <t>مآسي</t>
  </si>
  <si>
    <t>بخل</t>
  </si>
  <si>
    <t>بخيل</t>
  </si>
  <si>
    <t>بخلاء</t>
  </si>
  <si>
    <t>بؤس</t>
  </si>
  <si>
    <t>مصائب</t>
  </si>
  <si>
    <t>خاشن</t>
  </si>
  <si>
    <t>من الإمساك بالكرة</t>
  </si>
  <si>
    <t>بإهانة</t>
  </si>
  <si>
    <t>تضليل</t>
  </si>
  <si>
    <t>معلومات مضللة</t>
  </si>
  <si>
    <t>معلومات خاطئة</t>
  </si>
  <si>
    <t>مضلل</t>
  </si>
  <si>
    <t>يضلل</t>
  </si>
  <si>
    <t>تحريف</t>
  </si>
  <si>
    <t>التحريفات</t>
  </si>
  <si>
    <t>حرفت</t>
  </si>
  <si>
    <t>الكاذبة</t>
  </si>
  <si>
    <t>ملكة جمال</t>
  </si>
  <si>
    <t>كتاب القداس الصلاة</t>
  </si>
  <si>
    <t>غاب</t>
  </si>
  <si>
    <t>صواريخ</t>
  </si>
  <si>
    <t>مهمة</t>
  </si>
  <si>
    <t>المبشرين</t>
  </si>
  <si>
    <t>مبشر</t>
  </si>
  <si>
    <t>البعثات</t>
  </si>
  <si>
    <t>رسالة رسمية</t>
  </si>
  <si>
    <t>الخطابات</t>
  </si>
  <si>
    <t>ميسوري</t>
  </si>
  <si>
    <t>أخطأ في التهجئة والإملاء</t>
  </si>
  <si>
    <t>أخطاء إملائية</t>
  </si>
  <si>
    <t>إملائيا</t>
  </si>
  <si>
    <t>يخطئ تهجئة</t>
  </si>
  <si>
    <t>مبذر</t>
  </si>
  <si>
    <t>ميسي</t>
  </si>
  <si>
    <t>مخطئ</t>
  </si>
  <si>
    <t>عن طريق الخطأ</t>
  </si>
  <si>
    <t>خلط المفاهيم</t>
  </si>
  <si>
    <t>عدم الثقة</t>
  </si>
  <si>
    <t>فقدان الثقة</t>
  </si>
  <si>
    <t>يرتاب</t>
  </si>
  <si>
    <t>أساء الفهم</t>
  </si>
  <si>
    <t>سوء الفهم</t>
  </si>
  <si>
    <t>سوء فهم</t>
  </si>
  <si>
    <t>سيء الفهم</t>
  </si>
  <si>
    <t>سوء استخدام</t>
  </si>
  <si>
    <t>إساءة استخدام</t>
  </si>
  <si>
    <t>أنين</t>
  </si>
  <si>
    <t>مشتكى</t>
  </si>
  <si>
    <t>مانيرس</t>
  </si>
  <si>
    <t>يئن</t>
  </si>
  <si>
    <t>يشتكي</t>
  </si>
  <si>
    <t>مستهزئ</t>
  </si>
  <si>
    <t>المستهزئين</t>
  </si>
  <si>
    <t>ساخرا</t>
  </si>
  <si>
    <t>الطائر المحاكي</t>
  </si>
  <si>
    <t>نموذج بالحجم الطبيعي</t>
  </si>
  <si>
    <t>نماذج بالأحجام الطبيعية</t>
  </si>
  <si>
    <t>شابهها</t>
  </si>
  <si>
    <t>جرائم الاعتداء على</t>
  </si>
  <si>
    <t>التحرش</t>
  </si>
  <si>
    <t>ياذي</t>
  </si>
  <si>
    <t>داعية</t>
  </si>
  <si>
    <t>مروجي</t>
  </si>
  <si>
    <t>المغول</t>
  </si>
  <si>
    <t>النمس</t>
  </si>
  <si>
    <t>الهجين</t>
  </si>
  <si>
    <t>النغول</t>
  </si>
  <si>
    <t>رتيب</t>
  </si>
  <si>
    <t>رتابة</t>
  </si>
  <si>
    <t>مسخ</t>
  </si>
  <si>
    <t>وحوش</t>
  </si>
  <si>
    <t>بشكل مخيف</t>
  </si>
  <si>
    <t>مزاجيا</t>
  </si>
  <si>
    <t>نكد</t>
  </si>
  <si>
    <t>متقلب المزاج</t>
  </si>
  <si>
    <t>مغفل</t>
  </si>
  <si>
    <t>بخزي</t>
  </si>
  <si>
    <t>تنسك</t>
  </si>
  <si>
    <t>بلا حركة</t>
  </si>
  <si>
    <t>متعدد الألوان</t>
  </si>
  <si>
    <t>ندب</t>
  </si>
  <si>
    <t>نعى</t>
  </si>
  <si>
    <t>المتفجع</t>
  </si>
  <si>
    <t>المشيعين</t>
  </si>
  <si>
    <t>بشكل حزين</t>
  </si>
  <si>
    <t>الحداد</t>
  </si>
  <si>
    <t>تنعى</t>
  </si>
  <si>
    <t>اللخبطة</t>
  </si>
  <si>
    <t>موحل</t>
  </si>
  <si>
    <t>التعكير</t>
  </si>
  <si>
    <t>كلام غير واضح</t>
  </si>
  <si>
    <t>يتمتم</t>
  </si>
  <si>
    <t>المتمتم</t>
  </si>
  <si>
    <t>يغمغم</t>
  </si>
  <si>
    <t>دنيوي</t>
  </si>
  <si>
    <t>قاتلة</t>
  </si>
  <si>
    <t>مهلك</t>
  </si>
  <si>
    <t>تمتم</t>
  </si>
  <si>
    <t>المتمتمون</t>
  </si>
  <si>
    <t>غمغمة</t>
  </si>
  <si>
    <t>التمتمة</t>
  </si>
  <si>
    <t>ناغازاكي</t>
  </si>
  <si>
    <t>مزعجة</t>
  </si>
  <si>
    <t>بسذاجة</t>
  </si>
  <si>
    <t>سذاجة</t>
  </si>
  <si>
    <t>أكثر شرا</t>
  </si>
  <si>
    <t>قبح</t>
  </si>
  <si>
    <t>الكبوسين أبو خنجر</t>
  </si>
  <si>
    <t>غير مطيع</t>
  </si>
  <si>
    <t>النازي</t>
  </si>
  <si>
    <t>النازية</t>
  </si>
  <si>
    <t>النازيين</t>
  </si>
  <si>
    <t>محتاج</t>
  </si>
  <si>
    <t>سلبي</t>
  </si>
  <si>
    <t>السلبيات</t>
  </si>
  <si>
    <t>سلبية</t>
  </si>
  <si>
    <t>يهمل</t>
  </si>
  <si>
    <t>متهاون</t>
  </si>
  <si>
    <t>الطالب الذي يذاكر كثيرا</t>
  </si>
  <si>
    <t>المهووسين</t>
  </si>
  <si>
    <t>بعصبية</t>
  </si>
  <si>
    <t>الهلع</t>
  </si>
  <si>
    <t>العصابي</t>
  </si>
  <si>
    <t>المصابون بمرض عصبي</t>
  </si>
  <si>
    <t>كابوس</t>
  </si>
  <si>
    <t>الكوابيس</t>
  </si>
  <si>
    <t>نيكسون</t>
  </si>
  <si>
    <t>بلا ضجة</t>
  </si>
  <si>
    <t>سكينة</t>
  </si>
  <si>
    <t>ضوضاء</t>
  </si>
  <si>
    <t>غير مكترث</t>
  </si>
  <si>
    <t>بلا مبالاة</t>
  </si>
  <si>
    <t>مشهور</t>
  </si>
  <si>
    <t>المعروف</t>
  </si>
  <si>
    <t>المبتدئين</t>
  </si>
  <si>
    <t>الإيذاء</t>
  </si>
  <si>
    <t>ألغى</t>
  </si>
  <si>
    <t>خدر</t>
  </si>
  <si>
    <t>عدد</t>
  </si>
  <si>
    <t>مرقمة</t>
  </si>
  <si>
    <t>ترقيم</t>
  </si>
  <si>
    <t>لا يعد</t>
  </si>
  <si>
    <t>أرقام</t>
  </si>
  <si>
    <t>بتخدير</t>
  </si>
  <si>
    <t>يخدر</t>
  </si>
  <si>
    <t>المسكين</t>
  </si>
  <si>
    <t>الأهبل</t>
  </si>
  <si>
    <t>بدين</t>
  </si>
  <si>
    <t>كريها</t>
  </si>
  <si>
    <t>الاعتراضات</t>
  </si>
  <si>
    <t>منحرف</t>
  </si>
  <si>
    <t>بشكل غير مباشر</t>
  </si>
  <si>
    <t>التواء</t>
  </si>
  <si>
    <t>طمس</t>
  </si>
  <si>
    <t>غموضا</t>
  </si>
  <si>
    <t>يحجب</t>
  </si>
  <si>
    <t>أقلق</t>
  </si>
  <si>
    <t>تنتبه</t>
  </si>
  <si>
    <t>التوجس</t>
  </si>
  <si>
    <t>هاجس</t>
  </si>
  <si>
    <t>وسواسي</t>
  </si>
  <si>
    <t>الهواجس</t>
  </si>
  <si>
    <t>استحواذي</t>
  </si>
  <si>
    <t>الأستحواذ</t>
  </si>
  <si>
    <t>عقبة</t>
  </si>
  <si>
    <t>العقبات</t>
  </si>
  <si>
    <t>عنيد</t>
  </si>
  <si>
    <t>بعناد</t>
  </si>
  <si>
    <t>عرقلت</t>
  </si>
  <si>
    <t>المعطل</t>
  </si>
  <si>
    <t>التعوقية</t>
  </si>
  <si>
    <t>المعوق</t>
  </si>
  <si>
    <t>العرقلة</t>
  </si>
  <si>
    <t>تمنع الأوضاع</t>
  </si>
  <si>
    <t>الأعجب</t>
  </si>
  <si>
    <t>الشذوذ</t>
  </si>
  <si>
    <t>بشكل غريب</t>
  </si>
  <si>
    <t>نهاية الحلقة</t>
  </si>
  <si>
    <t>الجرائم</t>
  </si>
  <si>
    <t>المخالف</t>
  </si>
  <si>
    <t>الاساءة</t>
  </si>
  <si>
    <t>عدواني</t>
  </si>
  <si>
    <t>مشؤوم</t>
  </si>
  <si>
    <t>المشئومة</t>
  </si>
  <si>
    <t>السهو</t>
  </si>
  <si>
    <t>حذف</t>
  </si>
  <si>
    <t>يغفل</t>
  </si>
  <si>
    <t>الخصم</t>
  </si>
  <si>
    <t>المعارضين</t>
  </si>
  <si>
    <t>عارض</t>
  </si>
  <si>
    <t>المعارضة</t>
  </si>
  <si>
    <t>المعارضات</t>
  </si>
  <si>
    <t>ظلم</t>
  </si>
  <si>
    <t>مظلوم</t>
  </si>
  <si>
    <t>يضطهد</t>
  </si>
  <si>
    <t>الجائرة.</t>
  </si>
  <si>
    <t>اضطهاد</t>
  </si>
  <si>
    <t>القمع</t>
  </si>
  <si>
    <t>ظالم</t>
  </si>
  <si>
    <t>الظلم</t>
  </si>
  <si>
    <t>المضطهد</t>
  </si>
  <si>
    <t>الظالمين</t>
  </si>
  <si>
    <t>دار الأيتام</t>
  </si>
  <si>
    <t>دور الأيتام</t>
  </si>
  <si>
    <t>اليتامى</t>
  </si>
  <si>
    <t>الأيتام</t>
  </si>
  <si>
    <t>الاطاحة</t>
  </si>
  <si>
    <t>يطيح</t>
  </si>
  <si>
    <t>اندلاع</t>
  </si>
  <si>
    <t>تفشي</t>
  </si>
  <si>
    <t>فورة</t>
  </si>
  <si>
    <t>منبوذين</t>
  </si>
  <si>
    <t>احتجاج</t>
  </si>
  <si>
    <t>حظر</t>
  </si>
  <si>
    <t>المحظور</t>
  </si>
  <si>
    <t>يحظر</t>
  </si>
  <si>
    <t>تحريم</t>
  </si>
  <si>
    <t>الخارجين عن القانون</t>
  </si>
  <si>
    <t>شائن</t>
  </si>
  <si>
    <t>أثار غضب</t>
  </si>
  <si>
    <t>الغرباء</t>
  </si>
  <si>
    <t>فيض</t>
  </si>
  <si>
    <t>فاضت</t>
  </si>
  <si>
    <t>طافح</t>
  </si>
  <si>
    <t>التحليق فوق</t>
  </si>
  <si>
    <t>تجاوزات</t>
  </si>
  <si>
    <t>نغفل</t>
  </si>
  <si>
    <t>التغاضي</t>
  </si>
  <si>
    <t>تطل على</t>
  </si>
  <si>
    <t>يطل</t>
  </si>
  <si>
    <t>تغلبوا</t>
  </si>
  <si>
    <t>طاغ</t>
  </si>
  <si>
    <t>جبارة</t>
  </si>
  <si>
    <t>يقهر</t>
  </si>
  <si>
    <t>اجتياح</t>
  </si>
  <si>
    <t>مراقبة</t>
  </si>
  <si>
    <t>قلب</t>
  </si>
  <si>
    <t>الإطاحة</t>
  </si>
  <si>
    <t>أطيح</t>
  </si>
  <si>
    <t>الانقلابات</t>
  </si>
  <si>
    <t>انقلبت</t>
  </si>
  <si>
    <t>يقلب</t>
  </si>
  <si>
    <t>وزن زائد</t>
  </si>
  <si>
    <t>طغت</t>
  </si>
  <si>
    <t>بأغلبية ساحقة</t>
  </si>
  <si>
    <t>يثقل كاهل</t>
  </si>
  <si>
    <t>إرهاق</t>
  </si>
  <si>
    <t>الإرهاق</t>
  </si>
  <si>
    <t>ندين</t>
  </si>
  <si>
    <t>المستحقة</t>
  </si>
  <si>
    <t>ألم</t>
  </si>
  <si>
    <t>يتألمون</t>
  </si>
  <si>
    <t>الاذى</t>
  </si>
  <si>
    <t>مسكن للألم</t>
  </si>
  <si>
    <t>المسكنات</t>
  </si>
  <si>
    <t>غير مؤلم</t>
  </si>
  <si>
    <t>دون ألم</t>
  </si>
  <si>
    <t>آلام</t>
  </si>
  <si>
    <t>دقيق</t>
  </si>
  <si>
    <t>بعناء</t>
  </si>
  <si>
    <t>طلاء</t>
  </si>
  <si>
    <t>فرشاة الرسام</t>
  </si>
  <si>
    <t>مطلي</t>
  </si>
  <si>
    <t>رسام</t>
  </si>
  <si>
    <t>لوحة</t>
  </si>
  <si>
    <t>الدهانات</t>
  </si>
  <si>
    <t>دهان</t>
  </si>
  <si>
    <t>هرج ومرج</t>
  </si>
  <si>
    <t>بالذعر</t>
  </si>
  <si>
    <t>هلع</t>
  </si>
  <si>
    <t>المذعورين</t>
  </si>
  <si>
    <t>شلل</t>
  </si>
  <si>
    <t>جنون العظمة</t>
  </si>
  <si>
    <t>المذعور</t>
  </si>
  <si>
    <t>المذعورون</t>
  </si>
  <si>
    <t>مجنون بالشك</t>
  </si>
  <si>
    <t>طفيلي</t>
  </si>
  <si>
    <t>طفيليات</t>
  </si>
  <si>
    <t>الطفيلية</t>
  </si>
  <si>
    <t>متطفل</t>
  </si>
  <si>
    <t>عالم الطفيليات</t>
  </si>
  <si>
    <t>علم الطفيليات</t>
  </si>
  <si>
    <t>قسم</t>
  </si>
  <si>
    <t>التقسيم</t>
  </si>
  <si>
    <t>أقسام</t>
  </si>
  <si>
    <t>عتيق</t>
  </si>
  <si>
    <t>مرت</t>
  </si>
  <si>
    <t>راكب</t>
  </si>
  <si>
    <t>الركاب</t>
  </si>
  <si>
    <t>عابر سبيل</t>
  </si>
  <si>
    <t>المارة</t>
  </si>
  <si>
    <t>يمر</t>
  </si>
  <si>
    <t>مثير للشفقة</t>
  </si>
  <si>
    <t>خصوصيات</t>
  </si>
  <si>
    <t>الخصوصية</t>
  </si>
  <si>
    <t>من الغريب</t>
  </si>
  <si>
    <t>عرض للخطر</t>
  </si>
  <si>
    <t>محفوف بالمخاطر</t>
  </si>
  <si>
    <t>فيه خطورة</t>
  </si>
  <si>
    <t>مخاطر</t>
  </si>
  <si>
    <t>هلك</t>
  </si>
  <si>
    <t>قابل للفساد</t>
  </si>
  <si>
    <t>سريعة التلف</t>
  </si>
  <si>
    <t>يموت</t>
  </si>
  <si>
    <t>برد قارص</t>
  </si>
  <si>
    <t>اضطهد</t>
  </si>
  <si>
    <t>مضطهد</t>
  </si>
  <si>
    <t>الاضطهاد</t>
  </si>
  <si>
    <t>المضطهدون</t>
  </si>
  <si>
    <t>عناد</t>
  </si>
  <si>
    <t>المارق</t>
  </si>
  <si>
    <t>منحرفة</t>
  </si>
  <si>
    <t>منحرفين</t>
  </si>
  <si>
    <t>تشاؤم</t>
  </si>
  <si>
    <t>متشائم</t>
  </si>
  <si>
    <t>بتشاؤم</t>
  </si>
  <si>
    <t>المتشائمين</t>
  </si>
  <si>
    <t>الآفات</t>
  </si>
  <si>
    <t>الالحاح</t>
  </si>
  <si>
    <t>مضايق</t>
  </si>
  <si>
    <t>المضايقه</t>
  </si>
  <si>
    <t>المبيدات الحشرية</t>
  </si>
  <si>
    <t>المبيدات</t>
  </si>
  <si>
    <t>وبائي</t>
  </si>
  <si>
    <t>مدقة</t>
  </si>
  <si>
    <t>تحجير</t>
  </si>
  <si>
    <t>تحجرت</t>
  </si>
  <si>
    <t>تسمر في مكانه</t>
  </si>
  <si>
    <t>الإرعاب</t>
  </si>
  <si>
    <t>أحقر</t>
  </si>
  <si>
    <t>رهاب</t>
  </si>
  <si>
    <t>الرهاب</t>
  </si>
  <si>
    <t>مرهوب</t>
  </si>
  <si>
    <t>قرصة</t>
  </si>
  <si>
    <t>مقروص</t>
  </si>
  <si>
    <t>الكماشة</t>
  </si>
  <si>
    <t>القرصات</t>
  </si>
  <si>
    <t>معسر</t>
  </si>
  <si>
    <t>رأس الدبوس</t>
  </si>
  <si>
    <t>بشكل تافه</t>
  </si>
  <si>
    <t>يشفق</t>
  </si>
  <si>
    <t>الرحمات</t>
  </si>
  <si>
    <t>هزيل</t>
  </si>
  <si>
    <t>يدعو إلى الرثاء</t>
  </si>
  <si>
    <t>عديم الرحمة</t>
  </si>
  <si>
    <t>شفقة</t>
  </si>
  <si>
    <t>حنون</t>
  </si>
  <si>
    <t>طاعون</t>
  </si>
  <si>
    <t>ينتشر فيه مرض</t>
  </si>
  <si>
    <t>الطواعين</t>
  </si>
  <si>
    <t>مدعى</t>
  </si>
  <si>
    <t>المدعون</t>
  </si>
  <si>
    <t>خطوات متثاقلة</t>
  </si>
  <si>
    <t>متثاقل</t>
  </si>
  <si>
    <t>كادح</t>
  </si>
  <si>
    <t>التثاقل</t>
  </si>
  <si>
    <t>حمق</t>
  </si>
  <si>
    <t>سم</t>
  </si>
  <si>
    <t>مسمم</t>
  </si>
  <si>
    <t>المسمم</t>
  </si>
  <si>
    <t>تسمم</t>
  </si>
  <si>
    <t>التسمم</t>
  </si>
  <si>
    <t>سام</t>
  </si>
  <si>
    <t>السموم</t>
  </si>
  <si>
    <t>الملوثات</t>
  </si>
  <si>
    <t>الملوثين</t>
  </si>
  <si>
    <t>التلوث</t>
  </si>
  <si>
    <t>أبهى</t>
  </si>
  <si>
    <t>فقير</t>
  </si>
  <si>
    <t>الأكثر فقرا</t>
  </si>
  <si>
    <t>أفقر</t>
  </si>
  <si>
    <t>فقر</t>
  </si>
  <si>
    <t>تجهم</t>
  </si>
  <si>
    <t>المبوز</t>
  </si>
  <si>
    <t>العبوس</t>
  </si>
  <si>
    <t>التبويز</t>
  </si>
  <si>
    <t>كفل</t>
  </si>
  <si>
    <t>نمام</t>
  </si>
  <si>
    <t>مهذار</t>
  </si>
  <si>
    <t>غير مستقرة</t>
  </si>
  <si>
    <t>رقة حال</t>
  </si>
  <si>
    <t>عجلت</t>
  </si>
  <si>
    <t>بتسرع</t>
  </si>
  <si>
    <t>رواسب</t>
  </si>
  <si>
    <t>مآزق</t>
  </si>
  <si>
    <t>تحيز</t>
  </si>
  <si>
    <t>متحامل</t>
  </si>
  <si>
    <t>التحيزات</t>
  </si>
  <si>
    <t>مساسا</t>
  </si>
  <si>
    <t>غير معقول</t>
  </si>
  <si>
    <t>الضغط</t>
  </si>
  <si>
    <t>ضغوط</t>
  </si>
  <si>
    <t>الضغوط</t>
  </si>
  <si>
    <t>باعتزاز</t>
  </si>
  <si>
    <t>التمادي</t>
  </si>
  <si>
    <t>تظاهرت</t>
  </si>
  <si>
    <t>الزاعم</t>
  </si>
  <si>
    <t>الأدعياء</t>
  </si>
  <si>
    <t>يتظاهر</t>
  </si>
  <si>
    <t>طموح</t>
  </si>
  <si>
    <t>وخزة</t>
  </si>
  <si>
    <t>وخز</t>
  </si>
  <si>
    <t>الوخز</t>
  </si>
  <si>
    <t>اقدمنا</t>
  </si>
  <si>
    <t>الأشواك</t>
  </si>
  <si>
    <t>الشائك</t>
  </si>
  <si>
    <t>الثقب</t>
  </si>
  <si>
    <t>شائك</t>
  </si>
  <si>
    <t>الغرزات</t>
  </si>
  <si>
    <t>السجناء</t>
  </si>
  <si>
    <t>مشكلة</t>
  </si>
  <si>
    <t>إشكالية</t>
  </si>
  <si>
    <t>علم طرح المشاكل</t>
  </si>
  <si>
    <t>معقدا جدا</t>
  </si>
  <si>
    <t>مشاكل</t>
  </si>
  <si>
    <t>ماطل</t>
  </si>
  <si>
    <t>تماطل</t>
  </si>
  <si>
    <t>مماطلة</t>
  </si>
  <si>
    <t>المماطلات</t>
  </si>
  <si>
    <t>المماطل</t>
  </si>
  <si>
    <t>المماطلون</t>
  </si>
  <si>
    <t>همز</t>
  </si>
  <si>
    <t>حث</t>
  </si>
  <si>
    <t>الحث</t>
  </si>
  <si>
    <t>مسرف</t>
  </si>
  <si>
    <t>تبذير</t>
  </si>
  <si>
    <t>بإسراف شديد</t>
  </si>
  <si>
    <t>المعجزات</t>
  </si>
  <si>
    <t>معجز</t>
  </si>
  <si>
    <t>غير عادي</t>
  </si>
  <si>
    <t>معجزة</t>
  </si>
  <si>
    <t>مناخس</t>
  </si>
  <si>
    <t>إنتاج</t>
  </si>
  <si>
    <t>أنتجت</t>
  </si>
  <si>
    <t>منتج</t>
  </si>
  <si>
    <t>المنتجين</t>
  </si>
  <si>
    <t>تنتج</t>
  </si>
  <si>
    <t>للإنتاج</t>
  </si>
  <si>
    <t>نتاج</t>
  </si>
  <si>
    <t>الإنتاج</t>
  </si>
  <si>
    <t>مثمر</t>
  </si>
  <si>
    <t>إنتاجية</t>
  </si>
  <si>
    <t>المنتجات</t>
  </si>
  <si>
    <t>استغلال</t>
  </si>
  <si>
    <t>قوت</t>
  </si>
  <si>
    <t>دون فائدة</t>
  </si>
  <si>
    <t>التحريم</t>
  </si>
  <si>
    <t>المحظورات</t>
  </si>
  <si>
    <t>تحريمي</t>
  </si>
  <si>
    <t>باهظة</t>
  </si>
  <si>
    <t>اختلاط</t>
  </si>
  <si>
    <t>باباحه</t>
  </si>
  <si>
    <t>دعاية</t>
  </si>
  <si>
    <t>مقاضاة</t>
  </si>
  <si>
    <t>محاكمة</t>
  </si>
  <si>
    <t>بالملاحقة القضائية</t>
  </si>
  <si>
    <t>الملاحقات القضائية</t>
  </si>
  <si>
    <t>النيابة العامة</t>
  </si>
  <si>
    <t>البروتستانت</t>
  </si>
  <si>
    <t>البروتستانتية</t>
  </si>
  <si>
    <t>احتجاجات</t>
  </si>
  <si>
    <t>احتج</t>
  </si>
  <si>
    <t>محتج</t>
  </si>
  <si>
    <t>احتجاجا</t>
  </si>
  <si>
    <t>إثارة</t>
  </si>
  <si>
    <t>الاستفزازات</t>
  </si>
  <si>
    <t>أثار</t>
  </si>
  <si>
    <t>يستفز</t>
  </si>
  <si>
    <t>جوس</t>
  </si>
  <si>
    <t>طاف</t>
  </si>
  <si>
    <t>المتصيدون</t>
  </si>
  <si>
    <t>يجوب</t>
  </si>
  <si>
    <t>المعضلة</t>
  </si>
  <si>
    <t>نقب</t>
  </si>
  <si>
    <t>تقيؤ</t>
  </si>
  <si>
    <t>التقيأ</t>
  </si>
  <si>
    <t>لكمة</t>
  </si>
  <si>
    <t>بونشبوول</t>
  </si>
  <si>
    <t>لكمات</t>
  </si>
  <si>
    <t>الناخس</t>
  </si>
  <si>
    <t>اللكمات</t>
  </si>
  <si>
    <t>اللكم</t>
  </si>
  <si>
    <t>بونشلين</t>
  </si>
  <si>
    <t>يعاقب</t>
  </si>
  <si>
    <t>عقاب</t>
  </si>
  <si>
    <t>العقوبات</t>
  </si>
  <si>
    <t>سقيم</t>
  </si>
  <si>
    <t>وخز الضمير</t>
  </si>
  <si>
    <t>تبكيت الضمير</t>
  </si>
  <si>
    <t>متخاصم</t>
  </si>
  <si>
    <t>نزاع</t>
  </si>
  <si>
    <t>عليل</t>
  </si>
  <si>
    <t>أكثر شذوذا</t>
  </si>
  <si>
    <t>تمحك</t>
  </si>
  <si>
    <t>الخفايا</t>
  </si>
  <si>
    <t>استقال</t>
  </si>
  <si>
    <t>تماما</t>
  </si>
  <si>
    <t>يتم إنهاء</t>
  </si>
  <si>
    <t>الإقلاع عن التدخين</t>
  </si>
  <si>
    <t>عنصرية</t>
  </si>
  <si>
    <t>العنصرية</t>
  </si>
  <si>
    <t>العنصريين</t>
  </si>
  <si>
    <t>جذري</t>
  </si>
  <si>
    <t>تطرف</t>
  </si>
  <si>
    <t>جذريا</t>
  </si>
  <si>
    <t>الجذور</t>
  </si>
  <si>
    <t>احتدم</t>
  </si>
  <si>
    <t>يحتدم</t>
  </si>
  <si>
    <t>مستعرة</t>
  </si>
  <si>
    <t>غارة</t>
  </si>
  <si>
    <t>داهمت</t>
  </si>
  <si>
    <t>المغيرين</t>
  </si>
  <si>
    <t>الغارات</t>
  </si>
  <si>
    <t>هائما</t>
  </si>
  <si>
    <t>النباتات المتسلقة</t>
  </si>
  <si>
    <t>النزه</t>
  </si>
  <si>
    <t>المستشري</t>
  </si>
  <si>
    <t>جامحة</t>
  </si>
  <si>
    <t>زنخ</t>
  </si>
  <si>
    <t>اغتصاب</t>
  </si>
  <si>
    <t>الاغتصاب</t>
  </si>
  <si>
    <t>بذور اللفت</t>
  </si>
  <si>
    <t>مغتصب</t>
  </si>
  <si>
    <t>المغتصبين</t>
  </si>
  <si>
    <t>الوغد</t>
  </si>
  <si>
    <t>نذل</t>
  </si>
  <si>
    <t>الأوغاد</t>
  </si>
  <si>
    <t>طفح جلدي</t>
  </si>
  <si>
    <t>شريحة من لحم الخنزير</t>
  </si>
  <si>
    <t>الطفح الجلدي</t>
  </si>
  <si>
    <t>بتهور</t>
  </si>
  <si>
    <t>فأر</t>
  </si>
  <si>
    <t>راتاتوي</t>
  </si>
  <si>
    <t>معدل</t>
  </si>
  <si>
    <t>يتم التصويت عليها</t>
  </si>
  <si>
    <t>دافع الضرائب</t>
  </si>
  <si>
    <t>دافعي الضرائب</t>
  </si>
  <si>
    <t>التصنيفات</t>
  </si>
  <si>
    <t>اسعار</t>
  </si>
  <si>
    <t>بالأحرى</t>
  </si>
  <si>
    <t>تصديق</t>
  </si>
  <si>
    <t>التصديقات</t>
  </si>
  <si>
    <t>صدقت</t>
  </si>
  <si>
    <t>مصدقة</t>
  </si>
  <si>
    <t>التصديق</t>
  </si>
  <si>
    <t>تصدق</t>
  </si>
  <si>
    <t>تصنيف</t>
  </si>
  <si>
    <t>تقييمات</t>
  </si>
  <si>
    <t>نسبة</t>
  </si>
  <si>
    <t>الإستنتاج</t>
  </si>
  <si>
    <t>حصة</t>
  </si>
  <si>
    <t>عقلاني</t>
  </si>
  <si>
    <t>الأساس المنطقي</t>
  </si>
  <si>
    <t>المبررات</t>
  </si>
  <si>
    <t>عقلنة</t>
  </si>
  <si>
    <t>الترشيد</t>
  </si>
  <si>
    <t>ترشيد</t>
  </si>
  <si>
    <t>العقلانية</t>
  </si>
  <si>
    <t>صاحب مذهب عقلي</t>
  </si>
  <si>
    <t>العقلانيون</t>
  </si>
  <si>
    <t>العقلانيات</t>
  </si>
  <si>
    <t>عقلانية</t>
  </si>
  <si>
    <t>بعقلانية</t>
  </si>
  <si>
    <t>تقنين</t>
  </si>
  <si>
    <t>حصص</t>
  </si>
  <si>
    <t>نسب</t>
  </si>
  <si>
    <t>الفئران</t>
  </si>
  <si>
    <t>حشرجة الموت</t>
  </si>
  <si>
    <t>هز</t>
  </si>
  <si>
    <t>ثعبان سام</t>
  </si>
  <si>
    <t>خشخيشات</t>
  </si>
  <si>
    <t>أفعى الجلجلة</t>
  </si>
  <si>
    <t>ثعابين</t>
  </si>
  <si>
    <t>من الطراز الأول</t>
  </si>
  <si>
    <t>نزق</t>
  </si>
  <si>
    <t>نهب</t>
  </si>
  <si>
    <t>خربتها</t>
  </si>
  <si>
    <t>يلات</t>
  </si>
  <si>
    <t>المدمرة</t>
  </si>
  <si>
    <t>الرجعيين</t>
  </si>
  <si>
    <t>رجعي</t>
  </si>
  <si>
    <t>تفاعلي</t>
  </si>
  <si>
    <t>متمرد</t>
  </si>
  <si>
    <t>تمردت</t>
  </si>
  <si>
    <t>تمرد</t>
  </si>
  <si>
    <t>ثورة:</t>
  </si>
  <si>
    <t>التمرد</t>
  </si>
  <si>
    <t>الثوار</t>
  </si>
  <si>
    <t>رافضة</t>
  </si>
  <si>
    <t>رفضته</t>
  </si>
  <si>
    <t>التوبيخ</t>
  </si>
  <si>
    <t>قابل للدحض</t>
  </si>
  <si>
    <t>رد</t>
  </si>
  <si>
    <t>الطعن</t>
  </si>
  <si>
    <t>انحسرت</t>
  </si>
  <si>
    <t>ينحسر</t>
  </si>
  <si>
    <t>الركود</t>
  </si>
  <si>
    <t>طيش</t>
  </si>
  <si>
    <t>نكص</t>
  </si>
  <si>
    <t>ارتدوا</t>
  </si>
  <si>
    <t>الإرتداد</t>
  </si>
  <si>
    <t>التكرار</t>
  </si>
  <si>
    <t>وفرة</t>
  </si>
  <si>
    <t>زائد</t>
  </si>
  <si>
    <t>مكررين</t>
  </si>
  <si>
    <t>عفونة</t>
  </si>
  <si>
    <t>ريكيد</t>
  </si>
  <si>
    <t>تفوح منه</t>
  </si>
  <si>
    <t>يفوح برائحة</t>
  </si>
  <si>
    <t>امتنع</t>
  </si>
  <si>
    <t>امتنعت</t>
  </si>
  <si>
    <t>الامتناع</t>
  </si>
  <si>
    <t>يمتنع</t>
  </si>
  <si>
    <t>لاجئ</t>
  </si>
  <si>
    <t>اللاجئين</t>
  </si>
  <si>
    <t>الرفض</t>
  </si>
  <si>
    <t>رافضي</t>
  </si>
  <si>
    <t>يرفض</t>
  </si>
  <si>
    <t>بغض النظر</t>
  </si>
  <si>
    <t>انحدارات</t>
  </si>
  <si>
    <t>ارتدادي</t>
  </si>
  <si>
    <t>ندم</t>
  </si>
  <si>
    <t>نادم</t>
  </si>
  <si>
    <t>للأسف</t>
  </si>
  <si>
    <t>يأسف</t>
  </si>
  <si>
    <t>الندم</t>
  </si>
  <si>
    <t>مرفوض</t>
  </si>
  <si>
    <t>ترفض</t>
  </si>
  <si>
    <t>انتكاس</t>
  </si>
  <si>
    <t>انتكس</t>
  </si>
  <si>
    <t>الانتكاسات</t>
  </si>
  <si>
    <t>ممانعة</t>
  </si>
  <si>
    <t>مترددة</t>
  </si>
  <si>
    <t>على مضض</t>
  </si>
  <si>
    <t>نادم جدا</t>
  </si>
  <si>
    <t>تشعر بتأنيب الضمير</t>
  </si>
  <si>
    <t>نبذ</t>
  </si>
  <si>
    <t>تخلت</t>
  </si>
  <si>
    <t>تخل</t>
  </si>
  <si>
    <t>تنبذ</t>
  </si>
  <si>
    <t>تنازلات</t>
  </si>
  <si>
    <t>الإلغاء</t>
  </si>
  <si>
    <t>الذميمة</t>
  </si>
  <si>
    <t>قمع</t>
  </si>
  <si>
    <t>مكبوت</t>
  </si>
  <si>
    <t>يقمع</t>
  </si>
  <si>
    <t>قمعي</t>
  </si>
  <si>
    <t>القمعية</t>
  </si>
  <si>
    <t>تأنيبي</t>
  </si>
  <si>
    <t>موبخا</t>
  </si>
  <si>
    <t>بتأنيب</t>
  </si>
  <si>
    <t>تنكرت</t>
  </si>
  <si>
    <t>ينكر</t>
  </si>
  <si>
    <t>صد</t>
  </si>
  <si>
    <t>صدت</t>
  </si>
  <si>
    <t>النفور</t>
  </si>
  <si>
    <t>استاء</t>
  </si>
  <si>
    <t>ممتع</t>
  </si>
  <si>
    <t>امتعض</t>
  </si>
  <si>
    <t>الاستياء</t>
  </si>
  <si>
    <t>استقالة</t>
  </si>
  <si>
    <t>استقالات</t>
  </si>
  <si>
    <t>المستقيل</t>
  </si>
  <si>
    <t>باستسلام</t>
  </si>
  <si>
    <t>الاستقالة</t>
  </si>
  <si>
    <t>ضيق الصدر</t>
  </si>
  <si>
    <t>بلا راحة</t>
  </si>
  <si>
    <t>الأرق</t>
  </si>
  <si>
    <t>حصر</t>
  </si>
  <si>
    <t>مقيد</t>
  </si>
  <si>
    <t>تقييدي</t>
  </si>
  <si>
    <t>في أضيق الحدود</t>
  </si>
  <si>
    <t>يقيد</t>
  </si>
  <si>
    <t>الانتقام</t>
  </si>
  <si>
    <t>انتقام</t>
  </si>
  <si>
    <t>ثأري</t>
  </si>
  <si>
    <t>تخلف</t>
  </si>
  <si>
    <t>المتخلفين</t>
  </si>
  <si>
    <t>يؤخر</t>
  </si>
  <si>
    <t>تقيأ</t>
  </si>
  <si>
    <t>تهوع</t>
  </si>
  <si>
    <t>تقاعد</t>
  </si>
  <si>
    <t>متقاعد</t>
  </si>
  <si>
    <t>التقاعد</t>
  </si>
  <si>
    <t>يتقاعد</t>
  </si>
  <si>
    <t>الخلوات</t>
  </si>
  <si>
    <t>الثارات</t>
  </si>
  <si>
    <t>العودة</t>
  </si>
  <si>
    <t>عادت</t>
  </si>
  <si>
    <t>عائد</t>
  </si>
  <si>
    <t>يعودون</t>
  </si>
  <si>
    <t>ينقض</t>
  </si>
  <si>
    <t>ثار</t>
  </si>
  <si>
    <t>بشكل مقرف</t>
  </si>
  <si>
    <t>سيحدث ثورة</t>
  </si>
  <si>
    <t>خلاص</t>
  </si>
  <si>
    <t>تعصف بها</t>
  </si>
  <si>
    <t>غربلة</t>
  </si>
  <si>
    <t>لغز</t>
  </si>
  <si>
    <t>مزقها</t>
  </si>
  <si>
    <t>الألغاز</t>
  </si>
  <si>
    <t>أمطرت</t>
  </si>
  <si>
    <t>ركوب</t>
  </si>
  <si>
    <t>الدراجين</t>
  </si>
  <si>
    <t>ركوب الخيل</t>
  </si>
  <si>
    <t>قمة جبل</t>
  </si>
  <si>
    <t>مخدد</t>
  </si>
  <si>
    <t>التلال</t>
  </si>
  <si>
    <t>يبعث على السخرية</t>
  </si>
  <si>
    <t>يخلص</t>
  </si>
  <si>
    <t>جامد</t>
  </si>
  <si>
    <t>الجمود</t>
  </si>
  <si>
    <t>صلابة</t>
  </si>
  <si>
    <t>مزق</t>
  </si>
  <si>
    <t>ناضج</t>
  </si>
  <si>
    <t>استوى</t>
  </si>
  <si>
    <t>نضجت</t>
  </si>
  <si>
    <t>نضج</t>
  </si>
  <si>
    <t>رشد</t>
  </si>
  <si>
    <t>ينضج</t>
  </si>
  <si>
    <t>أنضج</t>
  </si>
  <si>
    <t>تهافت</t>
  </si>
  <si>
    <t>ممزق</t>
  </si>
  <si>
    <t>الطاعن</t>
  </si>
  <si>
    <t>تمزيق</t>
  </si>
  <si>
    <t>تموج</t>
  </si>
  <si>
    <t>متموج</t>
  </si>
  <si>
    <t>تموجات</t>
  </si>
  <si>
    <t>تمويج</t>
  </si>
  <si>
    <t>مزقت</t>
  </si>
  <si>
    <t>خاطر</t>
  </si>
  <si>
    <t>خطورة</t>
  </si>
  <si>
    <t>منافس</t>
  </si>
  <si>
    <t>ينافسه</t>
  </si>
  <si>
    <t>المنافسات</t>
  </si>
  <si>
    <t>منافسة</t>
  </si>
  <si>
    <t>السارق</t>
  </si>
  <si>
    <t>السرقات</t>
  </si>
  <si>
    <t>لصوص</t>
  </si>
  <si>
    <t>سرقة</t>
  </si>
  <si>
    <t>المارقة</t>
  </si>
  <si>
    <t>تعفن</t>
  </si>
  <si>
    <t>لائحة مناوبة</t>
  </si>
  <si>
    <t>دوار</t>
  </si>
  <si>
    <t>للتدوير</t>
  </si>
  <si>
    <t>تناوب</t>
  </si>
  <si>
    <t>استدارة</t>
  </si>
  <si>
    <t>بالتناوب</t>
  </si>
  <si>
    <t>دوراني</t>
  </si>
  <si>
    <t>محور دوار</t>
  </si>
  <si>
    <t>الدوارات</t>
  </si>
  <si>
    <t>مدور</t>
  </si>
  <si>
    <t>روتين</t>
  </si>
  <si>
    <t>تتعفن</t>
  </si>
  <si>
    <t>فسدت</t>
  </si>
  <si>
    <t>شخص ردئ</t>
  </si>
  <si>
    <t>المتعفنة</t>
  </si>
  <si>
    <t>مستدير</t>
  </si>
  <si>
    <t>قاعة مستديرة</t>
  </si>
  <si>
    <t>نخالة</t>
  </si>
  <si>
    <t>عاملوا</t>
  </si>
  <si>
    <t>مخشن</t>
  </si>
  <si>
    <t>اخشن</t>
  </si>
  <si>
    <t>اقسى</t>
  </si>
  <si>
    <t>التخشين</t>
  </si>
  <si>
    <t>تقريبا</t>
  </si>
  <si>
    <t>الاشراس</t>
  </si>
  <si>
    <t>عرض الحائط</t>
  </si>
  <si>
    <t>طريق ملتوية</t>
  </si>
  <si>
    <t>تسفيه</t>
  </si>
  <si>
    <t>رودر</t>
  </si>
  <si>
    <t>أوقح</t>
  </si>
  <si>
    <t>رثى له</t>
  </si>
  <si>
    <t>الحرمل</t>
  </si>
  <si>
    <t>الاشرار</t>
  </si>
  <si>
    <t>الخراب</t>
  </si>
  <si>
    <t>خرب</t>
  </si>
  <si>
    <t>متلف</t>
  </si>
  <si>
    <t>تخريب</t>
  </si>
  <si>
    <t>متهدم</t>
  </si>
  <si>
    <t>أطلال</t>
  </si>
  <si>
    <t>جعد</t>
  </si>
  <si>
    <t>مجعد</t>
  </si>
  <si>
    <t>تمزق</t>
  </si>
  <si>
    <t>تمزقات</t>
  </si>
  <si>
    <t>صدئ</t>
  </si>
  <si>
    <t>قساوة</t>
  </si>
  <si>
    <t>عمليات التخريب</t>
  </si>
  <si>
    <t>حزنت</t>
  </si>
  <si>
    <t>سرج</t>
  </si>
  <si>
    <t>جراب</t>
  </si>
  <si>
    <t>اخراج</t>
  </si>
  <si>
    <t>السراج صانعها</t>
  </si>
  <si>
    <t>سراجة</t>
  </si>
  <si>
    <t>السروج</t>
  </si>
  <si>
    <t>الاسراج</t>
  </si>
  <si>
    <t>سادية</t>
  </si>
  <si>
    <t>سادي</t>
  </si>
  <si>
    <t>بسادية</t>
  </si>
  <si>
    <t>الساديين</t>
  </si>
  <si>
    <t>سادية مازوخية</t>
  </si>
  <si>
    <t>تبلد</t>
  </si>
  <si>
    <t>الملحمة</t>
  </si>
  <si>
    <t>ذكي</t>
  </si>
  <si>
    <t>حصافة</t>
  </si>
  <si>
    <t>الملاحم</t>
  </si>
  <si>
    <t>حكيم</t>
  </si>
  <si>
    <t>بحكمة</t>
  </si>
  <si>
    <t>حكماء</t>
  </si>
  <si>
    <t>متدلى</t>
  </si>
  <si>
    <t>ترهل</t>
  </si>
  <si>
    <t>الساغو دقيق نشوي</t>
  </si>
  <si>
    <t>متعقل</t>
  </si>
  <si>
    <t>شتلة</t>
  </si>
  <si>
    <t>الشتلات</t>
  </si>
  <si>
    <t>استنزف</t>
  </si>
  <si>
    <t>نقاب</t>
  </si>
  <si>
    <t>خبراء المتفجرات</t>
  </si>
  <si>
    <t>ياقوت أزرق</t>
  </si>
  <si>
    <t>الصفير</t>
  </si>
  <si>
    <t>ضعضعة</t>
  </si>
  <si>
    <t>عصارات</t>
  </si>
  <si>
    <t>التهكمات</t>
  </si>
  <si>
    <t>شيطانية</t>
  </si>
  <si>
    <t>شيطانيه</t>
  </si>
  <si>
    <t>المتوحشين</t>
  </si>
  <si>
    <t>المبسترة</t>
  </si>
  <si>
    <t>سافع</t>
  </si>
  <si>
    <t>فضيحة</t>
  </si>
  <si>
    <t>فضائح</t>
  </si>
  <si>
    <t>كبش الفداء</t>
  </si>
  <si>
    <t>كبش فداء</t>
  </si>
  <si>
    <t>خنفسة سوداء</t>
  </si>
  <si>
    <t>نادر</t>
  </si>
  <si>
    <t>نادرا</t>
  </si>
  <si>
    <t>ندرة</t>
  </si>
  <si>
    <t>شخص رث الثياب</t>
  </si>
  <si>
    <t>الفزاعات</t>
  </si>
  <si>
    <t>خائفة</t>
  </si>
  <si>
    <t>الذعر</t>
  </si>
  <si>
    <t>وشاح</t>
  </si>
  <si>
    <t>ترويعا</t>
  </si>
  <si>
    <t>الأكثر رعبا</t>
  </si>
  <si>
    <t>مشطوب</t>
  </si>
  <si>
    <t>عزق</t>
  </si>
  <si>
    <t>خدش</t>
  </si>
  <si>
    <t>بالاقتراب</t>
  </si>
  <si>
    <t>اخافة</t>
  </si>
  <si>
    <t>قرمزي</t>
  </si>
  <si>
    <t>القرمزي</t>
  </si>
  <si>
    <t>وعورة</t>
  </si>
  <si>
    <t>ندوب</t>
  </si>
  <si>
    <t>تندب</t>
  </si>
  <si>
    <t>الأوشحة</t>
  </si>
  <si>
    <t>شكوكي</t>
  </si>
  <si>
    <t>متشككا</t>
  </si>
  <si>
    <t>بتشكك</t>
  </si>
  <si>
    <t>المتشككين</t>
  </si>
  <si>
    <t>هزأ</t>
  </si>
  <si>
    <t>سخروا</t>
  </si>
  <si>
    <t>أنب</t>
  </si>
  <si>
    <t>المعاتب</t>
  </si>
  <si>
    <t>سليطات اللسان</t>
  </si>
  <si>
    <t>شيط</t>
  </si>
  <si>
    <t>المحروقة</t>
  </si>
  <si>
    <t>يوم حار</t>
  </si>
  <si>
    <t>التلويحات</t>
  </si>
  <si>
    <t>مزدري</t>
  </si>
  <si>
    <t>محتقر</t>
  </si>
  <si>
    <t>بازدراء</t>
  </si>
  <si>
    <t>الإحتقار</t>
  </si>
  <si>
    <t>تتنكر</t>
  </si>
  <si>
    <t>سوليد</t>
  </si>
  <si>
    <t>مكشطة</t>
  </si>
  <si>
    <t>مكاشط</t>
  </si>
  <si>
    <t>الورطات</t>
  </si>
  <si>
    <t>صرخت</t>
  </si>
  <si>
    <t>عنوان صارخ</t>
  </si>
  <si>
    <t>الصارخون</t>
  </si>
  <si>
    <t>صراخ</t>
  </si>
  <si>
    <t>صياح</t>
  </si>
  <si>
    <t>رويدا رويدا</t>
  </si>
  <si>
    <t>الصراخ</t>
  </si>
  <si>
    <t>استغاثة</t>
  </si>
  <si>
    <t>مشاجرات</t>
  </si>
  <si>
    <t>حثالة المجتمع</t>
  </si>
  <si>
    <t>الانفصال</t>
  </si>
  <si>
    <t>انفصلت</t>
  </si>
  <si>
    <t>انفصل</t>
  </si>
  <si>
    <t>الانفصاليون</t>
  </si>
  <si>
    <t>سرية</t>
  </si>
  <si>
    <t>سر</t>
  </si>
  <si>
    <t>السكرتارية</t>
  </si>
  <si>
    <t>سكرتارية</t>
  </si>
  <si>
    <t>أمانات</t>
  </si>
  <si>
    <t>الأمناء</t>
  </si>
  <si>
    <t>أمين</t>
  </si>
  <si>
    <t>تفرز</t>
  </si>
  <si>
    <t>يفرز</t>
  </si>
  <si>
    <t>إفراز</t>
  </si>
  <si>
    <t>إفرازات</t>
  </si>
  <si>
    <t>كتوم</t>
  </si>
  <si>
    <t>بسرية</t>
  </si>
  <si>
    <t>بالسرية</t>
  </si>
  <si>
    <t>سرا</t>
  </si>
  <si>
    <t>إفرازي</t>
  </si>
  <si>
    <t>أسرار</t>
  </si>
  <si>
    <t>المستقرة</t>
  </si>
  <si>
    <t>هيجان</t>
  </si>
  <si>
    <t>اشتعل غضب</t>
  </si>
  <si>
    <t>يغلي</t>
  </si>
  <si>
    <t>تغلي</t>
  </si>
  <si>
    <t>فصل</t>
  </si>
  <si>
    <t>استولى</t>
  </si>
  <si>
    <t>قيصر عالمي</t>
  </si>
  <si>
    <t>يستولي</t>
  </si>
  <si>
    <t>بأنانية</t>
  </si>
  <si>
    <t>خرف</t>
  </si>
  <si>
    <t>شيخوخة</t>
  </si>
  <si>
    <t>عبثا</t>
  </si>
  <si>
    <t>المحتبسة</t>
  </si>
  <si>
    <t>بجدية</t>
  </si>
  <si>
    <t>للفصل</t>
  </si>
  <si>
    <t>عدة</t>
  </si>
  <si>
    <t>إفراديا</t>
  </si>
  <si>
    <t>مقطوع</t>
  </si>
  <si>
    <t>أشد</t>
  </si>
  <si>
    <t>فك</t>
  </si>
  <si>
    <t>يقطع</t>
  </si>
  <si>
    <t>جنسي</t>
  </si>
  <si>
    <t>أنصار التمييز الجنسي</t>
  </si>
  <si>
    <t>رث</t>
  </si>
  <si>
    <t>ظليل</t>
  </si>
  <si>
    <t>أشعث</t>
  </si>
  <si>
    <t>هزة</t>
  </si>
  <si>
    <t>قابل للهز</t>
  </si>
  <si>
    <t>اهتزت</t>
  </si>
  <si>
    <t>الرجاجة</t>
  </si>
  <si>
    <t>الهزازات</t>
  </si>
  <si>
    <t>الهزازون</t>
  </si>
  <si>
    <t>مهزوز</t>
  </si>
  <si>
    <t>اهتزاز</t>
  </si>
  <si>
    <t>متزعزع</t>
  </si>
  <si>
    <t>ضحل</t>
  </si>
  <si>
    <t>ضحالة</t>
  </si>
  <si>
    <t>بسطحية</t>
  </si>
  <si>
    <t>المياه الضحلة</t>
  </si>
  <si>
    <t>فضحهم</t>
  </si>
  <si>
    <t>مخجل</t>
  </si>
  <si>
    <t>بلا خجل</t>
  </si>
  <si>
    <t>مجون</t>
  </si>
  <si>
    <t>سمك القرش</t>
  </si>
  <si>
    <t>أسماك القرش</t>
  </si>
  <si>
    <t>حطام سفينة</t>
  </si>
  <si>
    <t>الغرقى</t>
  </si>
  <si>
    <t>حطام السفن</t>
  </si>
  <si>
    <t>الشرك</t>
  </si>
  <si>
    <t>تتهرب</t>
  </si>
  <si>
    <t>رجفة</t>
  </si>
  <si>
    <t>تجمدت</t>
  </si>
  <si>
    <t>مرتعش</t>
  </si>
  <si>
    <t>جعل الشراع يرتجف</t>
  </si>
  <si>
    <t>مرتجف</t>
  </si>
  <si>
    <t>صدمة</t>
  </si>
  <si>
    <t>صدمت</t>
  </si>
  <si>
    <t>فلم إثارة</t>
  </si>
  <si>
    <t>بصورة مروعة</t>
  </si>
  <si>
    <t>الصدمات</t>
  </si>
  <si>
    <t>اهتز</t>
  </si>
  <si>
    <t>أطلق النار</t>
  </si>
  <si>
    <t>براعم</t>
  </si>
  <si>
    <t>أوجه القصور</t>
  </si>
  <si>
    <t>قصير النظر</t>
  </si>
  <si>
    <t>قصر النظر</t>
  </si>
  <si>
    <t>لقطة</t>
  </si>
  <si>
    <t>بندقية الصيد</t>
  </si>
  <si>
    <t>لقطات</t>
  </si>
  <si>
    <t>غرز</t>
  </si>
  <si>
    <t>بطحه</t>
  </si>
  <si>
    <t>مجرفة</t>
  </si>
  <si>
    <t>جرف</t>
  </si>
  <si>
    <t>جارف</t>
  </si>
  <si>
    <t>التجريف</t>
  </si>
  <si>
    <t>معاول</t>
  </si>
  <si>
    <t>الدفعات</t>
  </si>
  <si>
    <t>ذرة</t>
  </si>
  <si>
    <t>التقطيع</t>
  </si>
  <si>
    <t>التمزيق</t>
  </si>
  <si>
    <t>فبات</t>
  </si>
  <si>
    <t>إمرأة سليطة</t>
  </si>
  <si>
    <t>داهية</t>
  </si>
  <si>
    <t>مكرا</t>
  </si>
  <si>
    <t>بدهاء</t>
  </si>
  <si>
    <t>فطنة</t>
  </si>
  <si>
    <t>الزبابة</t>
  </si>
  <si>
    <t>زعق</t>
  </si>
  <si>
    <t>هتف</t>
  </si>
  <si>
    <t>الصرخات</t>
  </si>
  <si>
    <t>شديد</t>
  </si>
  <si>
    <t>الصخب</t>
  </si>
  <si>
    <t>ذبل</t>
  </si>
  <si>
    <t>ذبلت</t>
  </si>
  <si>
    <t>انكمشت</t>
  </si>
  <si>
    <t>الذبول</t>
  </si>
  <si>
    <t>كفن</t>
  </si>
  <si>
    <t>سجي</t>
  </si>
  <si>
    <t>تكفين</t>
  </si>
  <si>
    <t>أكفان</t>
  </si>
  <si>
    <t>اجتنب</t>
  </si>
  <si>
    <t>تجنبت</t>
  </si>
  <si>
    <t>الابتعاد</t>
  </si>
  <si>
    <t>ناور</t>
  </si>
  <si>
    <t>القوا</t>
  </si>
  <si>
    <t>قاطرة المناورة</t>
  </si>
  <si>
    <t>مناورة التحويل</t>
  </si>
  <si>
    <t>أكثر خجلا</t>
  </si>
  <si>
    <t>خجلا</t>
  </si>
  <si>
    <t>الخجل</t>
  </si>
  <si>
    <t>حياء</t>
  </si>
  <si>
    <t>مستشفى السفينة</t>
  </si>
  <si>
    <t>فراش المرض</t>
  </si>
  <si>
    <t>سقم</t>
  </si>
  <si>
    <t>بالاشمئزاز</t>
  </si>
  <si>
    <t>مرضا</t>
  </si>
  <si>
    <t>أمرض</t>
  </si>
  <si>
    <t>منجل</t>
  </si>
  <si>
    <t>المناجل</t>
  </si>
  <si>
    <t>غث</t>
  </si>
  <si>
    <t>غرفة المرضى</t>
  </si>
  <si>
    <t>البسطاء</t>
  </si>
  <si>
    <t>التبسيط</t>
  </si>
  <si>
    <t>مبسط</t>
  </si>
  <si>
    <t>خطيئة</t>
  </si>
  <si>
    <t>سيناء</t>
  </si>
  <si>
    <t>منذ</t>
  </si>
  <si>
    <t>صادق</t>
  </si>
  <si>
    <t>بإخلاص</t>
  </si>
  <si>
    <t>خالص</t>
  </si>
  <si>
    <t>صدق</t>
  </si>
  <si>
    <t>جيب</t>
  </si>
  <si>
    <t>الوظيفة العاطلة</t>
  </si>
  <si>
    <t>متبطلين</t>
  </si>
  <si>
    <t>الجيوب</t>
  </si>
  <si>
    <t>عصب</t>
  </si>
  <si>
    <t>أواصر</t>
  </si>
  <si>
    <t>تري</t>
  </si>
  <si>
    <t>شرير</t>
  </si>
  <si>
    <t>الاثم</t>
  </si>
  <si>
    <t>غنى</t>
  </si>
  <si>
    <t>سفعة</t>
  </si>
  <si>
    <t>محروق</t>
  </si>
  <si>
    <t>تشييط</t>
  </si>
  <si>
    <t>مطرب</t>
  </si>
  <si>
    <t>المطربين</t>
  </si>
  <si>
    <t>الغناء</t>
  </si>
  <si>
    <t>حيدا</t>
  </si>
  <si>
    <t>بمفردها</t>
  </si>
  <si>
    <t>الفردي</t>
  </si>
  <si>
    <t>فرديا</t>
  </si>
  <si>
    <t>تغني</t>
  </si>
  <si>
    <t>صوت رخيم</t>
  </si>
  <si>
    <t>صيغة المفرد</t>
  </si>
  <si>
    <t>شخصياته</t>
  </si>
  <si>
    <t>تفرد</t>
  </si>
  <si>
    <t>متفرد</t>
  </si>
  <si>
    <t>بالوعة</t>
  </si>
  <si>
    <t>ثقالة</t>
  </si>
  <si>
    <t>الغطاسون</t>
  </si>
  <si>
    <t>المصارف</t>
  </si>
  <si>
    <t>بلا خطيئة</t>
  </si>
  <si>
    <t>خاطىء</t>
  </si>
  <si>
    <t>الخطاة</t>
  </si>
  <si>
    <t>الخطايا</t>
  </si>
  <si>
    <t>تلبيد</t>
  </si>
  <si>
    <t>يتكلس</t>
  </si>
  <si>
    <t>متعرج</t>
  </si>
  <si>
    <t>الجيوب الأنفية</t>
  </si>
  <si>
    <t>إلتهاب الجيب</t>
  </si>
  <si>
    <t>جيباني؛ شبه جيبي</t>
  </si>
  <si>
    <t>الجيبية</t>
  </si>
  <si>
    <t>سطحي</t>
  </si>
  <si>
    <t>مناوشة</t>
  </si>
  <si>
    <t>مناوشات</t>
  </si>
  <si>
    <t>المناوشات</t>
  </si>
  <si>
    <t>توارى</t>
  </si>
  <si>
    <t>ضربة عنيفة</t>
  </si>
  <si>
    <t>صفق</t>
  </si>
  <si>
    <t>افتراء</t>
  </si>
  <si>
    <t>المفترى عليها</t>
  </si>
  <si>
    <t>مغتاب</t>
  </si>
  <si>
    <t>النمامون</t>
  </si>
  <si>
    <t>الافتراءات</t>
  </si>
  <si>
    <t>صفعة</t>
  </si>
  <si>
    <t>صفع</t>
  </si>
  <si>
    <t>الطارق</t>
  </si>
  <si>
    <t>الصفع</t>
  </si>
  <si>
    <t>الصفعات</t>
  </si>
  <si>
    <t>كوميديا ??تهريجية</t>
  </si>
  <si>
    <t>مائلة</t>
  </si>
  <si>
    <t>المشرح</t>
  </si>
  <si>
    <t>ذباح</t>
  </si>
  <si>
    <t>مسلخ</t>
  </si>
  <si>
    <t>المسالخ</t>
  </si>
  <si>
    <t>الذبح</t>
  </si>
  <si>
    <t>بالفساد</t>
  </si>
  <si>
    <t>الطوال</t>
  </si>
  <si>
    <t>رهافة</t>
  </si>
  <si>
    <t>سال لعابه</t>
  </si>
  <si>
    <t>الأوحال</t>
  </si>
  <si>
    <t>الكسلان</t>
  </si>
  <si>
    <t>سبيكة</t>
  </si>
  <si>
    <t>كسلان</t>
  </si>
  <si>
    <t>الكسالى</t>
  </si>
  <si>
    <t>تعادلت</t>
  </si>
  <si>
    <t>يلطم</t>
  </si>
  <si>
    <t>تباطؤ</t>
  </si>
  <si>
    <t>بخمول</t>
  </si>
  <si>
    <t>بطء</t>
  </si>
  <si>
    <t>الرخويات</t>
  </si>
  <si>
    <t>كرطع</t>
  </si>
  <si>
    <t>الإلتهام</t>
  </si>
  <si>
    <t>مسرفة في تجرع</t>
  </si>
  <si>
    <t>مدغم</t>
  </si>
  <si>
    <t>الادغام</t>
  </si>
  <si>
    <t>الطين</t>
  </si>
  <si>
    <t>وقحة</t>
  </si>
  <si>
    <t>الفاسقات</t>
  </si>
  <si>
    <t>فاح</t>
  </si>
  <si>
    <t>قبلة قوية</t>
  </si>
  <si>
    <t>ردفة</t>
  </si>
  <si>
    <t>صفعات</t>
  </si>
  <si>
    <t>جميل جدا</t>
  </si>
  <si>
    <t>يحطم</t>
  </si>
  <si>
    <t>لطخة</t>
  </si>
  <si>
    <t>طخت</t>
  </si>
  <si>
    <t>تلطيخ</t>
  </si>
  <si>
    <t>مسحات</t>
  </si>
  <si>
    <t>مخنوق</t>
  </si>
  <si>
    <t>اختناق</t>
  </si>
  <si>
    <t>يخنق</t>
  </si>
  <si>
    <t>معتد بنفسه</t>
  </si>
  <si>
    <t>تهريب</t>
  </si>
  <si>
    <t>المهربة</t>
  </si>
  <si>
    <t>المهرب</t>
  </si>
  <si>
    <t>المهربين</t>
  </si>
  <si>
    <t>صلف</t>
  </si>
  <si>
    <t>يقبل</t>
  </si>
  <si>
    <t>الافخاخ</t>
  </si>
  <si>
    <t>زمجر</t>
  </si>
  <si>
    <t>الزمجرة</t>
  </si>
  <si>
    <t>يزمجر</t>
  </si>
  <si>
    <t>نتفة</t>
  </si>
  <si>
    <t>الخطاف</t>
  </si>
  <si>
    <t>خاطفو</t>
  </si>
  <si>
    <t>يخطفها</t>
  </si>
  <si>
    <t>أحذية رياضية</t>
  </si>
  <si>
    <t>سرانية</t>
  </si>
  <si>
    <t>أكثر سرانية</t>
  </si>
  <si>
    <t>خلسة</t>
  </si>
  <si>
    <t>انسلال</t>
  </si>
  <si>
    <t>متستر</t>
  </si>
  <si>
    <t>سخرت</t>
  </si>
  <si>
    <t>المقلد</t>
  </si>
  <si>
    <t>خيلاء</t>
  </si>
  <si>
    <t>التكبر</t>
  </si>
  <si>
    <t>تتكبر</t>
  </si>
  <si>
    <t>شخير</t>
  </si>
  <si>
    <t>شاخر</t>
  </si>
  <si>
    <t>غطاط</t>
  </si>
  <si>
    <t>يشخر</t>
  </si>
  <si>
    <t>الشخير</t>
  </si>
  <si>
    <t>تنهد</t>
  </si>
  <si>
    <t>بكت</t>
  </si>
  <si>
    <t>ينتحب</t>
  </si>
  <si>
    <t>رصين</t>
  </si>
  <si>
    <t>أفاق</t>
  </si>
  <si>
    <t>واقعية</t>
  </si>
  <si>
    <t>بوعي</t>
  </si>
  <si>
    <t>يفيق</t>
  </si>
  <si>
    <t>رصانة</t>
  </si>
  <si>
    <t>تنهدات</t>
  </si>
  <si>
    <t>رسمي</t>
  </si>
  <si>
    <t>الجديه</t>
  </si>
  <si>
    <t>إجلال</t>
  </si>
  <si>
    <t>رسميا</t>
  </si>
  <si>
    <t>قرحة</t>
  </si>
  <si>
    <t>بمرارة</t>
  </si>
  <si>
    <t>القروح</t>
  </si>
  <si>
    <t>الحسرة</t>
  </si>
  <si>
    <t>الثكلى</t>
  </si>
  <si>
    <t>أحزان</t>
  </si>
  <si>
    <t>آسف</t>
  </si>
  <si>
    <t>حامض</t>
  </si>
  <si>
    <t>مصدر</t>
  </si>
  <si>
    <t>مصدر و</t>
  </si>
  <si>
    <t>مصادر</t>
  </si>
  <si>
    <t>توترت</t>
  </si>
  <si>
    <t>تحميض</t>
  </si>
  <si>
    <t>بحدة</t>
  </si>
  <si>
    <t>خميرة</t>
  </si>
  <si>
    <t>يحمض</t>
  </si>
  <si>
    <t>البريد المزعج</t>
  </si>
  <si>
    <t>ضرب على الكفل</t>
  </si>
  <si>
    <t>يضرب</t>
  </si>
  <si>
    <t>الإبحار</t>
  </si>
  <si>
    <t>ضربة على الردف</t>
  </si>
  <si>
    <t>الضرب على العجز</t>
  </si>
  <si>
    <t>يصفع</t>
  </si>
  <si>
    <t>تشنجي</t>
  </si>
  <si>
    <t>رمح</t>
  </si>
  <si>
    <t>طعن</t>
  </si>
  <si>
    <t>رأس الحربة</t>
  </si>
  <si>
    <t>قاد</t>
  </si>
  <si>
    <t>تقود</t>
  </si>
  <si>
    <t>الرماح</t>
  </si>
  <si>
    <t>انبعث</t>
  </si>
  <si>
    <t>يقذف</t>
  </si>
  <si>
    <t>يتقيأ</t>
  </si>
  <si>
    <t>انسكاب</t>
  </si>
  <si>
    <t>امتد</t>
  </si>
  <si>
    <t>يسكب السائل</t>
  </si>
  <si>
    <t>إراقة</t>
  </si>
  <si>
    <t>انسكابات</t>
  </si>
  <si>
    <t>العانس</t>
  </si>
  <si>
    <t>عزوبية</t>
  </si>
  <si>
    <t>العوانس</t>
  </si>
  <si>
    <t>رغم</t>
  </si>
  <si>
    <t>حاقد</t>
  </si>
  <si>
    <t>يسيئون</t>
  </si>
  <si>
    <t>غنيمة</t>
  </si>
  <si>
    <t>المفسد</t>
  </si>
  <si>
    <t>المفسدين</t>
  </si>
  <si>
    <t>الغنائم</t>
  </si>
  <si>
    <t>مفسد الحفل</t>
  </si>
  <si>
    <t>اصابته بالتواء</t>
  </si>
  <si>
    <t>الالتواء</t>
  </si>
  <si>
    <t>بصق</t>
  </si>
  <si>
    <t>باءت بالفشل</t>
  </si>
  <si>
    <t>الاخرق</t>
  </si>
  <si>
    <t>تبعثر</t>
  </si>
  <si>
    <t>مبدد</t>
  </si>
  <si>
    <t>يرتبكون</t>
  </si>
  <si>
    <t>طعنة</t>
  </si>
  <si>
    <t>طعن بسكين</t>
  </si>
  <si>
    <t>استقرار</t>
  </si>
  <si>
    <t>مستقر</t>
  </si>
  <si>
    <t>موازن</t>
  </si>
  <si>
    <t>مثبتات</t>
  </si>
  <si>
    <t>الإسطبل</t>
  </si>
  <si>
    <t>استقرارا</t>
  </si>
  <si>
    <t>اسطبلات</t>
  </si>
  <si>
    <t>طعنات</t>
  </si>
  <si>
    <t>راكد</t>
  </si>
  <si>
    <t>وصمة</t>
  </si>
  <si>
    <t>مبقع</t>
  </si>
  <si>
    <t>غير القابل للصدأ</t>
  </si>
  <si>
    <t>البقع</t>
  </si>
  <si>
    <t>قديمة</t>
  </si>
  <si>
    <t>جفاء</t>
  </si>
  <si>
    <t>توقفت</t>
  </si>
  <si>
    <t>تأتأة</t>
  </si>
  <si>
    <t>متلعثم</t>
  </si>
  <si>
    <t>لعثمة</t>
  </si>
  <si>
    <t>توقف تام</t>
  </si>
  <si>
    <t>نفث رائحة كريهة</t>
  </si>
  <si>
    <t>تزمتا وصرامة</t>
  </si>
  <si>
    <t>الصارخة</t>
  </si>
  <si>
    <t>جفل</t>
  </si>
  <si>
    <t>مندهش</t>
  </si>
  <si>
    <t>يباغت</t>
  </si>
  <si>
    <t>الموت جوعا</t>
  </si>
  <si>
    <t>جاع</t>
  </si>
  <si>
    <t>ميت من الجوع</t>
  </si>
  <si>
    <t>يجوع</t>
  </si>
  <si>
    <t>إحصائية</t>
  </si>
  <si>
    <t>بشكل ثابت</t>
  </si>
  <si>
    <t>السكونيات</t>
  </si>
  <si>
    <t>ستيلير</t>
  </si>
  <si>
    <t>سارقوا</t>
  </si>
  <si>
    <t>يسرق</t>
  </si>
  <si>
    <t>على التخفي</t>
  </si>
  <si>
    <t>رائحة نتنة</t>
  </si>
  <si>
    <t>أكثر صرامة</t>
  </si>
  <si>
    <t>اصعب</t>
  </si>
  <si>
    <t>بصرامة</t>
  </si>
  <si>
    <t>صرامة</t>
  </si>
  <si>
    <t>ستيرنز</t>
  </si>
  <si>
    <t>خنقت</t>
  </si>
  <si>
    <t>يكتم</t>
  </si>
  <si>
    <t>وصمة عار</t>
  </si>
  <si>
    <t>الوصمات</t>
  </si>
  <si>
    <t>الندبات</t>
  </si>
  <si>
    <t>وصم</t>
  </si>
  <si>
    <t>لدغة</t>
  </si>
  <si>
    <t>الواخزة</t>
  </si>
  <si>
    <t>صواريخ ستينجر</t>
  </si>
  <si>
    <t>بخلا</t>
  </si>
  <si>
    <t>لاذع</t>
  </si>
  <si>
    <t>اللادغة</t>
  </si>
  <si>
    <t>لسعات</t>
  </si>
  <si>
    <t>نتن</t>
  </si>
  <si>
    <t>شخص نتن</t>
  </si>
  <si>
    <t>الكريهون</t>
  </si>
  <si>
    <t>ينتن</t>
  </si>
  <si>
    <t>مسروق</t>
  </si>
  <si>
    <t>عاصفة</t>
  </si>
  <si>
    <t>اقتحم</t>
  </si>
  <si>
    <t>ستورمر</t>
  </si>
  <si>
    <t>ستورمرس</t>
  </si>
  <si>
    <t>اشد عصفا</t>
  </si>
  <si>
    <t>أشد عصفا</t>
  </si>
  <si>
    <t>اقتحام</t>
  </si>
  <si>
    <t>العواصف</t>
  </si>
  <si>
    <t>تفرق</t>
  </si>
  <si>
    <t>المتشرد</t>
  </si>
  <si>
    <t>المتطرفون</t>
  </si>
  <si>
    <t>سلالة</t>
  </si>
  <si>
    <t>توتر</t>
  </si>
  <si>
    <t>مصفاة</t>
  </si>
  <si>
    <t>مصافى</t>
  </si>
  <si>
    <t>اجهاد</t>
  </si>
  <si>
    <t>سلالات</t>
  </si>
  <si>
    <t>الغريب</t>
  </si>
  <si>
    <t>غرابة</t>
  </si>
  <si>
    <t>أغرب</t>
  </si>
  <si>
    <t>الخناق</t>
  </si>
  <si>
    <t>خانق</t>
  </si>
  <si>
    <t>الخانقون</t>
  </si>
  <si>
    <t>ضال</t>
  </si>
  <si>
    <t>ستراير</t>
  </si>
  <si>
    <t>الشرود</t>
  </si>
  <si>
    <t>تشويش إذاعي</t>
  </si>
  <si>
    <t>إجهاد</t>
  </si>
  <si>
    <t>وشدد</t>
  </si>
  <si>
    <t>المجهدة</t>
  </si>
  <si>
    <t>مؤكدا</t>
  </si>
  <si>
    <t>بدقة</t>
  </si>
  <si>
    <t>تضيق</t>
  </si>
  <si>
    <t>مماحكات</t>
  </si>
  <si>
    <t>إضراب</t>
  </si>
  <si>
    <t>المضربين</t>
  </si>
  <si>
    <t>الضربات</t>
  </si>
  <si>
    <t>بتشديدات</t>
  </si>
  <si>
    <t>النضال</t>
  </si>
  <si>
    <t>كافح</t>
  </si>
  <si>
    <t>نضالات</t>
  </si>
  <si>
    <t>تكافح</t>
  </si>
  <si>
    <t>متجهم الوجه</t>
  </si>
  <si>
    <t>مذهول</t>
  </si>
  <si>
    <t>يذهل</t>
  </si>
  <si>
    <t>ألعاب بهلوانية بارعة</t>
  </si>
  <si>
    <t>التقزم</t>
  </si>
  <si>
    <t>البهلوان</t>
  </si>
  <si>
    <t>المثيرة</t>
  </si>
  <si>
    <t>تفاهات</t>
  </si>
  <si>
    <t>بغباء</t>
  </si>
  <si>
    <t>ذهول</t>
  </si>
  <si>
    <t>تمتمت</t>
  </si>
  <si>
    <t>تمتمة</t>
  </si>
  <si>
    <t>التعتعة</t>
  </si>
  <si>
    <t>إخضاع</t>
  </si>
  <si>
    <t>مقهور</t>
  </si>
  <si>
    <t>التأكيد على خضوع</t>
  </si>
  <si>
    <t>منقاد</t>
  </si>
  <si>
    <t>صاغرين</t>
  </si>
  <si>
    <t>إذعان</t>
  </si>
  <si>
    <t>خنوع</t>
  </si>
  <si>
    <t>همد</t>
  </si>
  <si>
    <t>هدأت</t>
  </si>
  <si>
    <t>طرح</t>
  </si>
  <si>
    <t>يحذف</t>
  </si>
  <si>
    <t>الطرح</t>
  </si>
  <si>
    <t>مطروح</t>
  </si>
  <si>
    <t>ينقص</t>
  </si>
  <si>
    <t>مهدوم</t>
  </si>
  <si>
    <t>استسلم</t>
  </si>
  <si>
    <t>الخضوع</t>
  </si>
  <si>
    <t>مص</t>
  </si>
  <si>
    <t>امتص</t>
  </si>
  <si>
    <t>إبله</t>
  </si>
  <si>
    <t>مصاصو</t>
  </si>
  <si>
    <t>ترضع</t>
  </si>
  <si>
    <t>مرضع</t>
  </si>
  <si>
    <t>يرضع</t>
  </si>
  <si>
    <t>رضاعة</t>
  </si>
  <si>
    <t>الرضع هيأت</t>
  </si>
  <si>
    <t>تمتص</t>
  </si>
  <si>
    <t>عانى</t>
  </si>
  <si>
    <t>معاناة</t>
  </si>
  <si>
    <t>الذين يعانون من</t>
  </si>
  <si>
    <t>يعاني</t>
  </si>
  <si>
    <t>انتحار</t>
  </si>
  <si>
    <t>الانتحار</t>
  </si>
  <si>
    <t>سطحية</t>
  </si>
  <si>
    <t>بشكل سطحي</t>
  </si>
  <si>
    <t>غير ضروري</t>
  </si>
  <si>
    <t>خرافة</t>
  </si>
  <si>
    <t>الخرافات</t>
  </si>
  <si>
    <t>خرافي</t>
  </si>
  <si>
    <t>بخرافة</t>
  </si>
  <si>
    <t>للقمع</t>
  </si>
  <si>
    <t>بقمع</t>
  </si>
  <si>
    <t>القامع</t>
  </si>
  <si>
    <t>المكثفات</t>
  </si>
  <si>
    <t>الشخص المؤمن بسيادة مجموعة</t>
  </si>
  <si>
    <t>حساسيات</t>
  </si>
  <si>
    <t>قابلية</t>
  </si>
  <si>
    <t>مشتبه فيه</t>
  </si>
  <si>
    <t>يشتبه</t>
  </si>
  <si>
    <t>الاشتباه</t>
  </si>
  <si>
    <t>المشتبه بهم</t>
  </si>
  <si>
    <t>رباط الجورب</t>
  </si>
  <si>
    <t>حمالتي البنطلون</t>
  </si>
  <si>
    <t>تعليق</t>
  </si>
  <si>
    <t>تعلق</t>
  </si>
  <si>
    <t>اشتباه</t>
  </si>
  <si>
    <t>مشبوه</t>
  </si>
  <si>
    <t>بشك</t>
  </si>
  <si>
    <t>أقسم</t>
  </si>
  <si>
    <t>أداء اليمين الدستورية</t>
  </si>
  <si>
    <t>يقسم</t>
  </si>
  <si>
    <t>شتيمة</t>
  </si>
  <si>
    <t>عرض</t>
  </si>
  <si>
    <t>عرضيا</t>
  </si>
  <si>
    <t>بلا أعراض</t>
  </si>
  <si>
    <t>الأعراض</t>
  </si>
  <si>
    <t>محرم</t>
  </si>
  <si>
    <t>المحرمات</t>
  </si>
  <si>
    <t>الملوث</t>
  </si>
  <si>
    <t>يلطخ</t>
  </si>
  <si>
    <t>تشوب</t>
  </si>
  <si>
    <t>بدون موهبة</t>
  </si>
  <si>
    <t>نوبة غضب</t>
  </si>
  <si>
    <t>نوبات الغضب</t>
  </si>
  <si>
    <t>ببطء</t>
  </si>
  <si>
    <t>تأخر</t>
  </si>
  <si>
    <t>تعريفة</t>
  </si>
  <si>
    <t>التعريفات</t>
  </si>
  <si>
    <t>أسمال بالية</t>
  </si>
  <si>
    <t>السخرية</t>
  </si>
  <si>
    <t>التهكم</t>
  </si>
  <si>
    <t>ضريبة</t>
  </si>
  <si>
    <t>خاضع للضريبة</t>
  </si>
  <si>
    <t>فرض الضرائب</t>
  </si>
  <si>
    <t>تخضع للضريبة</t>
  </si>
  <si>
    <t>الضرائب</t>
  </si>
  <si>
    <t>سيارة أجرة</t>
  </si>
  <si>
    <t>محنط الحيوانات</t>
  </si>
  <si>
    <t>المحنطون</t>
  </si>
  <si>
    <t>تحنيط الحيوانات</t>
  </si>
  <si>
    <t>تحركت</t>
  </si>
  <si>
    <t>سيارات الاجرة</t>
  </si>
  <si>
    <t>النقل بسيارات الأجرة</t>
  </si>
  <si>
    <t>شاق مرهق</t>
  </si>
  <si>
    <t>سيارات الأجرة</t>
  </si>
  <si>
    <t>التصنيفية</t>
  </si>
  <si>
    <t>اختصاصي النصنيف</t>
  </si>
  <si>
    <t>خبراء التصنيف</t>
  </si>
  <si>
    <t>التصنيف</t>
  </si>
  <si>
    <t>دفع الضرائب</t>
  </si>
  <si>
    <t>دمعة</t>
  </si>
  <si>
    <t>الدموع</t>
  </si>
  <si>
    <t>دامع</t>
  </si>
  <si>
    <t>اغرورقت عيناه بالدموع</t>
  </si>
  <si>
    <t>البكاء</t>
  </si>
  <si>
    <t>الغاز المسيل للدموع</t>
  </si>
  <si>
    <t>بلا دموع</t>
  </si>
  <si>
    <t>مقهى</t>
  </si>
  <si>
    <t>تيرومس</t>
  </si>
  <si>
    <t>دموع</t>
  </si>
  <si>
    <t>ندف</t>
  </si>
  <si>
    <t>مازحت</t>
  </si>
  <si>
    <t>دعابة</t>
  </si>
  <si>
    <t>المضايقون</t>
  </si>
  <si>
    <t>يثير</t>
  </si>
  <si>
    <t>مضجر</t>
  </si>
  <si>
    <t>الإضجار</t>
  </si>
  <si>
    <t>مزاج</t>
  </si>
  <si>
    <t>درجات الحرارة</t>
  </si>
  <si>
    <t>مزاجي</t>
  </si>
  <si>
    <t>المزاجات</t>
  </si>
  <si>
    <t>زهد</t>
  </si>
  <si>
    <t>معتدل</t>
  </si>
  <si>
    <t>بشكل معتدل</t>
  </si>
  <si>
    <t>درجة الحرارة</t>
  </si>
  <si>
    <t>هدأ</t>
  </si>
  <si>
    <t>الغضب</t>
  </si>
  <si>
    <t>زوبعة</t>
  </si>
  <si>
    <t>مؤقتا</t>
  </si>
  <si>
    <t>إغراءات</t>
  </si>
  <si>
    <t>المتوترة</t>
  </si>
  <si>
    <t>أكثر توترا</t>
  </si>
  <si>
    <t>يتوتر</t>
  </si>
  <si>
    <t>توترا</t>
  </si>
  <si>
    <t>توتير</t>
  </si>
  <si>
    <t>توترية</t>
  </si>
  <si>
    <t>المتأزم</t>
  </si>
  <si>
    <t>التوترات</t>
  </si>
  <si>
    <t>يرعب</t>
  </si>
  <si>
    <t>جنن</t>
  </si>
  <si>
    <t>الإرهابيين</t>
  </si>
  <si>
    <t>الاهوال</t>
  </si>
  <si>
    <t>سرق</t>
  </si>
  <si>
    <t>عطش</t>
  </si>
  <si>
    <t>عطشا</t>
  </si>
  <si>
    <t>أرعن</t>
  </si>
  <si>
    <t>تفكير</t>
  </si>
  <si>
    <t>عدم إكتراث</t>
  </si>
  <si>
    <t>جلد</t>
  </si>
  <si>
    <t>الدراسه</t>
  </si>
  <si>
    <t>يجلد</t>
  </si>
  <si>
    <t>التهديد</t>
  </si>
  <si>
    <t>هدد</t>
  </si>
  <si>
    <t>المهددة</t>
  </si>
  <si>
    <t>تهدد</t>
  </si>
  <si>
    <t>تهديدية</t>
  </si>
  <si>
    <t>التهديدات</t>
  </si>
  <si>
    <t>جلجل</t>
  </si>
  <si>
    <t>عيان</t>
  </si>
  <si>
    <t>الإرتطام</t>
  </si>
  <si>
    <t>دوي</t>
  </si>
  <si>
    <t>أحبطت</t>
  </si>
  <si>
    <t>مخيب للأمل</t>
  </si>
  <si>
    <t>تكتك</t>
  </si>
  <si>
    <t>بحياء</t>
  </si>
  <si>
    <t>إطار العجلة</t>
  </si>
  <si>
    <t>متعب</t>
  </si>
  <si>
    <t>لا يكل</t>
  </si>
  <si>
    <t>بلا كلل</t>
  </si>
  <si>
    <t>الإطارات</t>
  </si>
  <si>
    <t>يكدح</t>
  </si>
  <si>
    <t>كدوا</t>
  </si>
  <si>
    <t>الحمام</t>
  </si>
  <si>
    <t>مرحاض</t>
  </si>
  <si>
    <t>المرحاض</t>
  </si>
  <si>
    <t>مستلزمات</t>
  </si>
  <si>
    <t>حاجيات المرحاض</t>
  </si>
  <si>
    <t>مراحيض</t>
  </si>
  <si>
    <t>يكدحون</t>
  </si>
  <si>
    <t>الشراك</t>
  </si>
  <si>
    <t>أطاح</t>
  </si>
  <si>
    <t>عذاب</t>
  </si>
  <si>
    <t>معذب</t>
  </si>
  <si>
    <t>تعذب</t>
  </si>
  <si>
    <t>المعذبون</t>
  </si>
  <si>
    <t>العذاب</t>
  </si>
  <si>
    <t>سيل</t>
  </si>
  <si>
    <t>متدفق</t>
  </si>
  <si>
    <t>السيول</t>
  </si>
  <si>
    <t>تعذيب</t>
  </si>
  <si>
    <t>التعذيب</t>
  </si>
  <si>
    <t>ملتويا</t>
  </si>
  <si>
    <t>شديد الحساسية</t>
  </si>
  <si>
    <t>قاسي</t>
  </si>
  <si>
    <t>قسى</t>
  </si>
  <si>
    <t>تشديد</t>
  </si>
  <si>
    <t>يشدد</t>
  </si>
  <si>
    <t>أصعب</t>
  </si>
  <si>
    <t>الزعران</t>
  </si>
  <si>
    <t>الكاتب التراجيدي</t>
  </si>
  <si>
    <t>الفنانون التراجيديون</t>
  </si>
  <si>
    <t>المآسي</t>
  </si>
  <si>
    <t>مأساة</t>
  </si>
  <si>
    <t>مأساوي</t>
  </si>
  <si>
    <t>مأساوية</t>
  </si>
  <si>
    <t>مأساويا</t>
  </si>
  <si>
    <t>متشرد</t>
  </si>
  <si>
    <t>التطواف</t>
  </si>
  <si>
    <t>داست</t>
  </si>
  <si>
    <t>يدوس</t>
  </si>
  <si>
    <t>الدوس</t>
  </si>
  <si>
    <t>الترامبولين</t>
  </si>
  <si>
    <t>الصعاليك</t>
  </si>
  <si>
    <t>تعدوا</t>
  </si>
  <si>
    <t>تعدى</t>
  </si>
  <si>
    <t>الإنتهاك</t>
  </si>
  <si>
    <t>آثمة</t>
  </si>
  <si>
    <t>آثم</t>
  </si>
  <si>
    <t>المتجاوزون</t>
  </si>
  <si>
    <t>فخ</t>
  </si>
  <si>
    <t>الباب المسحور</t>
  </si>
  <si>
    <t>أرجوحة</t>
  </si>
  <si>
    <t>يمكن تتبعه</t>
  </si>
  <si>
    <t>المحاصرين</t>
  </si>
  <si>
    <t>الموقع بالفخ</t>
  </si>
  <si>
    <t>الصيادون</t>
  </si>
  <si>
    <t>محاصرة</t>
  </si>
  <si>
    <t>زخارف</t>
  </si>
  <si>
    <t>الفخاخ</t>
  </si>
  <si>
    <t>الحضيض</t>
  </si>
  <si>
    <t>ملىء بالقمامة</t>
  </si>
  <si>
    <t>رضوح</t>
  </si>
  <si>
    <t>الصدمة</t>
  </si>
  <si>
    <t>يلحق الأذى</t>
  </si>
  <si>
    <t>غدرا</t>
  </si>
  <si>
    <t>الخيانة</t>
  </si>
  <si>
    <t>ارتجف</t>
  </si>
  <si>
    <t>ارتعدت</t>
  </si>
  <si>
    <t>المرتجف</t>
  </si>
  <si>
    <t>يرتجف</t>
  </si>
  <si>
    <t>ارتجاف</t>
  </si>
  <si>
    <t>تعدي</t>
  </si>
  <si>
    <t>المتعدين</t>
  </si>
  <si>
    <t>آثام</t>
  </si>
  <si>
    <t>التعدي على ممتلكات الغير</t>
  </si>
  <si>
    <t>خدعة</t>
  </si>
  <si>
    <t>تحايل</t>
  </si>
  <si>
    <t>تقطر</t>
  </si>
  <si>
    <t>يتقطر</t>
  </si>
  <si>
    <t>يتقاطرون</t>
  </si>
  <si>
    <t>حيل</t>
  </si>
  <si>
    <t>ابتذال</t>
  </si>
  <si>
    <t>توافه</t>
  </si>
  <si>
    <t>يهون</t>
  </si>
  <si>
    <t>التقليل</t>
  </si>
  <si>
    <t>تهوين</t>
  </si>
  <si>
    <t>مسلي</t>
  </si>
  <si>
    <t>غوغائي</t>
  </si>
  <si>
    <t>مثيري الشغب</t>
  </si>
  <si>
    <t>فني تصليح</t>
  </si>
  <si>
    <t>استكشاف الأخطاء وإصلاحها</t>
  </si>
  <si>
    <t>يتغيب عن المدرسة</t>
  </si>
  <si>
    <t>المتغيبون</t>
  </si>
  <si>
    <t>مشى بتثاقل</t>
  </si>
  <si>
    <t>ممشي</t>
  </si>
  <si>
    <t>يمشون</t>
  </si>
  <si>
    <t>غيظ</t>
  </si>
  <si>
    <t>نشل</t>
  </si>
  <si>
    <t>رفت</t>
  </si>
  <si>
    <t>تغريد</t>
  </si>
  <si>
    <t>مزقزق</t>
  </si>
  <si>
    <t>الزقزقة</t>
  </si>
  <si>
    <t>طاغية</t>
  </si>
  <si>
    <t>الطغاة</t>
  </si>
  <si>
    <t>أقبح</t>
  </si>
  <si>
    <t>ابشع</t>
  </si>
  <si>
    <t>قبيح</t>
  </si>
  <si>
    <t>الانذارات</t>
  </si>
  <si>
    <t>غير متعود</t>
  </si>
  <si>
    <t>غير جذاب</t>
  </si>
  <si>
    <t>جاذبية</t>
  </si>
  <si>
    <t>غير مصادق</t>
  </si>
  <si>
    <t>لا مفر منه</t>
  </si>
  <si>
    <t>لا يصدق</t>
  </si>
  <si>
    <t>غير مؤكد</t>
  </si>
  <si>
    <t>عدم اليقين</t>
  </si>
  <si>
    <t>غير متحضر</t>
  </si>
  <si>
    <t>غير واضح</t>
  </si>
  <si>
    <t>المزالة</t>
  </si>
  <si>
    <t>لا يمكن السيطرة عليها</t>
  </si>
  <si>
    <t>دون حسيب ولا رقيب</t>
  </si>
  <si>
    <t>غير المنضبط</t>
  </si>
  <si>
    <t>غير مألوف</t>
  </si>
  <si>
    <t>تقويض</t>
  </si>
  <si>
    <t>قوضت</t>
  </si>
  <si>
    <t>يقوض</t>
  </si>
  <si>
    <t>غير مرغوب فيه</t>
  </si>
  <si>
    <t>غير المرغوب فيهم</t>
  </si>
  <si>
    <t>غير وقور</t>
  </si>
  <si>
    <t>لا يحملون وثائق</t>
  </si>
  <si>
    <t>الإبطالات</t>
  </si>
  <si>
    <t>غير مدجن</t>
  </si>
  <si>
    <t>غير مصنوع</t>
  </si>
  <si>
    <t>لا شك</t>
  </si>
  <si>
    <t>بالتأكيد</t>
  </si>
  <si>
    <t>بصعوبة</t>
  </si>
  <si>
    <t>غير مستقر</t>
  </si>
  <si>
    <t>غير اقتصادية</t>
  </si>
  <si>
    <t>عاطل عن العمل</t>
  </si>
  <si>
    <t>غير متكافئ</t>
  </si>
  <si>
    <t>فذ</t>
  </si>
  <si>
    <t>متفاوت</t>
  </si>
  <si>
    <t>غير متساو</t>
  </si>
  <si>
    <t>التفاوت</t>
  </si>
  <si>
    <t>هادئ</t>
  </si>
  <si>
    <t>بشكل هادئ</t>
  </si>
  <si>
    <t>غير منصف</t>
  </si>
  <si>
    <t>غير عادل</t>
  </si>
  <si>
    <t>عدم الإلمام</t>
  </si>
  <si>
    <t>عديم الشعور</t>
  </si>
  <si>
    <t>غير مؤهل</t>
  </si>
  <si>
    <t>عدم اللياقة</t>
  </si>
  <si>
    <t>يلائم</t>
  </si>
  <si>
    <t>غير متوقع</t>
  </si>
  <si>
    <t>يؤسف له</t>
  </si>
  <si>
    <t>التعساء</t>
  </si>
  <si>
    <t>غير ودي</t>
  </si>
  <si>
    <t>جاحد</t>
  </si>
  <si>
    <t>ناكر للجميل</t>
  </si>
  <si>
    <t>غير مصون</t>
  </si>
  <si>
    <t>تعاسة</t>
  </si>
  <si>
    <t>الأتعس</t>
  </si>
  <si>
    <t>بتعاسة</t>
  </si>
  <si>
    <t>تعيس</t>
  </si>
  <si>
    <t>أونهلثير</t>
  </si>
  <si>
    <t>غير صحي</t>
  </si>
  <si>
    <t>غير صحية</t>
  </si>
  <si>
    <t>غير مهم</t>
  </si>
  <si>
    <t>أنذر</t>
  </si>
  <si>
    <t>متواضعة</t>
  </si>
  <si>
    <t>لا مبرر له</t>
  </si>
  <si>
    <t>غير مبرر</t>
  </si>
  <si>
    <t>ظلما</t>
  </si>
  <si>
    <t>غير مؤدب</t>
  </si>
  <si>
    <t>مشروعية</t>
  </si>
  <si>
    <t>محبوبة</t>
  </si>
  <si>
    <t>مكروه</t>
  </si>
  <si>
    <t>بغيضة</t>
  </si>
  <si>
    <t>غير محب</t>
  </si>
  <si>
    <t>لا داعي له</t>
  </si>
  <si>
    <t>فقد ثقته بنفسه</t>
  </si>
  <si>
    <t>دون أن يلاحظها أحد</t>
  </si>
  <si>
    <t>مخفي</t>
  </si>
  <si>
    <t>غير مستحب</t>
  </si>
  <si>
    <t>بغض</t>
  </si>
  <si>
    <t>غير شعبي</t>
  </si>
  <si>
    <t>شعبية</t>
  </si>
  <si>
    <t>غير مربحة</t>
  </si>
  <si>
    <t>غير محمي</t>
  </si>
  <si>
    <t>معقولية</t>
  </si>
  <si>
    <t>موثوقية</t>
  </si>
  <si>
    <t>غير جدير بالثقة</t>
  </si>
  <si>
    <t>غير موثوق</t>
  </si>
  <si>
    <t>غير مقيد</t>
  </si>
  <si>
    <t>غير آمنة</t>
  </si>
  <si>
    <t>غير مرض</t>
  </si>
  <si>
    <t>عديم الضمير</t>
  </si>
  <si>
    <t>غير مرئي</t>
  </si>
  <si>
    <t>المقلقة</t>
  </si>
  <si>
    <t>غير سليم</t>
  </si>
  <si>
    <t>اختلال</t>
  </si>
  <si>
    <t>لا يوصف</t>
  </si>
  <si>
    <t>عدم الثبات</t>
  </si>
  <si>
    <t>غير ناجح</t>
  </si>
  <si>
    <t>غير متأكد</t>
  </si>
  <si>
    <t>غير مدرب</t>
  </si>
  <si>
    <t>غير موثوق به</t>
  </si>
  <si>
    <t>كاذب</t>
  </si>
  <si>
    <t>كذبا</t>
  </si>
  <si>
    <t>أباطيل</t>
  </si>
  <si>
    <t>ظهرهم</t>
  </si>
  <si>
    <t>غير راغبة</t>
  </si>
  <si>
    <t>عدم رغبة</t>
  </si>
  <si>
    <t>غير حكيم</t>
  </si>
  <si>
    <t>غير مستحق</t>
  </si>
  <si>
    <t>الانتفاضات</t>
  </si>
  <si>
    <t>صاخب</t>
  </si>
  <si>
    <t>اقتلاع</t>
  </si>
  <si>
    <t>اقتلع</t>
  </si>
  <si>
    <t>يجتث</t>
  </si>
  <si>
    <t>عديم الفائدة</t>
  </si>
  <si>
    <t>عدم الجدوى</t>
  </si>
  <si>
    <t>إغتصب سلطة أو عرشة</t>
  </si>
  <si>
    <t>إغتصاب سلطة أو عرشة</t>
  </si>
  <si>
    <t>المغتصبة</t>
  </si>
  <si>
    <t>الغاصب</t>
  </si>
  <si>
    <t>مغتصب سلطة أو عرشة</t>
  </si>
  <si>
    <t>المتشردين</t>
  </si>
  <si>
    <t>عقيم</t>
  </si>
  <si>
    <t>تلاشى</t>
  </si>
  <si>
    <t>اختفت</t>
  </si>
  <si>
    <t>يختفي</t>
  </si>
  <si>
    <t>بشدة</t>
  </si>
  <si>
    <t>حق النقض</t>
  </si>
  <si>
    <t>اعترض</t>
  </si>
  <si>
    <t>الاعتراض</t>
  </si>
  <si>
    <t>إغاظة</t>
  </si>
  <si>
    <t>متكدر</t>
  </si>
  <si>
    <t>يغيظ</t>
  </si>
  <si>
    <t>رذيلة</t>
  </si>
  <si>
    <t>نائب الملك</t>
  </si>
  <si>
    <t>خلفاء</t>
  </si>
  <si>
    <t>الرذائل</t>
  </si>
  <si>
    <t>احتال</t>
  </si>
  <si>
    <t>باضطهاد</t>
  </si>
  <si>
    <t>بلا ضحايا</t>
  </si>
  <si>
    <t>ضحايا</t>
  </si>
  <si>
    <t>تنافست</t>
  </si>
  <si>
    <t>فيينا</t>
  </si>
  <si>
    <t>فيار</t>
  </si>
  <si>
    <t>يتنافس</t>
  </si>
  <si>
    <t>رأي</t>
  </si>
  <si>
    <t>للعرض</t>
  </si>
  <si>
    <t>شوهدت</t>
  </si>
  <si>
    <t>مشاهد</t>
  </si>
  <si>
    <t>المشاهدين</t>
  </si>
  <si>
    <t>عدسة الكاميرا</t>
  </si>
  <si>
    <t>مشاهدة</t>
  </si>
  <si>
    <t>المراقبات</t>
  </si>
  <si>
    <t>وجهة نظر</t>
  </si>
  <si>
    <t>وجهات النظر</t>
  </si>
  <si>
    <t>لؤم</t>
  </si>
  <si>
    <t>أشنع</t>
  </si>
  <si>
    <t>الاوغاد</t>
  </si>
  <si>
    <t>تنتهك</t>
  </si>
  <si>
    <t>انتهك</t>
  </si>
  <si>
    <t>ينتهك</t>
  </si>
  <si>
    <t>المخالفين</t>
  </si>
  <si>
    <t>عنف</t>
  </si>
  <si>
    <t>بعنف</t>
  </si>
  <si>
    <t>أفعى سامة</t>
  </si>
  <si>
    <t>الأفاعي</t>
  </si>
  <si>
    <t>قابلة للإبطال</t>
  </si>
  <si>
    <t>باطلة</t>
  </si>
  <si>
    <t>الفراغات</t>
  </si>
  <si>
    <t>المتطايرة</t>
  </si>
  <si>
    <t>تطاير</t>
  </si>
  <si>
    <t>قيء</t>
  </si>
  <si>
    <t>بالتقيؤ</t>
  </si>
  <si>
    <t>بذاءات</t>
  </si>
  <si>
    <t>عامية</t>
  </si>
  <si>
    <t>نقاط الضعف</t>
  </si>
  <si>
    <t>حساسية</t>
  </si>
  <si>
    <t>الضعيفة</t>
  </si>
  <si>
    <t>نسر</t>
  </si>
  <si>
    <t>النسور</t>
  </si>
  <si>
    <t>عويل</t>
  </si>
  <si>
    <t>نائح</t>
  </si>
  <si>
    <t>نحيب</t>
  </si>
  <si>
    <t>العويل</t>
  </si>
  <si>
    <t>يتمرغ</t>
  </si>
  <si>
    <t>تضاؤل</t>
  </si>
  <si>
    <t>يتراجع</t>
  </si>
  <si>
    <t>تعسفية</t>
  </si>
  <si>
    <t>فسق</t>
  </si>
  <si>
    <t>حرب</t>
  </si>
  <si>
    <t>صدح</t>
  </si>
  <si>
    <t>مطربة</t>
  </si>
  <si>
    <t>الطيور المغردة</t>
  </si>
  <si>
    <t>يغرد</t>
  </si>
  <si>
    <t>جناح</t>
  </si>
  <si>
    <t>اتقي</t>
  </si>
  <si>
    <t>المراقب</t>
  </si>
  <si>
    <t>الحراس</t>
  </si>
  <si>
    <t>التفادي</t>
  </si>
  <si>
    <t>خزانة</t>
  </si>
  <si>
    <t>خزائن</t>
  </si>
  <si>
    <t>عنابر</t>
  </si>
  <si>
    <t>صولجان السلطة</t>
  </si>
  <si>
    <t>سلعة</t>
  </si>
  <si>
    <t>مستودع</t>
  </si>
  <si>
    <t>تخزينها</t>
  </si>
  <si>
    <t>أمين المستودع</t>
  </si>
  <si>
    <t>المستودعات</t>
  </si>
  <si>
    <t>التخزين</t>
  </si>
  <si>
    <t>الرأس الحربي</t>
  </si>
  <si>
    <t>الرؤوس الحربية</t>
  </si>
  <si>
    <t>المحارب</t>
  </si>
  <si>
    <t>أشد حذرا</t>
  </si>
  <si>
    <t>بحذر</t>
  </si>
  <si>
    <t>حذر</t>
  </si>
  <si>
    <t>ارنج</t>
  </si>
  <si>
    <t>حربي</t>
  </si>
  <si>
    <t>مشعوذ</t>
  </si>
  <si>
    <t>أمراء الحرب</t>
  </si>
  <si>
    <t>دافئ</t>
  </si>
  <si>
    <t>استعد</t>
  </si>
  <si>
    <t>مسخن</t>
  </si>
  <si>
    <t>تدفئة</t>
  </si>
  <si>
    <t>أحر</t>
  </si>
  <si>
    <t>حنية</t>
  </si>
  <si>
    <t>بحرارة</t>
  </si>
  <si>
    <t>الدفء</t>
  </si>
  <si>
    <t>مثير الحرب</t>
  </si>
  <si>
    <t>ارتفاع درجة حرارة الارض</t>
  </si>
  <si>
    <t>دفء</t>
  </si>
  <si>
    <t>الودية</t>
  </si>
  <si>
    <t>منذرون</t>
  </si>
  <si>
    <t>تحذير</t>
  </si>
  <si>
    <t>تحذيرات</t>
  </si>
  <si>
    <t>يحذر</t>
  </si>
  <si>
    <t>انفتل</t>
  </si>
  <si>
    <t>طريق الحرب</t>
  </si>
  <si>
    <t>تزييفها</t>
  </si>
  <si>
    <t>الطائرات الحربية</t>
  </si>
  <si>
    <t>الإعوجاج</t>
  </si>
  <si>
    <t>مذكرة</t>
  </si>
  <si>
    <t>مضمون</t>
  </si>
  <si>
    <t>ضمانات</t>
  </si>
  <si>
    <t>تستدعي</t>
  </si>
  <si>
    <t>مذكرات</t>
  </si>
  <si>
    <t>ضمان</t>
  </si>
  <si>
    <t>تحارب</t>
  </si>
  <si>
    <t>منطقة مكتظة</t>
  </si>
  <si>
    <t>الجحور</t>
  </si>
  <si>
    <t>المتحاربة</t>
  </si>
  <si>
    <t>المحاربون</t>
  </si>
  <si>
    <t>الحروب</t>
  </si>
  <si>
    <t>وارسو</t>
  </si>
  <si>
    <t>السفن الحربية</t>
  </si>
  <si>
    <t>ثؤلول</t>
  </si>
  <si>
    <t>الخنزير</t>
  </si>
  <si>
    <t>الخنازير</t>
  </si>
  <si>
    <t>زمن الحرب</t>
  </si>
  <si>
    <t>الثآليل</t>
  </si>
  <si>
    <t>ثؤلولي</t>
  </si>
  <si>
    <t>ضائع</t>
  </si>
  <si>
    <t>الإسراف</t>
  </si>
  <si>
    <t>قفر</t>
  </si>
  <si>
    <t>الأراضي البور</t>
  </si>
  <si>
    <t>أوراق مهملة</t>
  </si>
  <si>
    <t>المبذرون</t>
  </si>
  <si>
    <t>النفايات</t>
  </si>
  <si>
    <t>إضعاف</t>
  </si>
  <si>
    <t>الضعيف الجسم</t>
  </si>
  <si>
    <t>وهن</t>
  </si>
  <si>
    <t>سلاح</t>
  </si>
  <si>
    <t>بول</t>
  </si>
  <si>
    <t>عشبة ضارة</t>
  </si>
  <si>
    <t>ينتقون</t>
  </si>
  <si>
    <t>التعشيب</t>
  </si>
  <si>
    <t>مزيل أعشاب</t>
  </si>
  <si>
    <t>الأعشاب</t>
  </si>
  <si>
    <t>كثير الأعشاب</t>
  </si>
  <si>
    <t>أسبوع</t>
  </si>
  <si>
    <t>يوم من أيام الأسبوع</t>
  </si>
  <si>
    <t>أيام الأسبوع</t>
  </si>
  <si>
    <t>نهاية الأسبوع</t>
  </si>
  <si>
    <t>زوار عطلة نهاية الأسبوع</t>
  </si>
  <si>
    <t>عطلة نهاية الأسبوع</t>
  </si>
  <si>
    <t>الصحف الأسبوعية</t>
  </si>
  <si>
    <t>الأسبوعية</t>
  </si>
  <si>
    <t>أسابيع</t>
  </si>
  <si>
    <t>وين</t>
  </si>
  <si>
    <t>يني</t>
  </si>
  <si>
    <t>باك</t>
  </si>
  <si>
    <t>يبكي</t>
  </si>
  <si>
    <t>سوسة الفاكهة</t>
  </si>
  <si>
    <t>السوس</t>
  </si>
  <si>
    <t>بغرابة</t>
  </si>
  <si>
    <t>خادمة</t>
  </si>
  <si>
    <t>نسوان</t>
  </si>
  <si>
    <t>اجتز</t>
  </si>
  <si>
    <t>مضروب</t>
  </si>
  <si>
    <t>الضارب</t>
  </si>
  <si>
    <t>ناشج</t>
  </si>
  <si>
    <t>النشيج</t>
  </si>
  <si>
    <t>ينشج</t>
  </si>
  <si>
    <t>وهو ينتحب</t>
  </si>
  <si>
    <t>الأنين</t>
  </si>
  <si>
    <t>سوط</t>
  </si>
  <si>
    <t>الحبل</t>
  </si>
  <si>
    <t>الجلاز السير المشدود في طرف السوط</t>
  </si>
  <si>
    <t>السواط</t>
  </si>
  <si>
    <t>الوبتة دبابة صغيرة</t>
  </si>
  <si>
    <t>الكلاب السلوقية</t>
  </si>
  <si>
    <t>شبيه بالسوط</t>
  </si>
  <si>
    <t>السياط</t>
  </si>
  <si>
    <t>عاهرة</t>
  </si>
  <si>
    <t>مبغى</t>
  </si>
  <si>
    <t>القحبة</t>
  </si>
  <si>
    <t>ذبول</t>
  </si>
  <si>
    <t>يذبل</t>
  </si>
  <si>
    <t>مراوغ</t>
  </si>
  <si>
    <t>جافل</t>
  </si>
  <si>
    <t>يجفل</t>
  </si>
  <si>
    <t>ساحرة</t>
  </si>
  <si>
    <t>سحر</t>
  </si>
  <si>
    <t>الدجال</t>
  </si>
  <si>
    <t>شعوذة</t>
  </si>
  <si>
    <t>المطاردات</t>
  </si>
  <si>
    <t>ويل</t>
  </si>
  <si>
    <t>يرثى له</t>
  </si>
  <si>
    <t>لبس</t>
  </si>
  <si>
    <t>قلق يتوهم</t>
  </si>
  <si>
    <t>القلقون</t>
  </si>
  <si>
    <t>مثيرة للقلق</t>
  </si>
  <si>
    <t>أسوأ</t>
  </si>
  <si>
    <t>ساءت</t>
  </si>
  <si>
    <t>الصوفى</t>
  </si>
  <si>
    <t>عديم القيمة</t>
  </si>
  <si>
    <t>التفاهه</t>
  </si>
  <si>
    <t>جريح</t>
  </si>
  <si>
    <t>الجروح</t>
  </si>
  <si>
    <t>wraths</t>
  </si>
  <si>
    <t>حطام</t>
  </si>
  <si>
    <t>هادم المباني</t>
  </si>
  <si>
    <t>مخربين</t>
  </si>
  <si>
    <t>تصارعت</t>
  </si>
  <si>
    <t>المصارعين</t>
  </si>
  <si>
    <t>البائس</t>
  </si>
  <si>
    <t>مدق</t>
  </si>
  <si>
    <t>تعساء</t>
  </si>
  <si>
    <t>تجعد</t>
  </si>
  <si>
    <t>متجعد</t>
  </si>
  <si>
    <t>التجاعيد</t>
  </si>
  <si>
    <t>تلوى</t>
  </si>
  <si>
    <t>مرتكب</t>
  </si>
  <si>
    <t>غير المشروعة</t>
  </si>
  <si>
    <t>على خطأ</t>
  </si>
  <si>
    <t>أو خطأ</t>
  </si>
  <si>
    <t>معمول</t>
  </si>
  <si>
    <t>تثاءب</t>
  </si>
  <si>
    <t>تثاؤب</t>
  </si>
  <si>
    <t>التثاؤب</t>
  </si>
  <si>
    <t>اشتاق</t>
  </si>
  <si>
    <t>توق</t>
  </si>
  <si>
    <t>الأشواق</t>
  </si>
  <si>
    <t>يشتاق</t>
  </si>
  <si>
    <t>عواء</t>
  </si>
  <si>
    <t>صاح</t>
  </si>
  <si>
    <t>الصياح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</si>
</sst>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43.86"/>
  </cols>
  <sheetData>
    <row r="1">
      <c r="A1" s="1" t="s">
        <v>0</v>
      </c>
      <c r="B1" s="1" t="s">
        <v>1</v>
      </c>
    </row>
    <row r="2">
      <c r="A2" s="2" t="s">
        <v>2</v>
      </c>
      <c r="B2" s="3" t="str">
        <f>IFERROR(__xludf.DUMMYFUNCTION("GOOGLETRANSLATE(A2, ""Ar"", ""bn"")"),"রাজ্য তহবিল")</f>
        <v>রাজ্য তহবিল</v>
      </c>
    </row>
    <row r="3">
      <c r="A3" s="2" t="s">
        <v>3</v>
      </c>
      <c r="B3" s="3" t="str">
        <f>IFERROR(__xludf.DUMMYFUNCTION("GOOGLETRANSLATE(A3, ""Ar"", ""bn"")"),"ব্যাংক")</f>
        <v>ব্যাংক</v>
      </c>
    </row>
    <row r="4">
      <c r="A4" s="2" t="s">
        <v>4</v>
      </c>
      <c r="B4" s="3" t="str">
        <f>IFERROR(__xludf.DUMMYFUNCTION("GOOGLETRANSLATE(A4, ""Ar"", ""bn"")"),"ব্যাংক")</f>
        <v>ব্যাংক</v>
      </c>
    </row>
    <row r="5">
      <c r="A5" s="2" t="s">
        <v>5</v>
      </c>
      <c r="B5" s="3" t="str">
        <f>IFERROR(__xludf.DUMMYFUNCTION("GOOGLETRANSLATE(A5, ""Ar"", ""bn"")"),"বিশ্বব্যাংকের")</f>
        <v>বিশ্বব্যাংকের</v>
      </c>
    </row>
    <row r="6">
      <c r="A6" s="2" t="s">
        <v>6</v>
      </c>
      <c r="B6" s="3" t="str">
        <f>IFERROR(__xludf.DUMMYFUNCTION("GOOGLETRANSLATE(A6, ""Ar"", ""bn"")"),"বছরের জন্য বাজেট")</f>
        <v>বছরের জন্য বাজেট</v>
      </c>
    </row>
    <row r="7">
      <c r="A7" s="2" t="s">
        <v>7</v>
      </c>
      <c r="B7" s="3" t="str">
        <f>IFERROR(__xludf.DUMMYFUNCTION("GOOGLETRANSLATE(A7, ""Ar"", ""bn"")"),"বাজেট বছর")</f>
        <v>বাজেট বছর</v>
      </c>
    </row>
    <row r="8">
      <c r="A8" s="2" t="s">
        <v>8</v>
      </c>
      <c r="B8" s="3" t="str">
        <f>IFERROR(__xludf.DUMMYFUNCTION("GOOGLETRANSLATE(A8, ""Ar"", ""bn"")"),"সাধারণ বাজেট")</f>
        <v>সাধারণ বাজেট</v>
      </c>
    </row>
    <row r="9">
      <c r="A9" s="2" t="s">
        <v>9</v>
      </c>
      <c r="B9" s="3" t="str">
        <f>IFERROR(__xludf.DUMMYFUNCTION("GOOGLETRANSLATE(A9, ""Ar"", ""bn"")"),"ব্যাংক")</f>
        <v>ব্যাংক</v>
      </c>
    </row>
    <row r="10">
      <c r="A10" s="2" t="s">
        <v>10</v>
      </c>
      <c r="B10" s="3" t="str">
        <f>IFERROR(__xludf.DUMMYFUNCTION("GOOGLETRANSLATE(A10, ""Ar"", ""bn"")"),"তেল")</f>
        <v>তেল</v>
      </c>
    </row>
    <row r="11">
      <c r="A11" s="2" t="s">
        <v>11</v>
      </c>
      <c r="B11" s="3" t="str">
        <f>IFERROR(__xludf.DUMMYFUNCTION("GOOGLETRANSLATE(A11, ""Ar"", ""bn"")"),"তেল-জন্য-খাদ্য")</f>
        <v>তেল-জন্য-খাদ্য</v>
      </c>
    </row>
    <row r="12">
      <c r="A12" s="2" t="s">
        <v>12</v>
      </c>
      <c r="B12" s="3" t="str">
        <f>IFERROR(__xludf.DUMMYFUNCTION("GOOGLETRANSLATE(A12, ""Ar"", ""bn"")"),"বিষণ্ণতা")</f>
        <v>বিষণ্ণতা</v>
      </c>
    </row>
    <row r="13">
      <c r="A13" s="2" t="s">
        <v>13</v>
      </c>
      <c r="B13" s="3" t="str">
        <f>IFERROR(__xludf.DUMMYFUNCTION("GOOGLETRANSLATE(A13, ""Ar"", ""bn"")"),"অর্থনৈতিক পতন")</f>
        <v>অর্থনৈতিক পতন</v>
      </c>
    </row>
    <row r="14">
      <c r="A14" s="2" t="s">
        <v>14</v>
      </c>
      <c r="B14" s="3" t="str">
        <f>IFERROR(__xludf.DUMMYFUNCTION("GOOGLETRANSLATE(A14, ""Ar"", ""bn"")"),"আধিভৌতিক লোকসান")</f>
        <v>আধিভৌতিক লোকসান</v>
      </c>
    </row>
    <row r="15">
      <c r="A15" s="2" t="s">
        <v>15</v>
      </c>
      <c r="B15" s="3" t="str">
        <f>IFERROR(__xludf.DUMMYFUNCTION("GOOGLETRANSLATE(A15, ""Ar"", ""bn"")"),"ব্যয়বহুল দাম")</f>
        <v>ব্যয়বহুল দাম</v>
      </c>
    </row>
    <row r="16">
      <c r="A16" s="2" t="s">
        <v>16</v>
      </c>
      <c r="B16" s="3" t="str">
        <f>IFERROR(__xludf.DUMMYFUNCTION("GOOGLETRANSLATE(A16, ""Ar"", ""bn"")"),"উচ্চ মূল্য")</f>
        <v>উচ্চ মূল্য</v>
      </c>
    </row>
    <row r="17">
      <c r="A17" s="2" t="s">
        <v>17</v>
      </c>
      <c r="B17" s="3" t="str">
        <f>IFERROR(__xludf.DUMMYFUNCTION("GOOGLETRANSLATE(A17, ""Ar"", ""bn"")"),"করের")</f>
        <v>করের</v>
      </c>
    </row>
    <row r="18">
      <c r="A18" s="2" t="s">
        <v>18</v>
      </c>
      <c r="B18" s="3" t="str">
        <f>IFERROR(__xludf.DUMMYFUNCTION("GOOGLETRANSLATE(A18, ""Ar"", ""bn"")"),"কর")</f>
        <v>কর</v>
      </c>
    </row>
    <row r="19">
      <c r="A19" s="2" t="s">
        <v>19</v>
      </c>
      <c r="B19" s="3" t="str">
        <f>IFERROR(__xludf.DUMMYFUNCTION("GOOGLETRANSLATE(A19, ""Ar"", ""bn"")"),"বিক্রয়")</f>
        <v>বিক্রয়</v>
      </c>
    </row>
    <row r="20">
      <c r="A20" s="2" t="s">
        <v>20</v>
      </c>
      <c r="B20" s="3" t="str">
        <f>IFERROR(__xludf.DUMMYFUNCTION("GOOGLETRANSLATE(A20, ""Ar"", ""bn"")"),"দায়")</f>
        <v>দায়</v>
      </c>
    </row>
    <row r="21">
      <c r="A21" s="2" t="s">
        <v>21</v>
      </c>
      <c r="B21" s="3" t="str">
        <f>IFERROR(__xludf.DUMMYFUNCTION("GOOGLETRANSLATE(A21, ""Ar"", ""bn"")"),"অর্থায়ন")</f>
        <v>অর্থায়ন</v>
      </c>
    </row>
    <row r="22">
      <c r="A22" s="2" t="s">
        <v>22</v>
      </c>
      <c r="B22" s="3" t="str">
        <f>IFERROR(__xludf.DUMMYFUNCTION("GOOGLETRANSLATE(A22, ""Ar"", ""bn"")"),"রাজধানী")</f>
        <v>রাজধানী</v>
      </c>
    </row>
    <row r="23">
      <c r="A23" s="2" t="s">
        <v>23</v>
      </c>
      <c r="B23" s="3" t="str">
        <f>IFERROR(__xludf.DUMMYFUNCTION("GOOGLETRANSLATE(A23, ""Ar"", ""bn"")"),"আর্থিক ঋণ")</f>
        <v>আর্থিক ঋণ</v>
      </c>
    </row>
    <row r="24">
      <c r="A24" s="2" t="s">
        <v>24</v>
      </c>
      <c r="B24" s="3" t="str">
        <f>IFERROR(__xludf.DUMMYFUNCTION("GOOGLETRANSLATE(A24, ""Ar"", ""bn"")"),"আর্থিক ঋণ")</f>
        <v>আর্থিক ঋণ</v>
      </c>
    </row>
    <row r="25">
      <c r="A25" s="2" t="s">
        <v>25</v>
      </c>
      <c r="B25" s="3" t="str">
        <f>IFERROR(__xludf.DUMMYFUNCTION("GOOGLETRANSLATE(A25, ""Ar"", ""bn"")"),"বেতন")</f>
        <v>বেতন</v>
      </c>
    </row>
    <row r="26">
      <c r="A26" s="2" t="s">
        <v>26</v>
      </c>
      <c r="B26" s="3" t="str">
        <f>IFERROR(__xludf.DUMMYFUNCTION("GOOGLETRANSLATE(A26, ""Ar"", ""bn"")"),"মাইনে")</f>
        <v>মাইনে</v>
      </c>
    </row>
    <row r="27">
      <c r="A27" s="2" t="s">
        <v>27</v>
      </c>
      <c r="B27" s="3" t="str">
        <f>IFERROR(__xludf.DUMMYFUNCTION("GOOGLETRANSLATE(A27, ""Ar"", ""bn"")"),"অতিরিক্ত")</f>
        <v>অতিরিক্ত</v>
      </c>
    </row>
    <row r="28">
      <c r="A28" s="2" t="s">
        <v>28</v>
      </c>
      <c r="B28" s="3" t="str">
        <f>IFERROR(__xludf.DUMMYFUNCTION("GOOGLETRANSLATE(A28, ""Ar"", ""bn"")"),"তেলের মজুদ")</f>
        <v>তেলের মজুদ</v>
      </c>
    </row>
    <row r="29">
      <c r="A29" s="2" t="s">
        <v>29</v>
      </c>
      <c r="B29" s="3" t="str">
        <f>IFERROR(__xludf.DUMMYFUNCTION("GOOGLETRANSLATE(A29, ""Ar"", ""bn"")"),"Voyd ব্যাংক")</f>
        <v>Voyd ব্যাংক</v>
      </c>
    </row>
    <row r="30">
      <c r="A30" s="2" t="s">
        <v>30</v>
      </c>
      <c r="B30" s="3" t="str">
        <f>IFERROR(__xludf.DUMMYFUNCTION("GOOGLETRANSLATE(A30, ""Ar"", ""bn"")"),"Voyd ব্যাংকিং")</f>
        <v>Voyd ব্যাংকিং</v>
      </c>
    </row>
    <row r="31">
      <c r="A31" s="2" t="s">
        <v>31</v>
      </c>
      <c r="B31" s="3" t="str">
        <f>IFERROR(__xludf.DUMMYFUNCTION("GOOGLETRANSLATE(A31, ""Ar"", ""bn"")"),"Businesse")</f>
        <v>Businesse</v>
      </c>
    </row>
    <row r="32">
      <c r="A32" s="2" t="s">
        <v>32</v>
      </c>
      <c r="B32" s="3" t="str">
        <f>IFERROR(__xludf.DUMMYFUNCTION("GOOGLETRANSLATE(A32, ""Ar"", ""bn"")"),"আর Zayv")</f>
        <v>আর Zayv</v>
      </c>
    </row>
    <row r="33">
      <c r="A33" s="2" t="s">
        <v>33</v>
      </c>
      <c r="B33" s="3" t="str">
        <f>IFERROR(__xludf.DUMMYFUNCTION("GOOGLETRANSLATE(A33, ""Ar"", ""bn"")"),"ক্রিয়া")</f>
        <v>ক্রিয়া</v>
      </c>
    </row>
    <row r="34">
      <c r="A34" s="2" t="s">
        <v>34</v>
      </c>
      <c r="B34" s="3" t="str">
        <f>IFERROR(__xludf.DUMMYFUNCTION("GOOGLETRANSLATE(A34, ""Ar"", ""bn"")"),"ব্যবসায়ী")</f>
        <v>ব্যবসায়ী</v>
      </c>
    </row>
    <row r="35">
      <c r="A35" s="2" t="s">
        <v>35</v>
      </c>
      <c r="B35" s="3" t="str">
        <f>IFERROR(__xludf.DUMMYFUNCTION("GOOGLETRANSLATE(A35, ""Ar"", ""bn"")"),"ব্যবসা পুরুষদের")</f>
        <v>ব্যবসা পুরুষদের</v>
      </c>
    </row>
    <row r="36">
      <c r="A36" s="2" t="s">
        <v>36</v>
      </c>
      <c r="B36" s="3" t="str">
        <f>IFERROR(__xludf.DUMMYFUNCTION("GOOGLETRANSLATE(A36, ""Ar"", ""bn"")"),"গণপূর্ত")</f>
        <v>গণপূর্ত</v>
      </c>
    </row>
    <row r="37">
      <c r="A37" s="2" t="s">
        <v>37</v>
      </c>
      <c r="B37" s="3" t="str">
        <f>IFERROR(__xludf.DUMMYFUNCTION("GOOGLETRANSLATE(A37, ""Ar"", ""bn"")"),"কোমল")</f>
        <v>কোমল</v>
      </c>
    </row>
    <row r="38">
      <c r="A38" s="2" t="s">
        <v>38</v>
      </c>
      <c r="B38" s="3" t="str">
        <f>IFERROR(__xludf.DUMMYFUNCTION("GOOGLETRANSLATE(A38, ""Ar"", ""bn"")"),"কোম্পানি")</f>
        <v>কোম্পানি</v>
      </c>
    </row>
    <row r="39">
      <c r="A39" s="2" t="s">
        <v>39</v>
      </c>
      <c r="B39" s="3" t="str">
        <f>IFERROR(__xludf.DUMMYFUNCTION("GOOGLETRANSLATE(A39, ""Ar"", ""bn"")"),"একটি প্রতিষ্ঠান")</f>
        <v>একটি প্রতিষ্ঠান</v>
      </c>
    </row>
    <row r="40">
      <c r="A40" s="2" t="s">
        <v>40</v>
      </c>
      <c r="B40" s="3" t="str">
        <f>IFERROR(__xludf.DUMMYFUNCTION("GOOGLETRANSLATE(A40, ""Ar"", ""bn"")"),"বিনিয়োগ")</f>
        <v>বিনিয়োগ</v>
      </c>
    </row>
    <row r="41">
      <c r="A41" s="2" t="s">
        <v>41</v>
      </c>
      <c r="B41" s="3" t="str">
        <f>IFERROR(__xludf.DUMMYFUNCTION("GOOGLETRANSLATE(A41, ""Ar"", ""bn"")"),"বিনিয়োগকারী")</f>
        <v>বিনিয়োগকারী</v>
      </c>
    </row>
    <row r="42">
      <c r="A42" s="2" t="s">
        <v>42</v>
      </c>
      <c r="B42" s="3" t="str">
        <f>IFERROR(__xludf.DUMMYFUNCTION("GOOGLETRANSLATE(A42, ""Ar"", ""bn"")"),"বাড়াতে মূল্য")</f>
        <v>বাড়াতে মূল্য</v>
      </c>
    </row>
    <row r="43">
      <c r="A43" s="2" t="s">
        <v>43</v>
      </c>
      <c r="B43" s="3" t="str">
        <f>IFERROR(__xludf.DUMMYFUNCTION("GOOGLETRANSLATE(A43, ""Ar"", ""bn"")"),"ডেরিভেটিভস-তেল")</f>
        <v>ডেরিভেটিভস-তেল</v>
      </c>
    </row>
    <row r="44">
      <c r="A44" s="2" t="s">
        <v>44</v>
      </c>
      <c r="B44" s="3" t="str">
        <f>IFERROR(__xludf.DUMMYFUNCTION("GOOGLETRANSLATE(A44, ""Ar"", ""bn"")"),"তৈলজাত পণ্য")</f>
        <v>তৈলজাত পণ্য</v>
      </c>
    </row>
    <row r="45">
      <c r="A45" s="2" t="s">
        <v>45</v>
      </c>
      <c r="B45" s="3" t="str">
        <f>IFERROR(__xludf.DUMMYFUNCTION("GOOGLETRANSLATE(A45, ""Ar"", ""bn"")"),"আন্তর্জাতিক মুদ্রা তহবিল")</f>
        <v>আন্তর্জাতিক মুদ্রা তহবিল</v>
      </c>
    </row>
    <row r="46">
      <c r="A46" s="2" t="s">
        <v>46</v>
      </c>
      <c r="B46" s="3" t="str">
        <f>IFERROR(__xludf.DUMMYFUNCTION("GOOGLETRANSLATE(A46, ""Ar"", ""bn"")"),"কেন্দ্রীয় ব্যাংক")</f>
        <v>কেন্দ্রীয় ব্যাংক</v>
      </c>
    </row>
    <row r="47">
      <c r="A47" s="2" t="s">
        <v>47</v>
      </c>
      <c r="B47" s="3" t="str">
        <f>IFERROR(__xludf.DUMMYFUNCTION("GOOGLETRANSLATE(A47, ""Ar"", ""bn"")"),"এক্সচেঞ্জ দাম")</f>
        <v>এক্সচেঞ্জ দাম</v>
      </c>
    </row>
    <row r="48">
      <c r="A48" s="2" t="s">
        <v>48</v>
      </c>
      <c r="B48" s="3" t="str">
        <f>IFERROR(__xludf.DUMMYFUNCTION("GOOGLETRANSLATE(A48, ""Ar"", ""bn"")"),"বিনিময় হার")</f>
        <v>বিনিময় হার</v>
      </c>
    </row>
    <row r="49">
      <c r="A49" s="2" t="s">
        <v>49</v>
      </c>
      <c r="B49" s="3" t="str">
        <f>IFERROR(__xludf.DUMMYFUNCTION("GOOGLETRANSLATE(A49, ""Ar"", ""bn"")"),"অর্থনৈতিক সমর্থন")</f>
        <v>অর্থনৈতিক সমর্থন</v>
      </c>
    </row>
    <row r="50">
      <c r="A50" s="2" t="s">
        <v>50</v>
      </c>
      <c r="B50" s="3" t="str">
        <f>IFERROR(__xludf.DUMMYFUNCTION("GOOGLETRANSLATE(A50, ""Ar"", ""bn"")"),"অর্থনৈতিক সমর্থন")</f>
        <v>অর্থনৈতিক সমর্থন</v>
      </c>
    </row>
    <row r="51">
      <c r="A51" s="2" t="s">
        <v>51</v>
      </c>
      <c r="B51" s="3" t="str">
        <f>IFERROR(__xludf.DUMMYFUNCTION("GOOGLETRANSLATE(A51, ""Ar"", ""bn"")"),"শীর্ষ businesse")</f>
        <v>শীর্ষ businesse</v>
      </c>
    </row>
    <row r="52">
      <c r="A52" s="2" t="s">
        <v>52</v>
      </c>
      <c r="B52" s="3" t="str">
        <f>IFERROR(__xludf.DUMMYFUNCTION("GOOGLETRANSLATE(A52, ""Ar"", ""bn"")"),"বাস্তব এস্টেটে")</f>
        <v>বাস্তব এস্টেটে</v>
      </c>
    </row>
    <row r="53">
      <c r="A53" s="2" t="s">
        <v>53</v>
      </c>
      <c r="B53" s="3" t="str">
        <f>IFERROR(__xludf.DUMMYFUNCTION("GOOGLETRANSLATE(A53, ""Ar"", ""bn"")"),"নির্মাণ ঠিকাদারি")</f>
        <v>নির্মাণ ঠিকাদারি</v>
      </c>
    </row>
    <row r="54">
      <c r="A54" s="2" t="s">
        <v>54</v>
      </c>
      <c r="B54" s="3" t="str">
        <f>IFERROR(__xludf.DUMMYFUNCTION("GOOGLETRANSLATE(A54, ""Ar"", ""bn"")"),"দরপত্র")</f>
        <v>দরপত্র</v>
      </c>
    </row>
    <row r="55">
      <c r="A55" s="2" t="s">
        <v>55</v>
      </c>
      <c r="B55" s="3" t="str">
        <f>IFERROR(__xludf.DUMMYFUNCTION("GOOGLETRANSLATE(A55, ""Ar"", ""bn"")"),"আর্থিক দুর্নীতি")</f>
        <v>আর্থিক দুর্নীতি</v>
      </c>
    </row>
    <row r="56">
      <c r="A56" s="2" t="s">
        <v>56</v>
      </c>
      <c r="B56" s="3" t="str">
        <f>IFERROR(__xludf.DUMMYFUNCTION("GOOGLETRANSLATE(A56, ""Ar"", ""bn"")"),"প্রশাসনিক দুর্নীতি")</f>
        <v>প্রশাসনিক দুর্নীতি</v>
      </c>
    </row>
    <row r="57">
      <c r="A57" s="2" t="s">
        <v>57</v>
      </c>
      <c r="B57" s="3" t="str">
        <f>IFERROR(__xludf.DUMMYFUNCTION("GOOGLETRANSLATE(A57, ""Ar"", ""bn"")"),"জনসাধারণের অর্থের লুটপাট")</f>
        <v>জনসাধারণের অর্থের লুটপাট</v>
      </c>
    </row>
    <row r="58">
      <c r="A58" s="2" t="s">
        <v>58</v>
      </c>
      <c r="B58" s="3" t="str">
        <f>IFERROR(__xludf.DUMMYFUNCTION("GOOGLETRANSLATE(A58, ""Ar"", ""bn"")"),"জনগণের অর্থ লুটপাটের")</f>
        <v>জনগণের অর্থ লুটপাটের</v>
      </c>
    </row>
    <row r="59">
      <c r="A59" s="2" t="s">
        <v>59</v>
      </c>
      <c r="B59" s="3" t="str">
        <f>IFERROR(__xludf.DUMMYFUNCTION("GOOGLETRANSLATE(A59, ""Ar"", ""bn"")"),"ব্যাংক")</f>
        <v>ব্যাংক</v>
      </c>
    </row>
    <row r="60">
      <c r="A60" s="2" t="s">
        <v>9</v>
      </c>
      <c r="B60" s="3" t="str">
        <f>IFERROR(__xludf.DUMMYFUNCTION("GOOGLETRANSLATE(A60, ""Ar"", ""bn"")"),"ব্যাংক")</f>
        <v>ব্যাংক</v>
      </c>
    </row>
    <row r="61">
      <c r="A61" s="2" t="s">
        <v>60</v>
      </c>
      <c r="B61" s="3" t="str">
        <f>IFERROR(__xludf.DUMMYFUNCTION("GOOGLETRANSLATE(A61, ""Ar"", ""bn"")"),"চিতান")</f>
        <v>চিতান</v>
      </c>
    </row>
    <row r="62">
      <c r="A62" s="2" t="s">
        <v>61</v>
      </c>
      <c r="B62" s="3" t="str">
        <f>IFERROR(__xludf.DUMMYFUNCTION("GOOGLETRANSLATE(A62, ""Ar"", ""bn"")"),"প্রাইভেটাইজেশন")</f>
        <v>প্রাইভেটাইজেশন</v>
      </c>
    </row>
    <row r="63">
      <c r="A63" s="2" t="s">
        <v>62</v>
      </c>
      <c r="B63" s="3" t="str">
        <f>IFERROR(__xludf.DUMMYFUNCTION("GOOGLETRANSLATE(A63, ""Ar"", ""bn"")"),"বাণিজ্যিক বিনিময়")</f>
        <v>বাণিজ্যিক বিনিময়</v>
      </c>
    </row>
    <row r="64">
      <c r="A64" s="2" t="s">
        <v>63</v>
      </c>
      <c r="B64" s="3" t="str">
        <f>IFERROR(__xludf.DUMMYFUNCTION("GOOGLETRANSLATE(A64, ""Ar"", ""bn"")"),"বাণিজ্য")</f>
        <v>বাণিজ্য</v>
      </c>
    </row>
    <row r="65">
      <c r="A65" s="2" t="s">
        <v>64</v>
      </c>
      <c r="B65" s="3" t="str">
        <f>IFERROR(__xludf.DUMMYFUNCTION("GOOGLETRANSLATE(A65, ""Ar"", ""bn"")"),"মুদ্রা")</f>
        <v>মুদ্রা</v>
      </c>
    </row>
    <row r="66">
      <c r="A66" s="2" t="s">
        <v>65</v>
      </c>
      <c r="B66" s="3" t="str">
        <f>IFERROR(__xludf.DUMMYFUNCTION("GOOGLETRANSLATE(A66, ""Ar"", ""bn"")"),"মুদ্রা")</f>
        <v>মুদ্রা</v>
      </c>
    </row>
    <row r="67">
      <c r="A67" s="2" t="s">
        <v>66</v>
      </c>
      <c r="B67" s="3" t="str">
        <f>IFERROR(__xludf.DUMMYFUNCTION("GOOGLETRANSLATE(A67, ""Ar"", ""bn"")"),"বিশ্ব অর্থনীতি")</f>
        <v>বিশ্ব অর্থনীতি</v>
      </c>
    </row>
    <row r="68">
      <c r="A68" s="2" t="s">
        <v>67</v>
      </c>
      <c r="B68" s="3" t="str">
        <f>IFERROR(__xludf.DUMMYFUNCTION("GOOGLETRANSLATE(A68, ""Ar"", ""bn"")"),"বিশ্ব অর্থনীতি")</f>
        <v>বিশ্ব অর্থনীতি</v>
      </c>
    </row>
    <row r="69">
      <c r="A69" s="2" t="s">
        <v>68</v>
      </c>
      <c r="B69" s="3" t="str">
        <f>IFERROR(__xludf.DUMMYFUNCTION("GOOGLETRANSLATE(A69, ""Ar"", ""bn"")"),"শিল্পোন্নত দেশগুলোর")</f>
        <v>শিল্পোন্নত দেশগুলোর</v>
      </c>
    </row>
    <row r="70">
      <c r="A70" s="2" t="s">
        <v>69</v>
      </c>
      <c r="B70" s="3" t="str">
        <f>IFERROR(__xludf.DUMMYFUNCTION("GOOGLETRANSLATE(A70, ""Ar"", ""bn"")"),"দোকান")</f>
        <v>দোকান</v>
      </c>
    </row>
    <row r="71">
      <c r="A71" s="2" t="s">
        <v>70</v>
      </c>
      <c r="B71" s="3" t="str">
        <f>IFERROR(__xludf.DUMMYFUNCTION("GOOGLETRANSLATE(A71, ""Ar"", ""bn"")"),"দোকান")</f>
        <v>দোকান</v>
      </c>
    </row>
    <row r="72">
      <c r="A72" s="2" t="s">
        <v>53</v>
      </c>
      <c r="B72" s="3" t="str">
        <f>IFERROR(__xludf.DUMMYFUNCTION("GOOGLETRANSLATE(A72, ""Ar"", ""bn"")"),"নির্মাণ ঠিকাদারি")</f>
        <v>নির্মাণ ঠিকাদারি</v>
      </c>
    </row>
    <row r="73">
      <c r="A73" s="2" t="s">
        <v>71</v>
      </c>
      <c r="B73" s="3" t="str">
        <f>IFERROR(__xludf.DUMMYFUNCTION("GOOGLETRANSLATE(A73, ""Ar"", ""bn"")"),"সম্ভাব্যতা সমীক্ষা")</f>
        <v>সম্ভাব্যতা সমীক্ষা</v>
      </c>
    </row>
    <row r="74">
      <c r="A74" s="2" t="s">
        <v>72</v>
      </c>
      <c r="B74" s="3" t="str">
        <f>IFERROR(__xludf.DUMMYFUNCTION("GOOGLETRANSLATE(A74, ""Ar"", ""bn"")"),"সম্ভাব্যতা businesse")</f>
        <v>সম্ভাব্যতা businesse</v>
      </c>
    </row>
    <row r="75">
      <c r="A75" s="2" t="s">
        <v>73</v>
      </c>
      <c r="B75" s="3" t="str">
        <f>IFERROR(__xludf.DUMMYFUNCTION("GOOGLETRANSLATE(A75, ""Ar"", ""bn"")"),"সম্ভাব্যতা")</f>
        <v>সম্ভাব্যতা</v>
      </c>
    </row>
    <row r="76">
      <c r="A76" s="2" t="s">
        <v>38</v>
      </c>
      <c r="B76" s="3" t="str">
        <f>IFERROR(__xludf.DUMMYFUNCTION("GOOGLETRANSLATE(A76, ""Ar"", ""bn"")"),"কোম্পানি")</f>
        <v>কোম্পানি</v>
      </c>
    </row>
    <row r="77">
      <c r="A77" s="2" t="s">
        <v>74</v>
      </c>
      <c r="B77" s="3" t="str">
        <f>IFERROR(__xludf.DUMMYFUNCTION("GOOGLETRANSLATE(A77, ""Ar"", ""bn"")"),"শেয়ার কোম্পানির")</f>
        <v>শেয়ার কোম্পানির</v>
      </c>
    </row>
    <row r="78">
      <c r="A78" s="2" t="s">
        <v>75</v>
      </c>
      <c r="B78" s="3" t="str">
        <f>IFERROR(__xludf.DUMMYFUNCTION("GOOGLETRANSLATE(A78, ""Ar"", ""bn"")"),"যৌথ মুলধনী কোম্পানি")</f>
        <v>যৌথ মুলধনী কোম্পানি</v>
      </c>
    </row>
    <row r="79">
      <c r="A79" s="2" t="s">
        <v>76</v>
      </c>
      <c r="B79" s="3" t="str">
        <f>IFERROR(__xludf.DUMMYFUNCTION("GOOGLETRANSLATE(A79, ""Ar"", ""bn"")"),"অর্থনৈতিক সংকট")</f>
        <v>অর্থনৈতিক সংকট</v>
      </c>
    </row>
    <row r="80">
      <c r="A80" s="2" t="s">
        <v>77</v>
      </c>
      <c r="B80" s="3" t="str">
        <f>IFERROR(__xludf.DUMMYFUNCTION("GOOGLETRANSLATE(A80, ""Ar"", ""bn"")"),"অর্থনৈতিক সংকট")</f>
        <v>অর্থনৈতিক সংকট</v>
      </c>
    </row>
    <row r="81">
      <c r="A81" s="2" t="s">
        <v>78</v>
      </c>
      <c r="B81" s="3" t="str">
        <f>IFERROR(__xludf.DUMMYFUNCTION("GOOGLETRANSLATE(A81, ""Ar"", ""bn"")"),"শারীরীক ক্ষতি")</f>
        <v>শারীরীক ক্ষতি</v>
      </c>
    </row>
    <row r="82">
      <c r="A82" s="2" t="s">
        <v>79</v>
      </c>
      <c r="B82" s="3" t="str">
        <f>IFERROR(__xludf.DUMMYFUNCTION("GOOGLETRANSLATE(A82, ""Ar"", ""bn"")"),"জাতীয় আয়")</f>
        <v>জাতীয় আয়</v>
      </c>
    </row>
    <row r="83">
      <c r="A83" s="2" t="s">
        <v>80</v>
      </c>
      <c r="B83" s="3" t="str">
        <f>IFERROR(__xludf.DUMMYFUNCTION("GOOGLETRANSLATE(A83, ""Ar"", ""bn"")"),"জাতীয় আয়")</f>
        <v>জাতীয় আয়</v>
      </c>
    </row>
    <row r="84">
      <c r="A84" s="2" t="s">
        <v>81</v>
      </c>
      <c r="B84" s="3" t="str">
        <f>IFERROR(__xludf.DUMMYFUNCTION("GOOGLETRANSLATE(A84, ""Ar"", ""bn"")"),"বিনিয়োগ")</f>
        <v>বিনিয়োগ</v>
      </c>
    </row>
    <row r="85">
      <c r="A85" s="2" t="s">
        <v>82</v>
      </c>
      <c r="B85" s="3" t="str">
        <f>IFERROR(__xludf.DUMMYFUNCTION("GOOGLETRANSLATE(A85, ""Ar"", ""bn"")"),"বিজ্ঞাপন")</f>
        <v>বিজ্ঞাপন</v>
      </c>
    </row>
    <row r="86">
      <c r="A86" s="2" t="s">
        <v>83</v>
      </c>
      <c r="B86" s="3" t="str">
        <f>IFERROR(__xludf.DUMMYFUNCTION("GOOGLETRANSLATE(A86, ""Ar"", ""bn"")"),"একাউন্ট চেক করা")</f>
        <v>একাউন্ট চেক করা</v>
      </c>
    </row>
    <row r="87">
      <c r="A87" s="2" t="s">
        <v>84</v>
      </c>
      <c r="B87" s="3" t="str">
        <f>IFERROR(__xludf.DUMMYFUNCTION("GOOGLETRANSLATE(A87, ""Ar"", ""bn"")"),"ব্যবসায়িক")</f>
        <v>ব্যবসায়িক</v>
      </c>
    </row>
    <row r="88">
      <c r="A88" s="2" t="s">
        <v>85</v>
      </c>
      <c r="B88" s="3" t="str">
        <f>IFERROR(__xludf.DUMMYFUNCTION("GOOGLETRANSLATE(A88, ""Ar"", ""bn"")"),"ভ্রমণব্যবস্থা")</f>
        <v>ভ্রমণব্যবস্থা</v>
      </c>
    </row>
    <row r="89">
      <c r="A89" s="2" t="s">
        <v>86</v>
      </c>
      <c r="B89" s="3" t="str">
        <f>IFERROR(__xludf.DUMMYFUNCTION("GOOGLETRANSLATE(A89, ""Ar"", ""bn"")"),"ব্যক্তিগত আয়")</f>
        <v>ব্যক্তিগত আয়</v>
      </c>
    </row>
    <row r="90">
      <c r="A90" s="2" t="s">
        <v>87</v>
      </c>
      <c r="B90" s="3" t="str">
        <f>IFERROR(__xludf.DUMMYFUNCTION("GOOGLETRANSLATE(A90, ""Ar"", ""bn"")"),"পারিবারিক আয়")</f>
        <v>পারিবারিক আয়</v>
      </c>
    </row>
    <row r="91">
      <c r="A91" s="2" t="s">
        <v>88</v>
      </c>
      <c r="B91" s="3" t="str">
        <f>IFERROR(__xludf.DUMMYFUNCTION("GOOGLETRANSLATE(A91, ""Ar"", ""bn"")"),"অবকাঠামো")</f>
        <v>অবকাঠামো</v>
      </c>
    </row>
    <row r="92">
      <c r="A92" s="2" t="s">
        <v>89</v>
      </c>
      <c r="B92" s="3" t="str">
        <f>IFERROR(__xludf.DUMMYFUNCTION("GOOGLETRANSLATE(A92, ""Ar"", ""bn"")"),"অবকাঠামো")</f>
        <v>অবকাঠামো</v>
      </c>
    </row>
    <row r="93">
      <c r="A93" s="2" t="s">
        <v>90</v>
      </c>
      <c r="B93" s="3" t="str">
        <f>IFERROR(__xludf.DUMMYFUNCTION("GOOGLETRANSLATE(A93, ""Ar"", ""bn"")"),"বিনিয়োগ প্রকল্প")</f>
        <v>বিনিয়োগ প্রকল্প</v>
      </c>
    </row>
    <row r="94">
      <c r="A94" s="2" t="s">
        <v>91</v>
      </c>
      <c r="B94" s="3" t="str">
        <f>IFERROR(__xludf.DUMMYFUNCTION("GOOGLETRANSLATE(A94, ""Ar"", ""bn"")"),"প্রকল্প উন্নয়ন")</f>
        <v>প্রকল্প উন্নয়ন</v>
      </c>
    </row>
    <row r="95">
      <c r="A95" s="2" t="s">
        <v>92</v>
      </c>
      <c r="B95" s="3" t="str">
        <f>IFERROR(__xludf.DUMMYFUNCTION("GOOGLETRANSLATE(A95, ""Ar"", ""bn"")"),"অর্থনৈতিক উন্নয়ন")</f>
        <v>অর্থনৈতিক উন্নয়ন</v>
      </c>
    </row>
    <row r="96">
      <c r="A96" s="2" t="s">
        <v>93</v>
      </c>
      <c r="B96" s="3" t="str">
        <f>IFERROR(__xludf.DUMMYFUNCTION("GOOGLETRANSLATE(A96, ""Ar"", ""bn"")"),"অর্থনৈতিক উন্নয়ন")</f>
        <v>অর্থনৈতিক উন্নয়ন</v>
      </c>
    </row>
    <row r="97">
      <c r="A97" s="2" t="s">
        <v>94</v>
      </c>
      <c r="B97" s="3" t="str">
        <f>IFERROR(__xludf.DUMMYFUNCTION("GOOGLETRANSLATE(A97, ""Ar"", ""bn"")"),"অর্থনৈতিক কারণের")</f>
        <v>অর্থনৈতিক কারণের</v>
      </c>
    </row>
    <row r="98">
      <c r="A98" s="2" t="s">
        <v>95</v>
      </c>
      <c r="B98" s="3" t="str">
        <f>IFERROR(__xludf.DUMMYFUNCTION("GOOGLETRANSLATE(A98, ""Ar"", ""bn"")"),"অর্থনৈতিক কারণের")</f>
        <v>অর্থনৈতিক কারণের</v>
      </c>
    </row>
    <row r="99">
      <c r="A99" s="2" t="s">
        <v>96</v>
      </c>
      <c r="B99" s="3" t="str">
        <f>IFERROR(__xludf.DUMMYFUNCTION("GOOGLETRANSLATE(A99, ""Ar"", ""bn"")"),"রপ্তানী")</f>
        <v>রপ্তানী</v>
      </c>
    </row>
    <row r="100">
      <c r="A100" s="2" t="s">
        <v>97</v>
      </c>
      <c r="B100" s="3" t="str">
        <f>IFERROR(__xludf.DUMMYFUNCTION("GOOGLETRANSLATE(A100, ""Ar"", ""bn"")"),"অর্থনৈতিক খরচ")</f>
        <v>অর্থনৈতিক খরচ</v>
      </c>
    </row>
    <row r="101">
      <c r="A101" s="2" t="s">
        <v>98</v>
      </c>
      <c r="B101" s="3" t="str">
        <f>IFERROR(__xludf.DUMMYFUNCTION("GOOGLETRANSLATE(A101, ""Ar"", ""bn"")"),"রেভিন্যুস")</f>
        <v>রেভিন্যুস</v>
      </c>
    </row>
    <row r="102">
      <c r="A102" s="2" t="s">
        <v>99</v>
      </c>
      <c r="B102" s="3" t="str">
        <f>IFERROR(__xludf.DUMMYFUNCTION("GOOGLETRANSLATE(A102, ""Ar"", ""bn"")"),"তারল্য")</f>
        <v>তারল্য</v>
      </c>
    </row>
    <row r="103">
      <c r="A103" s="2" t="s">
        <v>100</v>
      </c>
      <c r="B103" s="3" t="str">
        <f>IFERROR(__xludf.DUMMYFUNCTION("GOOGLETRANSLATE(A103, ""Ar"", ""bn"")"),"সুদের হার")</f>
        <v>সুদের হার</v>
      </c>
    </row>
    <row r="104">
      <c r="A104" s="2" t="s">
        <v>101</v>
      </c>
      <c r="B104" s="3" t="str">
        <f>IFERROR(__xludf.DUMMYFUNCTION("GOOGLETRANSLATE(A104, ""Ar"", ""bn"")"),"আর্থিক সংকট")</f>
        <v>আর্থিক সংকট</v>
      </c>
    </row>
    <row r="105">
      <c r="A105" s="2" t="s">
        <v>102</v>
      </c>
      <c r="B105" s="3" t="str">
        <f>IFERROR(__xludf.DUMMYFUNCTION("GOOGLETRANSLATE(A105, ""Ar"", ""bn"")"),"আর্থিক সংকট")</f>
        <v>আর্থিক সংকট</v>
      </c>
    </row>
    <row r="106">
      <c r="A106" s="2" t="s">
        <v>103</v>
      </c>
      <c r="B106" s="3" t="str">
        <f>IFERROR(__xludf.DUMMYFUNCTION("GOOGLETRANSLATE(A106, ""Ar"", ""bn"")"),"গ্লোবাল উৎপাদন")</f>
        <v>গ্লোবাল উৎপাদন</v>
      </c>
    </row>
    <row r="107">
      <c r="A107" s="2" t="s">
        <v>104</v>
      </c>
      <c r="B107" s="3" t="str">
        <f>IFERROR(__xludf.DUMMYFUNCTION("GOOGLETRANSLATE(A107, ""Ar"", ""bn"")"),"দেশীয় উৎপাদন")</f>
        <v>দেশীয় উৎপাদন</v>
      </c>
    </row>
    <row r="108">
      <c r="A108" s="2" t="s">
        <v>105</v>
      </c>
      <c r="B108" s="3" t="str">
        <f>IFERROR(__xludf.DUMMYFUNCTION("GOOGLETRANSLATE(A108, ""Ar"", ""bn"")"),"ক্রয় মূল্য")</f>
        <v>ক্রয় মূল্য</v>
      </c>
    </row>
    <row r="109">
      <c r="A109" s="2" t="s">
        <v>106</v>
      </c>
      <c r="B109" s="3" t="str">
        <f>IFERROR(__xludf.DUMMYFUNCTION("GOOGLETRANSLATE(A109, ""Ar"", ""bn"")"),"অর্থনৈতিক মন্দা")</f>
        <v>অর্থনৈতিক মন্দা</v>
      </c>
    </row>
    <row r="110">
      <c r="A110" s="2" t="s">
        <v>107</v>
      </c>
      <c r="B110" s="3" t="str">
        <f>IFERROR(__xludf.DUMMYFUNCTION("GOOGLETRANSLATE(A110, ""Ar"", ""bn"")"),"রিসেশন")</f>
        <v>রিসেশন</v>
      </c>
    </row>
    <row r="111">
      <c r="A111" s="2" t="s">
        <v>108</v>
      </c>
      <c r="B111" s="3" t="str">
        <f>IFERROR(__xludf.DUMMYFUNCTION("GOOGLETRANSLATE(A111, ""Ar"", ""bn"")"),"নিম্ন মূল্য মুদ্রা")</f>
        <v>নিম্ন মূল্য মুদ্রা</v>
      </c>
    </row>
    <row r="112">
      <c r="A112" s="2" t="s">
        <v>109</v>
      </c>
      <c r="B112" s="3" t="str">
        <f>IFERROR(__xludf.DUMMYFUNCTION("GOOGLETRANSLATE(A112, ""Ar"", ""bn"")"),"জিনিসপত্রের দাম বাড়ছে")</f>
        <v>জিনিসপত্রের দাম বাড়ছে</v>
      </c>
    </row>
    <row r="113">
      <c r="A113" s="2" t="s">
        <v>110</v>
      </c>
      <c r="B113" s="3" t="str">
        <f>IFERROR(__xludf.DUMMYFUNCTION("GOOGLETRANSLATE(A113, ""Ar"", ""bn"")"),"উচ্চ দাম")</f>
        <v>উচ্চ দাম</v>
      </c>
    </row>
    <row r="114">
      <c r="A114" s="2" t="s">
        <v>111</v>
      </c>
      <c r="B114" s="3" t="str">
        <f>IFERROR(__xludf.DUMMYFUNCTION("GOOGLETRANSLATE(A114, ""Ar"", ""bn"")"),"উচ্চ দাম")</f>
        <v>উচ্চ দাম</v>
      </c>
    </row>
    <row r="115">
      <c r="A115" s="2" t="s">
        <v>112</v>
      </c>
      <c r="B115" s="3" t="str">
        <f>IFERROR(__xludf.DUMMYFUNCTION("GOOGLETRANSLATE(A115, ""Ar"", ""bn"")"),"ধন")</f>
        <v>ধন</v>
      </c>
    </row>
    <row r="116">
      <c r="A116" s="2" t="s">
        <v>113</v>
      </c>
      <c r="B116" s="3" t="str">
        <f>IFERROR(__xludf.DUMMYFUNCTION("GOOGLETRANSLATE(A116, ""Ar"", ""bn"")"),"রাজধানী")</f>
        <v>রাজধানী</v>
      </c>
    </row>
    <row r="117">
      <c r="A117" s="2" t="s">
        <v>114</v>
      </c>
      <c r="B117" s="3" t="str">
        <f>IFERROR(__xludf.DUMMYFUNCTION("GOOGLETRANSLATE(A117, ""Ar"", ""bn"")"),"ক্যাপিটাল ফান্ড")</f>
        <v>ক্যাপিটাল ফান্ড</v>
      </c>
    </row>
    <row r="118">
      <c r="A118" s="2" t="s">
        <v>115</v>
      </c>
      <c r="B118" s="3" t="str">
        <f>IFERROR(__xludf.DUMMYFUNCTION("GOOGLETRANSLATE(A118, ""Ar"", ""bn"")"),"ব্যয়ের হার")</f>
        <v>ব্যয়ের হার</v>
      </c>
    </row>
    <row r="119">
      <c r="A119" s="2" t="s">
        <v>116</v>
      </c>
      <c r="B119" s="3" t="str">
        <f>IFERROR(__xludf.DUMMYFUNCTION("GOOGLETRANSLATE(A119, ""Ar"", ""bn"")"),"ব্যয়ের হার")</f>
        <v>ব্যয়ের হার</v>
      </c>
    </row>
    <row r="120">
      <c r="A120" s="2" t="s">
        <v>117</v>
      </c>
      <c r="B120" s="3" t="str">
        <f>IFERROR(__xludf.DUMMYFUNCTION("GOOGLETRANSLATE(A120, ""Ar"", ""bn"")"),"হ্রাস খরচ")</f>
        <v>হ্রাস খরচ</v>
      </c>
    </row>
    <row r="121">
      <c r="A121" s="2" t="s">
        <v>99</v>
      </c>
      <c r="B121" s="3" t="str">
        <f>IFERROR(__xludf.DUMMYFUNCTION("GOOGLETRANSLATE(A121, ""Ar"", ""bn"")"),"তারল্য")</f>
        <v>তারল্য</v>
      </c>
    </row>
    <row r="122">
      <c r="A122" s="2" t="s">
        <v>118</v>
      </c>
      <c r="B122" s="3" t="str">
        <f>IFERROR(__xludf.DUMMYFUNCTION("GOOGLETRANSLATE(A122, ""Ar"", ""bn"")"),"মুদ্রা")</f>
        <v>মুদ্রা</v>
      </c>
    </row>
    <row r="123">
      <c r="A123" s="2" t="s">
        <v>119</v>
      </c>
      <c r="B123" s="3" t="str">
        <f>IFERROR(__xludf.DUMMYFUNCTION("GOOGLETRANSLATE(A123, ""Ar"", ""bn"")"),"পুঁজিবাজার")</f>
        <v>পুঁজিবাজার</v>
      </c>
    </row>
    <row r="124">
      <c r="A124" s="2" t="s">
        <v>120</v>
      </c>
      <c r="B124" s="3" t="str">
        <f>IFERROR(__xludf.DUMMYFUNCTION("GOOGLETRANSLATE(A124, ""Ar"", ""bn"")"),"বাজার")</f>
        <v>বাজার</v>
      </c>
    </row>
    <row r="125">
      <c r="A125" s="2" t="s">
        <v>121</v>
      </c>
      <c r="B125" s="3" t="str">
        <f>IFERROR(__xludf.DUMMYFUNCTION("GOOGLETRANSLATE(A125, ""Ar"", ""bn"")"),"অর্থনৈতিক কার্যকলাপ")</f>
        <v>অর্থনৈতিক কার্যকলাপ</v>
      </c>
    </row>
    <row r="126">
      <c r="A126" s="2" t="s">
        <v>122</v>
      </c>
      <c r="B126" s="3" t="str">
        <f>IFERROR(__xludf.DUMMYFUNCTION("GOOGLETRANSLATE(A126, ""Ar"", ""bn"")"),"অর্থনৈতিক কার্যকলাপ")</f>
        <v>অর্থনৈতিক কার্যকলাপ</v>
      </c>
    </row>
    <row r="127">
      <c r="A127" s="2" t="s">
        <v>123</v>
      </c>
      <c r="B127" s="3" t="str">
        <f>IFERROR(__xludf.DUMMYFUNCTION("GOOGLETRANSLATE(A127, ""Ar"", ""bn"")"),"নগদ প্রবাহ")</f>
        <v>নগদ প্রবাহ</v>
      </c>
    </row>
    <row r="128">
      <c r="A128" s="2" t="s">
        <v>124</v>
      </c>
      <c r="B128" s="3" t="str">
        <f>IFERROR(__xludf.DUMMYFUNCTION("GOOGLETRANSLATE(A128, ""Ar"", ""bn"")"),"নগদ প্রবাহ")</f>
        <v>নগদ প্রবাহ</v>
      </c>
    </row>
    <row r="129">
      <c r="A129" s="2" t="s">
        <v>125</v>
      </c>
      <c r="B129" s="3" t="str">
        <f>IFERROR(__xludf.DUMMYFUNCTION("GOOGLETRANSLATE(A129, ""Ar"", ""bn"")"),"অর্থনৈতিক প্রবৃদ্ধি")</f>
        <v>অর্থনৈতিক প্রবৃদ্ধি</v>
      </c>
    </row>
    <row r="130">
      <c r="A130" s="2" t="s">
        <v>126</v>
      </c>
      <c r="B130" s="3" t="str">
        <f>IFERROR(__xludf.DUMMYFUNCTION("GOOGLETRANSLATE(A130, ""Ar"", ""bn"")"),"অর্থনৈতিক ফাইনান্স")</f>
        <v>অর্থনৈতিক ফাইনান্স</v>
      </c>
    </row>
    <row r="131">
      <c r="A131" s="2" t="s">
        <v>127</v>
      </c>
      <c r="B131" s="3" t="str">
        <f>IFERROR(__xludf.DUMMYFUNCTION("GOOGLETRANSLATE(A131, ""Ar"", ""bn"")"),"রাজস্ব নীতি")</f>
        <v>রাজস্ব নীতি</v>
      </c>
    </row>
    <row r="132">
      <c r="A132" s="2" t="s">
        <v>128</v>
      </c>
      <c r="B132" s="3" t="str">
        <f>IFERROR(__xludf.DUMMYFUNCTION("GOOGLETRANSLATE(A132, ""Ar"", ""bn"")"),"আর্থিক নীতি")</f>
        <v>আর্থিক নীতি</v>
      </c>
    </row>
    <row r="133">
      <c r="A133" s="2" t="s">
        <v>129</v>
      </c>
      <c r="B133" s="3" t="str">
        <f>IFERROR(__xludf.DUMMYFUNCTION("GOOGLETRANSLATE(A133, ""Ar"", ""bn"")"),"অর্থনীতিবিদরা")</f>
        <v>অর্থনীতিবিদরা</v>
      </c>
    </row>
    <row r="134">
      <c r="A134" s="2" t="s">
        <v>130</v>
      </c>
      <c r="B134" s="3" t="str">
        <f>IFERROR(__xludf.DUMMYFUNCTION("GOOGLETRANSLATE(A134, ""Ar"", ""bn"")"),"অর্থনীতিবিদরা")</f>
        <v>অর্থনীতিবিদরা</v>
      </c>
    </row>
    <row r="135">
      <c r="A135" s="2" t="s">
        <v>131</v>
      </c>
      <c r="B135" s="3" t="str">
        <f>IFERROR(__xludf.DUMMYFUNCTION("GOOGLETRANSLATE(A135, ""Ar"", ""bn"")"),"দুর্নীতি দমন")</f>
        <v>দুর্নীতি দমন</v>
      </c>
    </row>
    <row r="136">
      <c r="A136" s="2" t="s">
        <v>132</v>
      </c>
      <c r="B136" s="3" t="str">
        <f>IFERROR(__xludf.DUMMYFUNCTION("GOOGLETRANSLATE(A136, ""Ar"", ""bn"")"),"অর্থনীতি")</f>
        <v>অর্থনীতি</v>
      </c>
    </row>
    <row r="137">
      <c r="A137" s="2" t="s">
        <v>133</v>
      </c>
      <c r="B137" s="3" t="str">
        <f>IFERROR(__xludf.DUMMYFUNCTION("GOOGLETRANSLATE(A137, ""Ar"", ""bn"")"),"অর্থনৈতিক নীতি")</f>
        <v>অর্থনৈতিক নীতি</v>
      </c>
    </row>
    <row r="138">
      <c r="A138" s="2" t="s">
        <v>63</v>
      </c>
      <c r="B138" s="3" t="str">
        <f>IFERROR(__xludf.DUMMYFUNCTION("GOOGLETRANSLATE(A138, ""Ar"", ""bn"")"),"বাণিজ্য")</f>
        <v>বাণিজ্য</v>
      </c>
    </row>
    <row r="139">
      <c r="A139" s="2" t="s">
        <v>134</v>
      </c>
      <c r="B139" s="3" t="str">
        <f>IFERROR(__xludf.DUMMYFUNCTION("GOOGLETRANSLATE(A139, ""Ar"", ""bn"")"),"ক্রয় বিক্রয়")</f>
        <v>ক্রয় বিক্রয়</v>
      </c>
    </row>
    <row r="140">
      <c r="A140" s="2" t="s">
        <v>135</v>
      </c>
      <c r="B140" s="3" t="str">
        <f>IFERROR(__xludf.DUMMYFUNCTION("GOOGLETRANSLATE(A140, ""Ar"", ""bn"")"),"বাজার")</f>
        <v>বাজার</v>
      </c>
    </row>
    <row r="141">
      <c r="A141" s="2" t="s">
        <v>136</v>
      </c>
      <c r="B141" s="3" t="str">
        <f>IFERROR(__xludf.DUMMYFUNCTION("GOOGLETRANSLATE(A141, ""Ar"", ""bn"")"),"সামগ্রী")</f>
        <v>সামগ্রী</v>
      </c>
    </row>
    <row r="142">
      <c r="A142" s="2" t="s">
        <v>137</v>
      </c>
      <c r="B142" s="3" t="str">
        <f>IFERROR(__xludf.DUMMYFUNCTION("GOOGLETRANSLATE(A142, ""Ar"", ""bn"")"),"শ্রমবাজার")</f>
        <v>শ্রমবাজার</v>
      </c>
    </row>
    <row r="143">
      <c r="A143" s="2" t="s">
        <v>138</v>
      </c>
      <c r="B143" s="3" t="str">
        <f>IFERROR(__xludf.DUMMYFUNCTION("GOOGLETRANSLATE(A143, ""Ar"", ""bn"")"),"লাভজনক")</f>
        <v>লাভজনক</v>
      </c>
    </row>
    <row r="144">
      <c r="A144" s="2" t="s">
        <v>139</v>
      </c>
      <c r="B144" s="3" t="str">
        <f>IFERROR(__xludf.DUMMYFUNCTION("GOOGLETRANSLATE(A144, ""Ar"", ""bn"")"),"সেভিংস কোম্পানি")</f>
        <v>সেভিংস কোম্পানি</v>
      </c>
    </row>
    <row r="145">
      <c r="A145" s="2" t="s">
        <v>140</v>
      </c>
      <c r="B145" s="3" t="str">
        <f>IFERROR(__xludf.DUMMYFUNCTION("GOOGLETRANSLATE(A145, ""Ar"", ""bn"")"),"উত্পাদনের")</f>
        <v>উত্পাদনের</v>
      </c>
    </row>
    <row r="146">
      <c r="A146" s="2" t="s">
        <v>141</v>
      </c>
      <c r="B146" s="3" t="str">
        <f>IFERROR(__xludf.DUMMYFUNCTION("GOOGLETRANSLATE(A146, ""Ar"", ""bn"")"),"মানি বিল")</f>
        <v>মানি বিল</v>
      </c>
    </row>
    <row r="147">
      <c r="A147" s="2" t="s">
        <v>142</v>
      </c>
      <c r="B147" s="3" t="str">
        <f>IFERROR(__xludf.DUMMYFUNCTION("GOOGLETRANSLATE(A147, ""Ar"", ""bn"")"),"বেকারি")</f>
        <v>বেকারি</v>
      </c>
    </row>
    <row r="148">
      <c r="A148" s="2" t="s">
        <v>143</v>
      </c>
      <c r="B148" s="3" t="str">
        <f>IFERROR(__xludf.DUMMYFUNCTION("GOOGLETRANSLATE(A148, ""Ar"", ""bn"")"),"অর্থনৈতিক অগ্রগতি")</f>
        <v>অর্থনৈতিক অগ্রগতি</v>
      </c>
    </row>
    <row r="149">
      <c r="A149" s="2" t="s">
        <v>144</v>
      </c>
      <c r="B149" s="3" t="str">
        <f>IFERROR(__xludf.DUMMYFUNCTION("GOOGLETRANSLATE(A149, ""Ar"", ""bn"")"),"রাষ্ট্রীয়করণ")</f>
        <v>রাষ্ট্রীয়করণ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4.57"/>
    <col customWidth="1" min="2" max="2" width="44.14"/>
  </cols>
  <sheetData>
    <row r="1">
      <c r="A1" s="1" t="s">
        <v>0</v>
      </c>
      <c r="B1" s="1" t="s">
        <v>1</v>
      </c>
    </row>
    <row r="2">
      <c r="A2" s="2" t="s">
        <v>145</v>
      </c>
      <c r="B2" s="3" t="str">
        <f>IFERROR(__xludf.DUMMYFUNCTION("GOOGLETRANSLATE(A2, ""ar"", ""bn"")"),"একটি ব্যর্থ অভ্যুত্থানের")</f>
        <v>একটি ব্যর্থ অভ্যুত্থানের</v>
      </c>
    </row>
    <row r="3">
      <c r="A3" s="2" t="s">
        <v>146</v>
      </c>
      <c r="B3" s="3" t="str">
        <f>IFERROR(__xludf.DUMMYFUNCTION("GOOGLETRANSLATE(A3, ""ar"", ""bn"")"),"সেনাবাহিনী হামলা ব্যর্থ")</f>
        <v>সেনাবাহিনী হামলা ব্যর্থ</v>
      </c>
    </row>
    <row r="4">
      <c r="A4" s="2" t="s">
        <v>147</v>
      </c>
      <c r="B4" s="3" t="str">
        <f>IFERROR(__xludf.DUMMYFUNCTION("GOOGLETRANSLATE(A4, ""ar"", ""bn"")"),"বিশ্বাসযোগ্যতা অভাব")</f>
        <v>বিশ্বাসযোগ্যতা অভাব</v>
      </c>
    </row>
    <row r="5">
      <c r="A5" s="2" t="s">
        <v>148</v>
      </c>
      <c r="B5" s="3" t="str">
        <f>IFERROR(__xludf.DUMMYFUNCTION("GOOGLETRANSLATE(A5, ""ar"", ""bn"")"),"কূটনীতি নেই Altbes")</f>
        <v>কূটনীতি নেই Altbes</v>
      </c>
    </row>
    <row r="6">
      <c r="A6" s="2" t="s">
        <v>149</v>
      </c>
      <c r="B6" s="3" t="str">
        <f>IFERROR(__xludf.DUMMYFUNCTION("GOOGLETRANSLATE(A6, ""ar"", ""bn"")"),"সর্বাধিক ইয়ে পরম")</f>
        <v>সর্বাধিক ইয়ে পরম</v>
      </c>
    </row>
    <row r="7">
      <c r="A7" s="2" t="s">
        <v>150</v>
      </c>
      <c r="B7" s="3" t="str">
        <f>IFERROR(__xludf.DUMMYFUNCTION("GOOGLETRANSLATE(A7, ""ar"", ""bn"")"),"কর্তৃত্বপূর্ণ")</f>
        <v>কর্তৃত্বপূর্ণ</v>
      </c>
    </row>
    <row r="8">
      <c r="A8" s="2" t="s">
        <v>151</v>
      </c>
      <c r="B8" s="3" t="str">
        <f>IFERROR(__xludf.DUMMYFUNCTION("GOOGLETRANSLATE(A8, ""ar"", ""bn"")"),"ভোটিং থেকে বিরত")</f>
        <v>ভোটিং থেকে বিরত</v>
      </c>
    </row>
    <row r="9">
      <c r="A9" s="2" t="s">
        <v>152</v>
      </c>
      <c r="B9" s="3" t="str">
        <f>IFERROR(__xludf.DUMMYFUNCTION("GOOGLETRANSLATE(A9, ""ar"", ""bn"")"),"ক্ষমতার অপব্যবহার")</f>
        <v>ক্ষমতার অপব্যবহার</v>
      </c>
    </row>
    <row r="10">
      <c r="A10" s="2" t="s">
        <v>153</v>
      </c>
      <c r="B10" s="3" t="str">
        <f>IFERROR(__xludf.DUMMYFUNCTION("GOOGLETRANSLATE(A10, ""ar"", ""bn"")"),"রাজনৈতিক প্রভাব শোষণ")</f>
        <v>রাজনৈতিক প্রভাব শোষণ</v>
      </c>
    </row>
    <row r="11">
      <c r="A11" s="2" t="s">
        <v>154</v>
      </c>
      <c r="B11" s="3" t="str">
        <f>IFERROR(__xludf.DUMMYFUNCTION("GOOGLETRANSLATE(A11, ""ar"", ""bn"")"),"ক্ষমতার অপব্যবহার")</f>
        <v>ক্ষমতার অপব্যবহার</v>
      </c>
    </row>
    <row r="12">
      <c r="A12" s="2" t="s">
        <v>155</v>
      </c>
      <c r="B12" s="3" t="str">
        <f>IFERROR(__xludf.DUMMYFUNCTION("GOOGLETRANSLATE(A12, ""ar"", ""bn"")"),"নির্যাতনের শিকার")</f>
        <v>নির্যাতনের শিকার</v>
      </c>
    </row>
    <row r="13">
      <c r="A13" s="2" t="s">
        <v>156</v>
      </c>
      <c r="B13" s="3" t="str">
        <f>IFERROR(__xludf.DUMMYFUNCTION("GOOGLETRANSLATE(A13, ""ar"", ""bn"")"),"জোট যোগদান")</f>
        <v>জোট যোগদান</v>
      </c>
    </row>
    <row r="14">
      <c r="A14" s="2" t="s">
        <v>157</v>
      </c>
      <c r="B14" s="3" t="str">
        <f>IFERROR(__xludf.DUMMYFUNCTION("GOOGLETRANSLATE(A14, ""ar"", ""bn"")"),"রাজনৈতিক পরিস্থিতি মানিয়ে")</f>
        <v>রাজনৈতিক পরিস্থিতি মানিয়ে</v>
      </c>
    </row>
    <row r="15">
      <c r="A15" s="2" t="s">
        <v>158</v>
      </c>
      <c r="B15" s="3" t="str">
        <f>IFERROR(__xludf.DUMMYFUNCTION("GOOGLETRANSLATE(A15, ""ar"", ""bn"")"),"কূটনৈতিক মিশন বাড়ে")</f>
        <v>কূটনৈতিক মিশন বাড়ে</v>
      </c>
    </row>
    <row r="16">
      <c r="A16" s="2" t="s">
        <v>159</v>
      </c>
      <c r="B16" s="3" t="str">
        <f>IFERROR(__xludf.DUMMYFUNCTION("GOOGLETRANSLATE(A16, ""ar"", ""bn"")"),"কূটনৈতিক নিয়ম অনুযায়ী")</f>
        <v>কূটনৈতিক নিয়ম অনুযায়ী</v>
      </c>
    </row>
    <row r="17">
      <c r="A17" s="2" t="s">
        <v>160</v>
      </c>
      <c r="B17" s="3" t="str">
        <f>IFERROR(__xludf.DUMMYFUNCTION("GOOGLETRANSLATE(A17, ""ar"", ""bn"")"),"এটা তোলে চুক্তি গ্রহণ")</f>
        <v>এটা তোলে চুক্তি গ্রহণ</v>
      </c>
    </row>
    <row r="18">
      <c r="A18" s="2" t="s">
        <v>161</v>
      </c>
      <c r="B18" s="3" t="str">
        <f>IFERROR(__xludf.DUMMYFUNCTION("GOOGLETRANSLATE(A18, ""ar"", ""bn"")"),"রাজ্য প্রত্যয়িত Mpho ডি এইচ")</f>
        <v>রাজ্য প্রত্যয়িত Mpho ডি এইচ</v>
      </c>
    </row>
    <row r="19">
      <c r="A19" s="2" t="s">
        <v>162</v>
      </c>
      <c r="B19" s="3" t="str">
        <f>IFERROR(__xludf.DUMMYFUNCTION("GOOGLETRANSLATE(A19, ""ar"", ""bn"")"),"রাষ্ট্রদূত সার্টিফাইড")</f>
        <v>রাষ্ট্রদূত সার্টিফাইড</v>
      </c>
    </row>
    <row r="20">
      <c r="A20" s="2" t="s">
        <v>163</v>
      </c>
      <c r="B20" s="3" t="str">
        <f>IFERROR(__xludf.DUMMYFUNCTION("GOOGLETRANSLATE(A20, ""ar"", ""bn"")"),"Mmatmd খবর")</f>
        <v>Mmatmd খবর</v>
      </c>
    </row>
    <row r="21">
      <c r="A21" s="2" t="s">
        <v>164</v>
      </c>
      <c r="B21" s="3" t="str">
        <f>IFERROR(__xludf.DUMMYFUNCTION("GOOGLETRANSLATE(A21, ""ar"", ""bn"")"),"Amndz কূটনৈতিক মিশন")</f>
        <v>Amndz কূটনৈতিক মিশন</v>
      </c>
    </row>
    <row r="22">
      <c r="A22" s="2" t="s">
        <v>165</v>
      </c>
      <c r="B22" s="3" t="str">
        <f>IFERROR(__xludf.DUMMYFUNCTION("GOOGLETRANSLATE(A22, ""ar"", ""bn"")"),"Amhakq রাজনৈতিক উদ্দেশ্য")</f>
        <v>Amhakq রাজনৈতিক উদ্দেশ্য</v>
      </c>
    </row>
    <row r="23">
      <c r="A23" s="2" t="s">
        <v>166</v>
      </c>
      <c r="B23" s="3" t="str">
        <f>IFERROR(__xludf.DUMMYFUNCTION("GOOGLETRANSLATE(A23, ""ar"", ""bn"")"),"জাতীয়তা অর্জিত")</f>
        <v>জাতীয়তা অর্জিত</v>
      </c>
    </row>
    <row r="24">
      <c r="A24" s="2" t="s">
        <v>167</v>
      </c>
      <c r="B24" s="3" t="str">
        <f>IFERROR(__xludf.DUMMYFUNCTION("GOOGLETRANSLATE(A24, ""ar"", ""bn"")"),"অর্জিত অধিকার")</f>
        <v>অর্জিত অধিকার</v>
      </c>
    </row>
    <row r="25">
      <c r="A25" s="2" t="s">
        <v>168</v>
      </c>
      <c r="B25" s="3" t="str">
        <f>IFERROR(__xludf.DUMMYFUNCTION("GOOGLETRANSLATE(A25, ""ar"", ""bn"")"),"লাভ রাজনৈতিক জ্ঞান")</f>
        <v>লাভ রাজনৈতিক জ্ঞান</v>
      </c>
    </row>
    <row r="26">
      <c r="A26" s="2" t="s">
        <v>169</v>
      </c>
      <c r="B26" s="3" t="str">
        <f>IFERROR(__xludf.DUMMYFUNCTION("GOOGLETRANSLATE(A26, ""ar"", ""bn"")"),"আইন অনুযায়ী এটিএস")</f>
        <v>আইন অনুযায়ী এটিএস</v>
      </c>
    </row>
    <row r="27">
      <c r="A27" s="2" t="s">
        <v>170</v>
      </c>
      <c r="B27" s="3" t="str">
        <f>IFERROR(__xludf.DUMMYFUNCTION("GOOGLETRANSLATE(A27, ""ar"", ""bn"")"),"চেহারাগুলো উপর ভিত্তি করে বিচার")</f>
        <v>চেহারাগুলো উপর ভিত্তি করে বিচার</v>
      </c>
    </row>
    <row r="28">
      <c r="A28" s="2" t="s">
        <v>171</v>
      </c>
      <c r="B28" s="3" t="str">
        <f>IFERROR(__xludf.DUMMYFUNCTION("GOOGLETRANSLATE(A28, ""ar"", ""bn"")"),"একটি সরকারী ক্ষমতার এটিএস")</f>
        <v>একটি সরকারী ক্ষমতার এটিএস</v>
      </c>
    </row>
    <row r="29">
      <c r="A29" s="2" t="s">
        <v>172</v>
      </c>
      <c r="B29" s="3" t="str">
        <f>IFERROR(__xludf.DUMMYFUNCTION("GOOGLETRANSLATE(A29, ""ar"", ""bn"")"),"TS কুই সৌজন্যে")</f>
        <v>TS কুই সৌজন্যে</v>
      </c>
    </row>
    <row r="30">
      <c r="A30" s="2" t="s">
        <v>173</v>
      </c>
      <c r="B30" s="3" t="str">
        <f>IFERROR(__xludf.DUMMYFUNCTION("GOOGLETRANSLATE(A30, ""ar"", ""bn"")"),"সহকারী শাসনকর্তা")</f>
        <v>সহকারী শাসনকর্তা</v>
      </c>
    </row>
    <row r="31">
      <c r="A31" s="2" t="s">
        <v>174</v>
      </c>
      <c r="B31" s="3" t="str">
        <f>IFERROR(__xludf.DUMMYFUNCTION("GOOGLETRANSLATE(A31, ""ar"", ""bn"")"),"ভারপ্রাপ্ত মন্ত্রী")</f>
        <v>ভারপ্রাপ্ত মন্ত্রী</v>
      </c>
    </row>
    <row r="32">
      <c r="A32" s="2" t="s">
        <v>175</v>
      </c>
      <c r="B32" s="3" t="str">
        <f>IFERROR(__xludf.DUMMYFUNCTION("GOOGLETRANSLATE(A32, ""ar"", ""bn"")"),"Amudalla BH জেএইচ")</f>
        <v>Amudalla BH জেএইচ</v>
      </c>
    </row>
    <row r="33">
      <c r="A33" s="2" t="s">
        <v>176</v>
      </c>
      <c r="B33" s="3" t="str">
        <f>IFERROR(__xludf.DUMMYFUNCTION("GOOGLETRANSLATE(A33, ""ar"", ""bn"")"),"বিষয়সূচি প্রতিশ্রুতি")</f>
        <v>বিষয়সূচি প্রতিশ্রুতি</v>
      </c>
    </row>
    <row r="34">
      <c r="A34" s="2" t="s">
        <v>177</v>
      </c>
      <c r="B34" s="3" t="str">
        <f>IFERROR(__xludf.DUMMYFUNCTION("GOOGLETRANSLATE(A34, ""ar"", ""bn"")"),"কূটনৈতিক আলোচনার জন্য Amaj")</f>
        <v>কূটনৈতিক আলোচনার জন্য Amaj</v>
      </c>
    </row>
    <row r="35">
      <c r="A35" s="2" t="s">
        <v>178</v>
      </c>
      <c r="B35" s="3" t="str">
        <f>IFERROR(__xludf.DUMMYFUNCTION("GOOGLETRANSLATE(A35, ""ar"", ""bn"")"),"আমার কূটনৈতিক অবস্থান Impso")</f>
        <v>আমার কূটনৈতিক অবস্থান Impso</v>
      </c>
    </row>
    <row r="36">
      <c r="A36" s="2" t="s">
        <v>179</v>
      </c>
      <c r="B36" s="3" t="str">
        <f>IFERROR(__xludf.DUMMYFUNCTION("GOOGLETRANSLATE(A36, ""ar"", ""bn"")"),"প্রস্তাবনা বা অনুতপ্ত নে মতামত")</f>
        <v>প্রস্তাবনা বা অনুতপ্ত নে মতামত</v>
      </c>
    </row>
    <row r="37">
      <c r="A37" s="2" t="s">
        <v>180</v>
      </c>
      <c r="B37" s="3" t="str">
        <f>IFERROR(__xludf.DUMMYFUNCTION("GOOGLETRANSLATE(A37, ""ar"", ""bn"")"),"পরামর্শ")</f>
        <v>পরামর্শ</v>
      </c>
    </row>
    <row r="38">
      <c r="A38" s="2" t="s">
        <v>181</v>
      </c>
      <c r="B38" s="3" t="str">
        <f>IFERROR(__xludf.DUMMYFUNCTION("GOOGLETRANSLATE(A38, ""ar"", ""bn"")"),"জেড কূটনৈতিক প্রস্তাব গ্রহণ")</f>
        <v>জেড কূটনৈতিক প্রস্তাব গ্রহণ</v>
      </c>
    </row>
    <row r="39">
      <c r="A39" s="2" t="s">
        <v>182</v>
      </c>
      <c r="B39" s="3" t="str">
        <f>IFERROR(__xludf.DUMMYFUNCTION("GOOGLETRANSLATE(A39, ""ar"", ""bn"")"),"এটা তোলে পণ্ডিতদের মতামত নেয়")</f>
        <v>এটা তোলে পণ্ডিতদের মতামত নেয়</v>
      </c>
    </row>
    <row r="40">
      <c r="A40" s="2" t="s">
        <v>183</v>
      </c>
      <c r="B40" s="3" t="str">
        <f>IFERROR(__xludf.DUMMYFUNCTION("GOOGLETRANSLATE(A40, ""ar"", ""bn"")"),"রাজনৈতিক মতামত গ্রহণ")</f>
        <v>রাজনৈতিক মতামত গ্রহণ</v>
      </c>
    </row>
    <row r="41">
      <c r="A41" s="2" t="s">
        <v>184</v>
      </c>
      <c r="B41" s="3" t="str">
        <f>IFERROR(__xludf.DUMMYFUNCTION("GOOGLETRANSLATE(A41, ""ar"", ""bn"")"),"এটা তোলে সংখ্যাগরিষ্ঠের মতামত নেয়")</f>
        <v>এটা তোলে সংখ্যাগরিষ্ঠের মতামত নেয়</v>
      </c>
    </row>
    <row r="42">
      <c r="A42" s="2" t="s">
        <v>185</v>
      </c>
      <c r="B42" s="3" t="str">
        <f>IFERROR(__xludf.DUMMYFUNCTION("GOOGLETRANSLATE(A42, ""ar"", ""bn"")"),"মতামত বিপরীত কাউন্টার")</f>
        <v>মতামত বিপরীত কাউন্টার</v>
      </c>
    </row>
    <row r="43">
      <c r="A43" s="2" t="s">
        <v>186</v>
      </c>
      <c r="B43" s="3" t="str">
        <f>IFERROR(__xludf.DUMMYFUNCTION("GOOGLETRANSLATE(A43, ""ar"", ""bn"")"),"অ্যাডভাইসারির মতামত")</f>
        <v>অ্যাডভাইসারির মতামত</v>
      </c>
    </row>
    <row r="44">
      <c r="A44" s="2" t="s">
        <v>187</v>
      </c>
      <c r="B44" s="3" t="str">
        <f>IFERROR(__xludf.DUMMYFUNCTION("GOOGLETRANSLATE(A44, ""ar"", ""bn"")"),"অ্যাডভাইসারির শরীর")</f>
        <v>অ্যাডভাইসারির শরীর</v>
      </c>
    </row>
    <row r="45">
      <c r="A45" s="2" t="s">
        <v>188</v>
      </c>
      <c r="B45" s="3" t="str">
        <f>IFERROR(__xludf.DUMMYFUNCTION("GOOGLETRANSLATE(A45, ""ar"", ""bn"")"),"উপদেষ্টা কমিটি")</f>
        <v>উপদেষ্টা কমিটি</v>
      </c>
    </row>
    <row r="46">
      <c r="A46" s="2" t="s">
        <v>189</v>
      </c>
      <c r="B46" s="3" t="str">
        <f>IFERROR(__xludf.DUMMYFUNCTION("GOOGLETRANSLATE(A46, ""ar"", ""bn"")"),"কূটনৈতিক সম্পর্ক প্রভাবিত")</f>
        <v>কূটনৈতিক সম্পর্ক প্রভাবিত</v>
      </c>
    </row>
    <row r="47">
      <c r="A47" s="2" t="s">
        <v>190</v>
      </c>
      <c r="B47" s="3" t="str">
        <f>IFERROR(__xludf.DUMMYFUNCTION("GOOGLETRANSLATE(A47, ""ar"", ""bn"")"),"মানব অধিকার প্রভাবিত")</f>
        <v>মানব অধিকার প্রভাবিত</v>
      </c>
    </row>
    <row r="48">
      <c r="A48" s="2" t="s">
        <v>191</v>
      </c>
      <c r="B48" s="3" t="str">
        <f>IFERROR(__xludf.DUMMYFUNCTION("GOOGLETRANSLATE(A48, ""ar"", ""bn"")"),"জাতীয় স্বার্থে প্রভাব ফেলতে")</f>
        <v>জাতীয় স্বার্থে প্রভাব ফেলতে</v>
      </c>
    </row>
    <row r="49">
      <c r="A49" s="2" t="s">
        <v>192</v>
      </c>
      <c r="B49" s="3" t="str">
        <f>IFERROR(__xludf.DUMMYFUNCTION("GOOGLETRANSLATE(A49, ""ar"", ""bn"")"),"রাজনৈতিক স্বার্থে প্রভাব ফেলতে")</f>
        <v>রাজনৈতিক স্বার্থে প্রভাব ফেলতে</v>
      </c>
    </row>
    <row r="50">
      <c r="A50" s="2" t="s">
        <v>193</v>
      </c>
      <c r="B50" s="3" t="str">
        <f>IFERROR(__xludf.DUMMYFUNCTION("GOOGLETRANSLATE(A50, ""ar"", ""bn"")"),"অনুমোদনের জন্য ভোট দিন")</f>
        <v>অনুমোদনের জন্য ভোট দিন</v>
      </c>
    </row>
    <row r="51">
      <c r="A51" s="2" t="s">
        <v>194</v>
      </c>
      <c r="B51" s="3" t="str">
        <f>IFERROR(__xludf.DUMMYFUNCTION("GOOGLETRANSLATE(A51, ""ar"", ""bn"")"),"কূটনৈতিক বিরোধ প্রকোপ বৃদ্ধি")</f>
        <v>কূটনৈতিক বিরোধ প্রকোপ বৃদ্ধি</v>
      </c>
    </row>
    <row r="52">
      <c r="A52" s="2" t="s">
        <v>195</v>
      </c>
      <c r="B52" s="3" t="str">
        <f>IFERROR(__xludf.DUMMYFUNCTION("GOOGLETRANSLATE(A52, ""ar"", ""bn"")"),"কূটনৈতিক সমস্যার প্রকোপ বৃদ্ধি")</f>
        <v>কূটনৈতিক সমস্যার প্রকোপ বৃদ্ধি</v>
      </c>
    </row>
    <row r="53">
      <c r="A53" s="2" t="s">
        <v>196</v>
      </c>
      <c r="B53" s="3" t="str">
        <f>IFERROR(__xludf.DUMMYFUNCTION("GOOGLETRANSLATE(A53, ""ar"", ""bn"")"),"রাজনৈতিক পরিস্থিতির প্রকোপ বৃদ্ধি")</f>
        <v>রাজনৈতিক পরিস্থিতির প্রকোপ বৃদ্ধি</v>
      </c>
    </row>
    <row r="54">
      <c r="A54" s="2" t="s">
        <v>197</v>
      </c>
      <c r="B54" s="3" t="str">
        <f>IFERROR(__xludf.DUMMYFUNCTION("GOOGLETRANSLATE(A54, ""ar"", ""bn"")"),"আক্রমণ")</f>
        <v>আক্রমণ</v>
      </c>
    </row>
    <row r="55">
      <c r="A55" s="2" t="s">
        <v>198</v>
      </c>
      <c r="B55" s="3" t="str">
        <f>IFERROR(__xludf.DUMMYFUNCTION("GOOGLETRANSLATE(A55, ""ar"", ""bn"")"),"উত্তেজক কাজ")</f>
        <v>উত্তেজক কাজ</v>
      </c>
    </row>
    <row r="56">
      <c r="A56" s="2" t="s">
        <v>199</v>
      </c>
      <c r="B56" s="3" t="str">
        <f>IFERROR(__xludf.DUMMYFUNCTION("GOOGLETRANSLATE(A56, ""ar"", ""bn"")"),"বৈরী কূটনৈতিক অবস্থান")</f>
        <v>বৈরী কূটনৈতিক অবস্থান</v>
      </c>
    </row>
    <row r="57">
      <c r="A57" s="2" t="s">
        <v>200</v>
      </c>
      <c r="B57" s="3" t="str">
        <f>IFERROR(__xludf.DUMMYFUNCTION("GOOGLETRANSLATE(A57, ""ar"", ""bn"")"),"আক্রমনাত্মক উদ্দেশ্য")</f>
        <v>আক্রমনাত্মক উদ্দেশ্য</v>
      </c>
    </row>
    <row r="58">
      <c r="A58" s="2" t="s">
        <v>201</v>
      </c>
      <c r="B58" s="3" t="str">
        <f>IFERROR(__xludf.DUMMYFUNCTION("GOOGLETRANSLATE(A58, ""ar"", ""bn"")"),"সমঝোতার ব্যাপারে একমত")</f>
        <v>সমঝোতার ব্যাপারে একমত</v>
      </c>
    </row>
    <row r="59">
      <c r="A59" s="2" t="s">
        <v>202</v>
      </c>
      <c r="B59" s="3" t="str">
        <f>IFERROR(__xludf.DUMMYFUNCTION("GOOGLETRANSLATE(A59, ""ar"", ""bn"")"),"গুরুত্বপূর্ণ ত্রাণ")</f>
        <v>গুরুত্বপূর্ণ ত্রাণ</v>
      </c>
    </row>
    <row r="60">
      <c r="A60" s="2" t="s">
        <v>203</v>
      </c>
      <c r="B60" s="3" t="str">
        <f>IFERROR(__xludf.DUMMYFUNCTION("GOOGLETRANSLATE(A60, ""ar"", ""bn"")"),"ত্রাণ কমিটির")</f>
        <v>ত্রাণ কমিটির</v>
      </c>
    </row>
    <row r="61">
      <c r="A61" s="2" t="s">
        <v>204</v>
      </c>
      <c r="B61" s="3" t="str">
        <f>IFERROR(__xludf.DUMMYFUNCTION("GOOGLETRANSLATE(A61, ""ar"", ""bn"")"),"এয়ার যুদ্ধ")</f>
        <v>এয়ার যুদ্ধ</v>
      </c>
    </row>
    <row r="62">
      <c r="A62" s="2" t="s">
        <v>205</v>
      </c>
      <c r="B62" s="3" t="str">
        <f>IFERROR(__xludf.DUMMYFUNCTION("GOOGLETRANSLATE(A62, ""ar"", ""bn"")"),"নিরোধ জো ঞ")</f>
        <v>নিরোধ জো ঞ</v>
      </c>
    </row>
    <row r="63">
      <c r="A63" s="2" t="s">
        <v>206</v>
      </c>
      <c r="B63" s="3" t="str">
        <f>IFERROR(__xludf.DUMMYFUNCTION("GOOGLETRANSLATE(A63, ""ar"", ""bn"")"),"বৈমানিক গোলাবর্ষণ")</f>
        <v>বৈমানিক গোলাবর্ষণ</v>
      </c>
    </row>
    <row r="64">
      <c r="A64" s="2" t="s">
        <v>207</v>
      </c>
      <c r="B64" s="3" t="str">
        <f>IFERROR(__xludf.DUMMYFUNCTION("GOOGLETRANSLATE(A64, ""ar"", ""bn"")"),"এয়ার বাহিনী")</f>
        <v>এয়ার বাহিনী</v>
      </c>
    </row>
    <row r="65">
      <c r="A65" s="2" t="s">
        <v>208</v>
      </c>
      <c r="B65" s="3" t="str">
        <f>IFERROR(__xludf.DUMMYFUNCTION("GOOGLETRANSLATE(A65, ""ar"", ""bn"")"),"এয়ার অপারেশন")</f>
        <v>এয়ার অপারেশন</v>
      </c>
    </row>
    <row r="66">
      <c r="A66" s="2" t="s">
        <v>209</v>
      </c>
      <c r="B66" s="3" t="str">
        <f>IFERROR(__xludf.DUMMYFUNCTION("GOOGLETRANSLATE(A66, ""ar"", ""bn"")"),"এয়ার স্ট্রাইক")</f>
        <v>এয়ার স্ট্রাইক</v>
      </c>
    </row>
    <row r="67">
      <c r="A67" s="2" t="s">
        <v>210</v>
      </c>
      <c r="B67" s="3" t="str">
        <f>IFERROR(__xludf.DUMMYFUNCTION("GOOGLETRANSLATE(A67, ""ar"", ""bn"")"),"বিমানের নিরাপত্তা বিশেষজ্ঞরা")</f>
        <v>বিমানের নিরাপত্তা বিশেষজ্ঞরা</v>
      </c>
    </row>
    <row r="68">
      <c r="A68" s="2" t="s">
        <v>211</v>
      </c>
      <c r="B68" s="3" t="str">
        <f>IFERROR(__xludf.DUMMYFUNCTION("GOOGLETRANSLATE(A68, ""ar"", ""bn"")"),"আক্রমণ বিমান")</f>
        <v>আক্রমণ বিমান</v>
      </c>
    </row>
    <row r="69">
      <c r="A69" s="2" t="s">
        <v>212</v>
      </c>
      <c r="B69" s="3" t="str">
        <f>IFERROR(__xludf.DUMMYFUNCTION("GOOGLETRANSLATE(A69, ""ar"", ""bn"")"),"বিমান হামলার")</f>
        <v>বিমান হামলার</v>
      </c>
    </row>
    <row r="70">
      <c r="A70" s="2" t="s">
        <v>213</v>
      </c>
      <c r="B70" s="3" t="str">
        <f>IFERROR(__xludf.DUMMYFUNCTION("GOOGLETRANSLATE(A70, ""ar"", ""bn"")"),"স্ট্রেঞ্জ দেশ")</f>
        <v>স্ট্রেঞ্জ দেশ</v>
      </c>
    </row>
    <row r="71">
      <c r="A71" s="2" t="s">
        <v>214</v>
      </c>
      <c r="B71" s="3" t="str">
        <f>IFERROR(__xludf.DUMMYFUNCTION("GOOGLETRANSLATE(A71, ""ar"", ""bn"")"),"পক্ষপাত")</f>
        <v>পক্ষপাত</v>
      </c>
    </row>
    <row r="72">
      <c r="A72" s="2" t="s">
        <v>215</v>
      </c>
      <c r="B72" s="3" t="str">
        <f>IFERROR(__xludf.DUMMYFUNCTION("GOOGLETRANSLATE(A72, ""ar"", ""bn"")"),"মানুষের অধিকার সমান")</f>
        <v>মানুষের অধিকার সমান</v>
      </c>
    </row>
    <row r="73">
      <c r="A73" s="2" t="s">
        <v>216</v>
      </c>
      <c r="B73" s="3" t="str">
        <f>IFERROR(__xludf.DUMMYFUNCTION("GOOGLETRANSLATE(A73, ""ar"", ""bn"")"),"ও কর্তব্য")</f>
        <v>ও কর্তব্য</v>
      </c>
    </row>
    <row r="74">
      <c r="A74" s="2" t="s">
        <v>217</v>
      </c>
      <c r="B74" s="3" t="str">
        <f>IFERROR(__xludf.DUMMYFUNCTION("GOOGLETRANSLATE(A74, ""ar"", ""bn"")"),"লঙ্ঘনের সূত্র চিহ্নিত")</f>
        <v>লঙ্ঘনের সূত্র চিহ্নিত</v>
      </c>
    </row>
    <row r="75">
      <c r="A75" s="2" t="s">
        <v>218</v>
      </c>
      <c r="B75" s="3" t="str">
        <f>IFERROR(__xludf.DUMMYFUNCTION("GOOGLETRANSLATE(A75, ""ar"", ""bn"")"),"অনুগত বাধ্যতার")</f>
        <v>অনুগত বাধ্যতার</v>
      </c>
    </row>
    <row r="76">
      <c r="A76" s="2" t="s">
        <v>219</v>
      </c>
      <c r="B76" s="3" t="str">
        <f>IFERROR(__xludf.DUMMYFUNCTION("GOOGLETRANSLATE(A76, ""ar"", ""bn"")"),"স্বদেশে আনুগত্যের শপথ")</f>
        <v>স্বদেশে আনুগত্যের শপথ</v>
      </c>
    </row>
    <row r="77">
      <c r="A77" s="2" t="s">
        <v>220</v>
      </c>
      <c r="B77" s="3" t="str">
        <f>IFERROR(__xludf.DUMMYFUNCTION("GOOGLETRANSLATE(A77, ""ar"", ""bn"")"),"স্বদেশ সেমি গুলি আনুগত্য")</f>
        <v>স্বদেশ সেমি গুলি আনুগত্য</v>
      </c>
    </row>
    <row r="78">
      <c r="A78" s="2" t="s">
        <v>221</v>
      </c>
      <c r="B78" s="3" t="str">
        <f>IFERROR(__xludf.DUMMYFUNCTION("GOOGLETRANSLATE(A78, ""ar"", ""bn"")"),"রাষ্ট্র আনুগত্য")</f>
        <v>রাষ্ট্র আনুগত্য</v>
      </c>
    </row>
    <row r="79">
      <c r="A79" s="2" t="s">
        <v>222</v>
      </c>
      <c r="B79" s="3" t="str">
        <f>IFERROR(__xludf.DUMMYFUNCTION("GOOGLETRANSLATE(A79, ""ar"", ""bn"")"),"জোট")</f>
        <v>জোট</v>
      </c>
    </row>
    <row r="80">
      <c r="A80" s="2" t="s">
        <v>223</v>
      </c>
      <c r="B80" s="3" t="str">
        <f>IFERROR(__xludf.DUMMYFUNCTION("GOOGLETRANSLATE(A80, ""ar"", ""bn"")"),"কোয়ালিশন বাহিনীর")</f>
        <v>কোয়ালিশন বাহিনীর</v>
      </c>
    </row>
    <row r="81">
      <c r="A81" s="2" t="s">
        <v>224</v>
      </c>
      <c r="B81" s="3" t="str">
        <f>IFERROR(__xludf.DUMMYFUNCTION("GOOGLETRANSLATE(A81, ""ar"", ""bn"")"),"জোট-টাইপ চুক্তি")</f>
        <v>জোট-টাইপ চুক্তি</v>
      </c>
    </row>
    <row r="82">
      <c r="A82" s="2" t="s">
        <v>225</v>
      </c>
      <c r="B82" s="3" t="str">
        <f>IFERROR(__xludf.DUMMYFUNCTION("GOOGLETRANSLATE(A82, ""ar"", ""bn"")"),"কোয়ালিশন দেশ")</f>
        <v>কোয়ালিশন দেশ</v>
      </c>
    </row>
    <row r="83">
      <c r="A83" s="2" t="s">
        <v>226</v>
      </c>
      <c r="B83" s="3" t="str">
        <f>IFERROR(__xludf.DUMMYFUNCTION("GOOGLETRANSLATE(A83, ""ar"", ""bn"")"),"Amikd প্রশ্ন অস্ত্র")</f>
        <v>Amikd প্রশ্ন অস্ত্র</v>
      </c>
    </row>
    <row r="84">
      <c r="A84" s="2" t="s">
        <v>227</v>
      </c>
      <c r="B84" s="3" t="str">
        <f>IFERROR(__xludf.DUMMYFUNCTION("GOOGLETRANSLATE(A84, ""ar"", ""bn"")"),"রাষ্ট্রদূত")</f>
        <v>রাষ্ট্রদূত</v>
      </c>
    </row>
    <row r="85">
      <c r="A85" s="2" t="s">
        <v>228</v>
      </c>
      <c r="B85" s="3" t="str">
        <f>IFERROR(__xludf.DUMMYFUNCTION("GOOGLETRANSLATE(A85, ""ar"", ""bn"")"),"বন্দীদের পরিস্থিতির উন্নতি")</f>
        <v>বন্দীদের পরিস্থিতির উন্নতি</v>
      </c>
    </row>
    <row r="86">
      <c r="A86" s="2" t="s">
        <v>229</v>
      </c>
      <c r="B86" s="3" t="str">
        <f>IFERROR(__xludf.DUMMYFUNCTION("GOOGLETRANSLATE(A86, ""ar"", ""bn"")"),"রাজনীতিবিদরা")</f>
        <v>রাজনীতিবিদরা</v>
      </c>
    </row>
    <row r="87">
      <c r="A87" s="2" t="s">
        <v>230</v>
      </c>
      <c r="B87" s="3" t="str">
        <f>IFERROR(__xludf.DUMMYFUNCTION("GOOGLETRANSLATE(A87, ""ar"", ""bn"")"),"উদ্বাস্তুদের পরিস্থিতির উন্নতি")</f>
        <v>উদ্বাস্তুদের পরিস্থিতির উন্নতি</v>
      </c>
    </row>
    <row r="88">
      <c r="A88" s="2" t="s">
        <v>231</v>
      </c>
      <c r="B88" s="3" t="str">
        <f>IFERROR(__xludf.DUMMYFUNCTION("GOOGLETRANSLATE(A88, ""ar"", ""bn"")"),"রাজক্ষমা")</f>
        <v>রাজক্ষমা</v>
      </c>
    </row>
    <row r="89">
      <c r="A89" s="2" t="s">
        <v>232</v>
      </c>
      <c r="B89" s="3" t="str">
        <f>IFERROR(__xludf.DUMMYFUNCTION("GOOGLETRANSLATE(A89, ""ar"", ""bn"")"),"একই নিয়ম")</f>
        <v>একই নিয়ম</v>
      </c>
    </row>
    <row r="90">
      <c r="A90" s="2" t="s">
        <v>233</v>
      </c>
      <c r="B90" s="3" t="str">
        <f>IFERROR(__xludf.DUMMYFUNCTION("GOOGLETRANSLATE(A90, ""ar"", ""bn"")"),"পরিমাপের পদ্ধতি নেওয়া")</f>
        <v>পরিমাপের পদ্ধতি নেওয়া</v>
      </c>
    </row>
    <row r="91">
      <c r="A91" s="2" t="s">
        <v>234</v>
      </c>
      <c r="B91" s="3" t="str">
        <f>IFERROR(__xludf.DUMMYFUNCTION("GOOGLETRANSLATE(A91, ""ar"", ""bn"")"),"সিদ্ধান্ত")</f>
        <v>সিদ্ধান্ত</v>
      </c>
    </row>
    <row r="92">
      <c r="A92" s="2" t="s">
        <v>235</v>
      </c>
      <c r="B92" s="3" t="str">
        <f>IFERROR(__xludf.DUMMYFUNCTION("GOOGLETRANSLATE(A92, ""ar"", ""bn"")"),"Amahl আন্তর্জাতিক সমস্যার")</f>
        <v>Amahl আন্তর্জাতিক সমস্যার</v>
      </c>
    </row>
    <row r="93">
      <c r="A93" s="2" t="s">
        <v>236</v>
      </c>
      <c r="B93" s="3" t="str">
        <f>IFERROR(__xludf.DUMMYFUNCTION("GOOGLETRANSLATE(A93, ""ar"", ""bn"")"),"নৈরাজ্যবাদীরা তত্ত্ব")</f>
        <v>নৈরাজ্যবাদীরা তত্ত্ব</v>
      </c>
    </row>
    <row r="94">
      <c r="A94" s="2" t="s">
        <v>237</v>
      </c>
      <c r="B94" s="3" t="str">
        <f>IFERROR(__xludf.DUMMYFUNCTION("GOOGLETRANSLATE(A94, ""ar"", ""bn"")"),"বিশৃঙ্খল")</f>
        <v>বিশৃঙ্খল</v>
      </c>
    </row>
    <row r="95">
      <c r="A95" s="2" t="s">
        <v>238</v>
      </c>
      <c r="B95" s="3" t="str">
        <f>IFERROR(__xludf.DUMMYFUNCTION("GOOGLETRANSLATE(A95, ""ar"", ""bn"")"),"বিশৃঙ্খল সিস্টেমের নিয়ম")</f>
        <v>বিশৃঙ্খল সিস্টেমের নিয়ম</v>
      </c>
    </row>
    <row r="96">
      <c r="A96" s="2" t="s">
        <v>239</v>
      </c>
      <c r="B96" s="3" t="str">
        <f>IFERROR(__xludf.DUMMYFUNCTION("GOOGLETRANSLATE(A96, ""ar"", ""bn"")"),"বিশৃঙ্খলা")</f>
        <v>বিশৃঙ্খলা</v>
      </c>
    </row>
    <row r="97">
      <c r="A97" s="2" t="s">
        <v>240</v>
      </c>
      <c r="B97" s="3" t="str">
        <f>IFERROR(__xludf.DUMMYFUNCTION("GOOGLETRANSLATE(A97, ""ar"", ""bn"")"),"মানব জাতি ঘটিয়েছে")</f>
        <v>মানব জাতি ঘটিয়েছে</v>
      </c>
    </row>
    <row r="98">
      <c r="A98" s="2" t="s">
        <v>241</v>
      </c>
      <c r="B98" s="3" t="str">
        <f>IFERROR(__xludf.DUMMYFUNCTION("GOOGLETRANSLATE(A98, ""ar"", ""bn"")"),"মানুষের উন্মূলন")</f>
        <v>মানুষের উন্মূলন</v>
      </c>
    </row>
    <row r="99">
      <c r="A99" s="2" t="s">
        <v>242</v>
      </c>
      <c r="B99" s="3" t="str">
        <f>IFERROR(__xludf.DUMMYFUNCTION("GOOGLETRANSLATE(A99, ""ar"", ""bn"")"),"এম আমার রাজনৈতিক সিদ্ধান্তের সাথে না")</f>
        <v>এম আমার রাজনৈতিক সিদ্ধান্তের সাথে না</v>
      </c>
    </row>
    <row r="100">
      <c r="A100" s="2" t="s">
        <v>243</v>
      </c>
      <c r="B100" s="3" t="str">
        <f>IFERROR(__xludf.DUMMYFUNCTION("GOOGLETRANSLATE(A100, ""ar"", ""bn"")"),"Amaln বিজয়")</f>
        <v>Amaln বিজয়</v>
      </c>
    </row>
    <row r="101">
      <c r="A101" s="2" t="s">
        <v>244</v>
      </c>
      <c r="B101" s="3" t="str">
        <f>IFERROR(__xludf.DUMMYFUNCTION("GOOGLETRANSLATE(A101, ""ar"", ""bn"")"),"একটি বার্ষিক কূটনৈতিক প্রতিবেদন")</f>
        <v>একটি বার্ষিক কূটনৈতিক প্রতিবেদন</v>
      </c>
    </row>
    <row r="102">
      <c r="A102" s="2" t="s">
        <v>245</v>
      </c>
      <c r="B102" s="3" t="str">
        <f>IFERROR(__xludf.DUMMYFUNCTION("GOOGLETRANSLATE(A102, ""ar"", ""bn"")"),"এম-বিরোধী সাংবিধানিক")</f>
        <v>এম-বিরোধী সাংবিধানিক</v>
      </c>
    </row>
    <row r="103">
      <c r="A103" s="2" t="s">
        <v>246</v>
      </c>
      <c r="B103" s="3" t="str">
        <f>IFERROR(__xludf.DUMMYFUNCTION("GOOGLETRANSLATE(A103, ""ar"", ""bn"")"),"এম সরকার বিরোধী")</f>
        <v>এম সরকার বিরোধী</v>
      </c>
    </row>
    <row r="104">
      <c r="A104" s="2" t="s">
        <v>247</v>
      </c>
      <c r="B104" s="3" t="str">
        <f>IFERROR(__xludf.DUMMYFUNCTION("GOOGLETRANSLATE(A104, ""ar"", ""bn"")"),"ইহুদিবিদ্বেষ")</f>
        <v>ইহুদিবিদ্বেষ</v>
      </c>
    </row>
    <row r="105">
      <c r="A105" s="2" t="s">
        <v>248</v>
      </c>
      <c r="B105" s="3" t="str">
        <f>IFERROR(__xludf.DUMMYFUNCTION("GOOGLETRANSLATE(A105, ""ar"", ""bn"")"),"সম্প্রদায় প্রভাবিত প্রেরিত")</f>
        <v>সম্প্রদায় প্রভাবিত প্রেরিত</v>
      </c>
    </row>
    <row r="106">
      <c r="A106" s="2" t="s">
        <v>249</v>
      </c>
      <c r="B106" s="3" t="str">
        <f>IFERROR(__xludf.DUMMYFUNCTION("GOOGLETRANSLATE(A106, ""ar"", ""bn"")"),"সাহায্যের জন্য জিজ্ঞাসা")</f>
        <v>সাহায্যের জন্য জিজ্ঞাসা</v>
      </c>
    </row>
    <row r="107">
      <c r="A107" s="2" t="s">
        <v>250</v>
      </c>
      <c r="B107" s="3" t="str">
        <f>IFERROR(__xludf.DUMMYFUNCTION("GOOGLETRANSLATE(A107, ""ar"", ""bn"")"),"একটি যুদ্ধবিরতি জন্য একটি কল")</f>
        <v>একটি যুদ্ধবিরতি জন্য একটি কল</v>
      </c>
    </row>
    <row r="108">
      <c r="A108" s="2" t="s">
        <v>251</v>
      </c>
      <c r="B108" s="3" t="str">
        <f>IFERROR(__xludf.DUMMYFUNCTION("GOOGLETRANSLATE(A108, ""ar"", ""bn"")"),"বিক্ষোভ প্রস্তুত করে আমি")</f>
        <v>বিক্ষোভ প্রস্তুত করে আমি</v>
      </c>
    </row>
    <row r="109">
      <c r="A109" s="2" t="s">
        <v>252</v>
      </c>
      <c r="B109" s="3" t="str">
        <f>IFERROR(__xludf.DUMMYFUNCTION("GOOGLETRANSLATE(A109, ""ar"", ""bn"")"),"বাগ জরুরী পদ্ধতি ছড়িয়ে")</f>
        <v>বাগ জরুরী পদ্ধতি ছড়িয়ে</v>
      </c>
    </row>
    <row r="110">
      <c r="A110" s="2" t="s">
        <v>253</v>
      </c>
      <c r="B110" s="3" t="str">
        <f>IFERROR(__xludf.DUMMYFUNCTION("GOOGLETRANSLATE(A110, ""ar"", ""bn"")"),"আন্তর্জাতিক আইনের প্রয়োগ")</f>
        <v>আন্তর্জাতিক আইনের প্রয়োগ</v>
      </c>
    </row>
    <row r="111">
      <c r="A111" s="2" t="s">
        <v>254</v>
      </c>
      <c r="B111" s="3" t="str">
        <f>IFERROR(__xludf.DUMMYFUNCTION("GOOGLETRANSLATE(A111, ""ar"", ""bn"")"),"Amtbak আইন")</f>
        <v>Amtbak আইন</v>
      </c>
    </row>
    <row r="112">
      <c r="A112" s="2" t="s">
        <v>255</v>
      </c>
      <c r="B112" s="3" t="str">
        <f>IFERROR(__xludf.DUMMYFUNCTION("GOOGLETRANSLATE(A112, ""ar"", ""bn"")"),"নির্বাচনের নিয়োগ")</f>
        <v>নির্বাচনের নিয়োগ</v>
      </c>
    </row>
    <row r="113">
      <c r="A113" s="2" t="s">
        <v>256</v>
      </c>
      <c r="B113" s="3" t="str">
        <f>IFERROR(__xludf.DUMMYFUNCTION("GOOGLETRANSLATE(A113, ""ar"", ""bn"")"),"সরকারী সংস্থা নিয়োগের")</f>
        <v>সরকারী সংস্থা নিয়োগের</v>
      </c>
    </row>
    <row r="114">
      <c r="A114" s="2" t="s">
        <v>257</v>
      </c>
      <c r="B114" s="3" t="str">
        <f>IFERROR(__xludf.DUMMYFUNCTION("GOOGLETRANSLATE(A114, ""ar"", ""bn"")"),"মন্ত্রীদের নিয়োগ")</f>
        <v>মন্ত্রীদের নিয়োগ</v>
      </c>
    </row>
    <row r="115">
      <c r="A115" s="2" t="s">
        <v>258</v>
      </c>
      <c r="B115" s="3" t="str">
        <f>IFERROR(__xludf.DUMMYFUNCTION("GOOGLETRANSLATE(A115, ""ar"", ""bn"")"),"একটি উপযুক্ত শরীর")</f>
        <v>একটি উপযুক্ত শরীর</v>
      </c>
    </row>
    <row r="116">
      <c r="A116" s="2" t="s">
        <v>259</v>
      </c>
      <c r="B116" s="3" t="str">
        <f>IFERROR(__xludf.DUMMYFUNCTION("GOOGLETRANSLATE(A116, ""ar"", ""bn"")"),"এম সিস্টেমের সাথে সামঞ্জস্যপূর্ণ")</f>
        <v>এম সিস্টেমের সাথে সামঞ্জস্যপূর্ণ</v>
      </c>
    </row>
    <row r="117">
      <c r="A117" s="2" t="s">
        <v>260</v>
      </c>
      <c r="B117" s="3" t="str">
        <f>IFERROR(__xludf.DUMMYFUNCTION("GOOGLETRANSLATE(A117, ""ar"", ""bn"")"),"অনুমোদন চিয়ার্স")</f>
        <v>অনুমোদন চিয়ার্স</v>
      </c>
    </row>
    <row r="118">
      <c r="A118" s="2" t="s">
        <v>261</v>
      </c>
      <c r="B118" s="3" t="str">
        <f>IFERROR(__xludf.DUMMYFUNCTION("GOOGLETRANSLATE(A118, ""ar"", ""bn"")"),"সুপারিশক্রমে Amuaq")</f>
        <v>সুপারিশক্রমে Amuaq</v>
      </c>
    </row>
    <row r="119">
      <c r="A119" s="2" t="s">
        <v>262</v>
      </c>
      <c r="B119" s="3" t="str">
        <f>IFERROR(__xludf.DUMMYFUNCTION("GOOGLETRANSLATE(A119, ""ar"", ""bn"")"),"কূটনীতি")</f>
        <v>কূটনীতি</v>
      </c>
    </row>
    <row r="120">
      <c r="A120" s="2" t="s">
        <v>263</v>
      </c>
      <c r="B120" s="3" t="str">
        <f>IFERROR(__xludf.DUMMYFUNCTION("GOOGLETRANSLATE(A120, ""ar"", ""bn"")"),"আরব লীগ")</f>
        <v>আরব লীগ</v>
      </c>
    </row>
    <row r="121">
      <c r="A121" s="2" t="s">
        <v>264</v>
      </c>
      <c r="B121" s="3" t="str">
        <f>IFERROR(__xludf.DUMMYFUNCTION("GOOGLETRANSLATE(A121, ""ar"", ""bn"")"),"আরব লীগের চার্টার")</f>
        <v>আরব লীগের চার্টার</v>
      </c>
    </row>
    <row r="122">
      <c r="A122" s="2" t="s">
        <v>265</v>
      </c>
      <c r="B122" s="3" t="str">
        <f>IFERROR(__xludf.DUMMYFUNCTION("GOOGLETRANSLATE(A122, ""ar"", ""bn"")"),"আরব লীগের কাউন্সিল")</f>
        <v>আরব লীগের কাউন্সিল</v>
      </c>
    </row>
    <row r="123">
      <c r="A123" s="2" t="s">
        <v>266</v>
      </c>
      <c r="B123" s="3" t="str">
        <f>IFERROR(__xludf.DUMMYFUNCTION("GOOGLETRANSLATE(A123, ""ar"", ""bn"")"),"আরব জাতীয়তাবাদের")</f>
        <v>আরব জাতীয়তাবাদের</v>
      </c>
    </row>
    <row r="124">
      <c r="A124" s="2" t="s">
        <v>267</v>
      </c>
      <c r="B124" s="3" t="str">
        <f>IFERROR(__xludf.DUMMYFUNCTION("GOOGLETRANSLATE(A124, ""ar"", ""bn"")"),"আরব জাতীয়তাবাদের ধারণা")</f>
        <v>আরব জাতীয়তাবাদের ধারণা</v>
      </c>
    </row>
    <row r="125">
      <c r="A125" s="2" t="s">
        <v>268</v>
      </c>
      <c r="B125" s="3" t="str">
        <f>IFERROR(__xludf.DUMMYFUNCTION("GOOGLETRANSLATE(A125, ""ar"", ""bn"")"),"আরবি ইউনিয়ন")</f>
        <v>আরবি ইউনিয়ন</v>
      </c>
    </row>
    <row r="126">
      <c r="A126" s="2" t="s">
        <v>269</v>
      </c>
      <c r="B126" s="3" t="str">
        <f>IFERROR(__xludf.DUMMYFUNCTION("GOOGLETRANSLATE(A126, ""ar"", ""bn"")"),"নির্বিচারে হস্তক্ষেপ জন্য")</f>
        <v>নির্বিচারে হস্তক্ষেপ জন্য</v>
      </c>
    </row>
    <row r="127">
      <c r="A127" s="2" t="s">
        <v>270</v>
      </c>
      <c r="B127" s="3" t="str">
        <f>IFERROR(__xludf.DUMMYFUNCTION("GOOGLETRANSLATE(A127, ""ar"", ""bn"")"),"সালিসি")</f>
        <v>সালিসি</v>
      </c>
    </row>
    <row r="128">
      <c r="A128" s="2" t="s">
        <v>271</v>
      </c>
      <c r="B128" s="3" t="str">
        <f>IFERROR(__xludf.DUMMYFUNCTION("GOOGLETRANSLATE(A128, ""ar"", ""bn"")"),"সামরিক বাহিনী")</f>
        <v>সামরিক বাহিনী</v>
      </c>
    </row>
    <row r="129">
      <c r="A129" s="2" t="s">
        <v>272</v>
      </c>
      <c r="B129" s="3" t="str">
        <f>IFERROR(__xludf.DUMMYFUNCTION("GOOGLETRANSLATE(A129, ""ar"", ""bn"")"),"প্রশ্নঃ জ অর্পণ থাকবে")</f>
        <v>প্রশ্নঃ জ অর্পণ থাকবে</v>
      </c>
    </row>
    <row r="130">
      <c r="A130" s="2" t="s">
        <v>273</v>
      </c>
      <c r="B130" s="3" t="str">
        <f>IFERROR(__xludf.DUMMYFUNCTION("GOOGLETRANSLATE(A130, ""ar"", ""bn"")"),"এন এইচ মজা দ্বন্দ্ব")</f>
        <v>এন এইচ মজা দ্বন্দ্ব</v>
      </c>
    </row>
    <row r="131">
      <c r="A131" s="2" t="s">
        <v>274</v>
      </c>
      <c r="B131" s="3" t="str">
        <f>IFERROR(__xludf.DUMMYFUNCTION("GOOGLETRANSLATE(A131, ""ar"", ""bn"")"),"গু সামরিক তথ্য")</f>
        <v>গু সামরিক তথ্য</v>
      </c>
    </row>
    <row r="132">
      <c r="A132" s="2" t="s">
        <v>275</v>
      </c>
      <c r="B132" s="3" t="str">
        <f>IFERROR(__xludf.DUMMYFUNCTION("GOOGLETRANSLATE(A132, ""ar"", ""bn"")"),"মজার এইচ নিরপেক্ষতা")</f>
        <v>মজার এইচ নিরপেক্ষতা</v>
      </c>
    </row>
    <row r="133">
      <c r="A133" s="2" t="s">
        <v>276</v>
      </c>
      <c r="B133" s="3" t="str">
        <f>IFERROR(__xludf.DUMMYFUNCTION("GOOGLETRANSLATE(A133, ""ar"", ""bn"")"),"এইচ পাস ঘ মজা")</f>
        <v>এইচ পাস ঘ মজা</v>
      </c>
    </row>
    <row r="134">
      <c r="A134" s="2" t="s">
        <v>277</v>
      </c>
      <c r="B134" s="3" t="str">
        <f>IFERROR(__xludf.DUMMYFUNCTION("GOOGLETRANSLATE(A134, ""ar"", ""bn"")"),"বিপ্লব মজা সেরা")</f>
        <v>বিপ্লব মজা সেরা</v>
      </c>
    </row>
    <row r="135">
      <c r="A135" s="2" t="s">
        <v>278</v>
      </c>
      <c r="B135" s="3" t="str">
        <f>IFERROR(__xludf.DUMMYFUNCTION("GOOGLETRANSLATE(A135, ""ar"", ""bn"")"),"একটি সশস্ত্র এলাকায়")</f>
        <v>একটি সশস্ত্র এলাকায়</v>
      </c>
    </row>
    <row r="136">
      <c r="A136" s="2" t="s">
        <v>279</v>
      </c>
      <c r="B136" s="3" t="str">
        <f>IFERROR(__xludf.DUMMYFUNCTION("GOOGLETRANSLATE(A136, ""ar"", ""bn"")"),"যুদ্ধবিরতি কমিশন")</f>
        <v>যুদ্ধবিরতি কমিশন</v>
      </c>
    </row>
    <row r="137">
      <c r="A137" s="2" t="s">
        <v>280</v>
      </c>
      <c r="B137" s="3" t="str">
        <f>IFERROR(__xludf.DUMMYFUNCTION("GOOGLETRANSLATE(A137, ""ar"", ""bn"")"),"সাময়িক যুদ্ধবিরতি")</f>
        <v>সাময়িক যুদ্ধবিরতি</v>
      </c>
    </row>
    <row r="138">
      <c r="A138" s="2" t="s">
        <v>281</v>
      </c>
      <c r="B138" s="3" t="str">
        <f>IFERROR(__xludf.DUMMYFUNCTION("GOOGLETRANSLATE(A138, ""ar"", ""bn"")"),"সান্ত্বনা অসামরিকীকৃত এলাকা")</f>
        <v>সান্ত্বনা অসামরিকীকৃত এলাকা</v>
      </c>
    </row>
    <row r="139">
      <c r="A139" s="2" t="s">
        <v>282</v>
      </c>
      <c r="B139" s="3" t="str">
        <f>IFERROR(__xludf.DUMMYFUNCTION("GOOGLETRANSLATE(A139, ""ar"", ""bn"")"),"অস্ত্র")</f>
        <v>অস্ত্র</v>
      </c>
    </row>
    <row r="140">
      <c r="A140" s="2" t="s">
        <v>283</v>
      </c>
      <c r="B140" s="3" t="str">
        <f>IFERROR(__xludf.DUMMYFUNCTION("GOOGLETRANSLATE(A140, ""ar"", ""bn"")"),"অস্ত্রের একটি অস্ত্রাগার")</f>
        <v>অস্ত্রের একটি অস্ত্রাগার</v>
      </c>
    </row>
    <row r="141">
      <c r="A141" s="2" t="s">
        <v>284</v>
      </c>
      <c r="B141" s="3" t="str">
        <f>IFERROR(__xludf.DUMMYFUNCTION("GOOGLETRANSLATE(A141, ""ar"", ""bn"")"),"সেনাবাহিনী কর্পস")</f>
        <v>সেনাবাহিনী কর্পস</v>
      </c>
    </row>
    <row r="142">
      <c r="A142" s="2" t="s">
        <v>285</v>
      </c>
      <c r="B142" s="3" t="str">
        <f>IFERROR(__xludf.DUMMYFUNCTION("GOOGLETRANSLATE(A142, ""ar"", ""bn"")"),"সেনাবাহিনী মুখপাত্র")</f>
        <v>সেনাবাহিনী মুখপাত্র</v>
      </c>
    </row>
    <row r="143">
      <c r="A143" s="2" t="s">
        <v>286</v>
      </c>
      <c r="B143" s="3" t="str">
        <f>IFERROR(__xludf.DUMMYFUNCTION("GOOGLETRANSLATE(A143, ""ar"", ""bn"")"),"একটি পর্যবেক্ষক হিসেবে")</f>
        <v>একটি পর্যবেক্ষক হিসেবে</v>
      </c>
    </row>
    <row r="144">
      <c r="A144" s="2" t="s">
        <v>287</v>
      </c>
      <c r="B144" s="3" t="str">
        <f>IFERROR(__xludf.DUMMYFUNCTION("GOOGLETRANSLATE(A144, ""ar"", ""bn"")"),"মাউন্ট অবস্থার")</f>
        <v>মাউন্ট অবস্থার</v>
      </c>
    </row>
    <row r="145">
      <c r="A145" s="2" t="s">
        <v>288</v>
      </c>
      <c r="B145" s="3" t="str">
        <f>IFERROR(__xludf.DUMMYFUNCTION("GOOGLETRANSLATE(A145, ""ar"", ""bn"")"),"সভা কক্ষ")</f>
        <v>সভা কক্ষ</v>
      </c>
    </row>
    <row r="146">
      <c r="A146" s="2" t="s">
        <v>289</v>
      </c>
      <c r="B146" s="3" t="str">
        <f>IFERROR(__xludf.DUMMYFUNCTION("GOOGLETRANSLATE(A146, ""ar"", ""bn"")"),"সহকারী সদস্য")</f>
        <v>সহকারী সদস্য</v>
      </c>
    </row>
    <row r="147">
      <c r="A147" s="2" t="s">
        <v>290</v>
      </c>
      <c r="B147" s="3" t="str">
        <f>IFERROR(__xludf.DUMMYFUNCTION("GOOGLETRANSLATE(A147, ""ar"", ""bn"")"),"রাজনৈতিক কার্যালয়ে")</f>
        <v>রাজনৈতিক কার্যালয়ে</v>
      </c>
    </row>
    <row r="148">
      <c r="A148" s="2" t="s">
        <v>291</v>
      </c>
      <c r="B148" s="3" t="str">
        <f>IFERROR(__xludf.DUMMYFUNCTION("GOOGLETRANSLATE(A148, ""ar"", ""bn"")"),"ক্ষমতার লাগাম")</f>
        <v>ক্ষমতার লাগাম</v>
      </c>
    </row>
    <row r="149">
      <c r="A149" s="2" t="s">
        <v>292</v>
      </c>
      <c r="B149" s="3" t="str">
        <f>IFERROR(__xludf.DUMMYFUNCTION("GOOGLETRANSLATE(A149, ""ar"", ""bn"")"),"পরমাণু অস্ত্র")</f>
        <v>পরমাণু অস্ত্র</v>
      </c>
    </row>
    <row r="150">
      <c r="A150" s="2" t="s">
        <v>293</v>
      </c>
      <c r="B150" s="3" t="str">
        <f>IFERROR(__xludf.DUMMYFUNCTION("GOOGLETRANSLATE(A150, ""ar"", ""bn"")"),"আনবিক বোমা")</f>
        <v>আনবিক বোমা</v>
      </c>
    </row>
    <row r="151">
      <c r="A151" s="2" t="s">
        <v>294</v>
      </c>
      <c r="B151" s="3" t="str">
        <f>IFERROR(__xludf.DUMMYFUNCTION("GOOGLETRANSLATE(A151, ""ar"", ""bn"")"),"আলোচনা করতে Amalq গুরুত্ব")</f>
        <v>আলোচনা করতে Amalq গুরুত্ব</v>
      </c>
    </row>
    <row r="152">
      <c r="A152" s="2" t="s">
        <v>262</v>
      </c>
      <c r="B152" s="3" t="str">
        <f>IFERROR(__xludf.DUMMYFUNCTION("GOOGLETRANSLATE(A152, ""ar"", ""bn"")"),"কূটনীতি")</f>
        <v>কূটনীতি</v>
      </c>
    </row>
    <row r="153">
      <c r="A153" s="2" t="s">
        <v>295</v>
      </c>
      <c r="B153" s="3" t="str">
        <f>IFERROR(__xludf.DUMMYFUNCTION("GOOGLETRANSLATE(A153, ""ar"", ""bn"")"),"এম ঞ শত্রু")</f>
        <v>এম ঞ শত্রু</v>
      </c>
    </row>
    <row r="154">
      <c r="A154" s="2" t="s">
        <v>296</v>
      </c>
      <c r="B154" s="3" t="str">
        <f>IFERROR(__xludf.DUMMYFUNCTION("GOOGLETRANSLATE(A154, ""ar"", ""bn"")"),"Imhak গুলি সংখ্যাগরিষ্ঠ")</f>
        <v>Imhak গুলি সংখ্যাগরিষ্ঠ</v>
      </c>
    </row>
    <row r="155">
      <c r="A155" s="2" t="s">
        <v>297</v>
      </c>
      <c r="B155" s="3" t="str">
        <f>IFERROR(__xludf.DUMMYFUNCTION("GOOGLETRANSLATE(A155, ""ar"", ""bn"")"),"জনগণের সম্পত্তি প্রভাবিত")</f>
        <v>জনগণের সম্পত্তি প্রভাবিত</v>
      </c>
    </row>
    <row r="156">
      <c r="A156" s="2" t="s">
        <v>298</v>
      </c>
      <c r="B156" s="3" t="str">
        <f>IFERROR(__xludf.DUMMYFUNCTION("GOOGLETRANSLATE(A156, ""ar"", ""bn"")"),"Imhak গুলি কোরাম")</f>
        <v>Imhak গুলি কোরাম</v>
      </c>
    </row>
    <row r="157">
      <c r="A157" s="2" t="s">
        <v>299</v>
      </c>
      <c r="B157" s="3" t="str">
        <f>IFERROR(__xludf.DUMMYFUNCTION("GOOGLETRANSLATE(A157, ""ar"", ""bn"")"),"এম রাষ্ট্রীয় নিরাপত্তা পতনসাধনের চেষ্টা")</f>
        <v>এম রাষ্ট্রীয় নিরাপত্তা পতনসাধনের চেষ্টা</v>
      </c>
    </row>
    <row r="158">
      <c r="A158" s="2" t="s">
        <v>300</v>
      </c>
      <c r="B158" s="3" t="str">
        <f>IFERROR(__xludf.DUMMYFUNCTION("GOOGLETRANSLATE(A158, ""ar"", ""bn"")"),"তার নাগরিকদের প্রতি রাষ্ট্রের অবস্থান")</f>
        <v>তার নাগরিকদের প্রতি রাষ্ট্রের অবস্থান</v>
      </c>
    </row>
    <row r="159">
      <c r="A159" s="2" t="s">
        <v>301</v>
      </c>
      <c r="B159" s="3" t="str">
        <f>IFERROR(__xludf.DUMMYFUNCTION("GOOGLETRANSLATE(A159, ""ar"", ""bn"")"),"শোনা অধিবেশন")</f>
        <v>শোনা অধিবেশন</v>
      </c>
    </row>
    <row r="160">
      <c r="A160" s="2" t="s">
        <v>302</v>
      </c>
      <c r="B160" s="3" t="str">
        <f>IFERROR(__xludf.DUMMYFUNCTION("GOOGLETRANSLATE(A160, ""ar"", ""bn"")"),"সরকারী মিটিং হল")</f>
        <v>সরকারী মিটিং হল</v>
      </c>
    </row>
    <row r="161">
      <c r="A161" s="2" t="s">
        <v>303</v>
      </c>
      <c r="B161" s="3" t="str">
        <f>IFERROR(__xludf.DUMMYFUNCTION("GOOGLETRANSLATE(A161, ""ar"", ""bn"")"),"যত্ন")</f>
        <v>যত্ন</v>
      </c>
    </row>
    <row r="162">
      <c r="A162" s="2" t="s">
        <v>304</v>
      </c>
      <c r="B162" s="3" t="str">
        <f>IFERROR(__xludf.DUMMYFUNCTION("GOOGLETRANSLATE(A162, ""ar"", ""bn"")"),"কঠোরতা")</f>
        <v>কঠোরতা</v>
      </c>
    </row>
    <row r="163">
      <c r="A163" s="2" t="s">
        <v>305</v>
      </c>
      <c r="B163" s="3" t="str">
        <f>IFERROR(__xludf.DUMMYFUNCTION("GOOGLETRANSLATE(A163, ""ar"", ""bn"")"),"কঠোরতা নীতি")</f>
        <v>কঠোরতা নীতি</v>
      </c>
    </row>
    <row r="164">
      <c r="A164" s="2" t="s">
        <v>306</v>
      </c>
      <c r="B164" s="3" t="str">
        <f>IFERROR(__xludf.DUMMYFUNCTION("GOOGLETRANSLATE(A164, ""ar"", ""bn"")"),"কর্তৃত্বপূর্ণ নিয়ম")</f>
        <v>কর্তৃত্বপূর্ণ নিয়ম</v>
      </c>
    </row>
    <row r="165">
      <c r="A165" s="2" t="s">
        <v>307</v>
      </c>
      <c r="B165" s="3" t="str">
        <f>IFERROR(__xludf.DUMMYFUNCTION("GOOGLETRANSLATE(A165, ""ar"", ""bn"")"),"ক্ষমতা পরিসীমা")</f>
        <v>ক্ষমতা পরিসীমা</v>
      </c>
    </row>
    <row r="166">
      <c r="A166" s="2" t="s">
        <v>308</v>
      </c>
      <c r="B166" s="3" t="str">
        <f>IFERROR(__xludf.DUMMYFUNCTION("GOOGLETRANSLATE(A166, ""ar"", ""bn"")"),"পাওয়ার অনাক্রম্যতা")</f>
        <v>পাওয়ার অনাক্রম্যতা</v>
      </c>
    </row>
    <row r="167">
      <c r="A167" s="2" t="s">
        <v>309</v>
      </c>
      <c r="B167" s="3" t="str">
        <f>IFERROR(__xludf.DUMMYFUNCTION("GOOGLETRANSLATE(A167, ""ar"", ""bn"")"),"এম রিপাবলিক পাওয়ার")</f>
        <v>এম রিপাবলিক পাওয়ার</v>
      </c>
    </row>
    <row r="168">
      <c r="A168" s="2" t="s">
        <v>310</v>
      </c>
      <c r="B168" s="3" t="str">
        <f>IFERROR(__xludf.DUMMYFUNCTION("GOOGLETRANSLATE(A168, ""ar"", ""bn"")"),"অনুমোদিত প্রতিনিধি")</f>
        <v>অনুমোদিত প্রতিনিধি</v>
      </c>
    </row>
    <row r="169">
      <c r="A169" s="2" t="s">
        <v>311</v>
      </c>
      <c r="B169" s="3" t="str">
        <f>IFERROR(__xludf.DUMMYFUNCTION("GOOGLETRANSLATE(A169, ""ar"", ""bn"")"),"মস্তিষ্কের এবং দেবার জন্য উৎস")</f>
        <v>মস্তিষ্কের এবং দেবার জন্য উৎস</v>
      </c>
    </row>
    <row r="170">
      <c r="A170" s="2" t="s">
        <v>312</v>
      </c>
      <c r="B170" s="3" t="str">
        <f>IFERROR(__xludf.DUMMYFUNCTION("GOOGLETRANSLATE(A170, ""ar"", ""bn"")"),"তথ্য")</f>
        <v>তথ্য</v>
      </c>
    </row>
    <row r="171">
      <c r="A171" s="2" t="s">
        <v>313</v>
      </c>
      <c r="B171" s="3" t="str">
        <f>IFERROR(__xludf.DUMMYFUNCTION("GOOGLETRANSLATE(A171, ""ar"", ""bn"")"),"পরম নিয়ম")</f>
        <v>পরম নিয়ম</v>
      </c>
    </row>
    <row r="172">
      <c r="A172" s="2" t="s">
        <v>314</v>
      </c>
      <c r="B172" s="3" t="str">
        <f>IFERROR(__xludf.DUMMYFUNCTION("GOOGLETRANSLATE(A172, ""ar"", ""bn"")"),"একনায়ক")</f>
        <v>একনায়ক</v>
      </c>
    </row>
    <row r="173">
      <c r="A173" s="2" t="s">
        <v>315</v>
      </c>
      <c r="B173" s="3" t="str">
        <f>IFERROR(__xludf.DUMMYFUNCTION("GOOGLETRANSLATE(A173, ""ar"", ""bn"")"),"পরম তত্ত্ব")</f>
        <v>পরম তত্ত্ব</v>
      </c>
    </row>
    <row r="174">
      <c r="A174" s="2" t="s">
        <v>316</v>
      </c>
      <c r="B174" s="3" t="str">
        <f>IFERROR(__xludf.DUMMYFUNCTION("GOOGLETRANSLATE(A174, ""ar"", ""bn"")"),"স্বায়ত্তশাসন")</f>
        <v>স্বায়ত্তশাসন</v>
      </c>
    </row>
    <row r="175">
      <c r="A175" s="2" t="s">
        <v>317</v>
      </c>
      <c r="B175" s="3" t="str">
        <f>IFERROR(__xludf.DUMMYFUNCTION("GOOGLETRANSLATE(A175, ""ar"", ""bn"")"),"স্বায়ত্তশাসনের আইন")</f>
        <v>স্বায়ত্তশাসনের আইন</v>
      </c>
    </row>
    <row r="176">
      <c r="A176" s="2" t="s">
        <v>318</v>
      </c>
      <c r="B176" s="3" t="str">
        <f>IFERROR(__xludf.DUMMYFUNCTION("GOOGLETRANSLATE(A176, ""ar"", ""bn"")"),"রিজার্ভ সদস্য")</f>
        <v>রিজার্ভ সদস্য</v>
      </c>
    </row>
    <row r="177">
      <c r="A177" s="2" t="s">
        <v>319</v>
      </c>
      <c r="B177" s="3" t="str">
        <f>IFERROR(__xludf.DUMMYFUNCTION("GOOGLETRANSLATE(A177, ""ar"", ""bn"")"),"এড়াতে মোকাবিলার")</f>
        <v>এড়াতে মোকাবিলার</v>
      </c>
    </row>
    <row r="178">
      <c r="A178" s="2" t="s">
        <v>320</v>
      </c>
      <c r="B178" s="3" t="str">
        <f>IFERROR(__xludf.DUMMYFUNCTION("GOOGLETRANSLATE(A178, ""ar"", ""bn"")"),"পোলার রাজ্যের")</f>
        <v>পোলার রাজ্যের</v>
      </c>
    </row>
    <row r="179">
      <c r="A179" s="2" t="s">
        <v>321</v>
      </c>
      <c r="B179" s="3" t="str">
        <f>IFERROR(__xludf.DUMMYFUNCTION("GOOGLETRANSLATE(A179, ""ar"", ""bn"")"),"অক্ষ শক্তি")</f>
        <v>অক্ষ শক্তি</v>
      </c>
    </row>
    <row r="180">
      <c r="A180" s="2" t="s">
        <v>322</v>
      </c>
      <c r="B180" s="3" t="str">
        <f>IFERROR(__xludf.DUMMYFUNCTION("GOOGLETRANSLATE(A180, ""ar"", ""bn"")"),"কূটনৈতিক রিপোর্ট পূর্ববর্তী যুগের")</f>
        <v>কূটনৈতিক রিপোর্ট পূর্ববর্তী যুগের</v>
      </c>
    </row>
    <row r="181">
      <c r="A181" s="2" t="s">
        <v>323</v>
      </c>
      <c r="B181" s="3" t="str">
        <f>IFERROR(__xludf.DUMMYFUNCTION("GOOGLETRANSLATE(A181, ""ar"", ""bn"")"),"জীবাণুযুদ্ধ")</f>
        <v>জীবাণুযুদ্ধ</v>
      </c>
    </row>
    <row r="182">
      <c r="A182" s="2" t="s">
        <v>324</v>
      </c>
      <c r="B182" s="3" t="str">
        <f>IFERROR(__xludf.DUMMYFUNCTION("GOOGLETRANSLATE(A182, ""ar"", ""bn"")"),"শক্তির ভারসাম্য")</f>
        <v>শক্তির ভারসাম্য</v>
      </c>
    </row>
    <row r="183">
      <c r="A183" s="2" t="s">
        <v>325</v>
      </c>
      <c r="B183" s="3" t="str">
        <f>IFERROR(__xludf.DUMMYFUNCTION("GOOGLETRANSLATE(A183, ""ar"", ""bn"")"),"বিচারপতি স্কেল")</f>
        <v>বিচারপতি স্কেল</v>
      </c>
    </row>
    <row r="184">
      <c r="A184" s="2" t="s">
        <v>326</v>
      </c>
      <c r="B184" s="3" t="str">
        <f>IFERROR(__xludf.DUMMYFUNCTION("GOOGLETRANSLATE(A184, ""ar"", ""bn"")"),"কর্তৃপক্ষ ভারসাম্য")</f>
        <v>কর্তৃপক্ষ ভারসাম্য</v>
      </c>
    </row>
    <row r="185">
      <c r="A185" s="2" t="s">
        <v>327</v>
      </c>
      <c r="B185" s="3" t="str">
        <f>IFERROR(__xludf.DUMMYFUNCTION("GOOGLETRANSLATE(A185, ""ar"", ""bn"")"),"সমান কূটনৈতিক উপস্থাপনা")</f>
        <v>সমান কূটনৈতিক উপস্থাপনা</v>
      </c>
    </row>
    <row r="186">
      <c r="A186" s="2" t="s">
        <v>328</v>
      </c>
      <c r="B186" s="3" t="str">
        <f>IFERROR(__xludf.DUMMYFUNCTION("GOOGLETRANSLATE(A186, ""ar"", ""bn"")"),"তথ্য গু সুষম প্রত্যাহার")</f>
        <v>তথ্য গু সুষম প্রত্যাহার</v>
      </c>
    </row>
    <row r="187">
      <c r="A187" s="2" t="s">
        <v>329</v>
      </c>
      <c r="B187" s="3" t="str">
        <f>IFERROR(__xludf.DUMMYFUNCTION("GOOGLETRANSLATE(A187, ""ar"", ""bn"")"),"সামরিক")</f>
        <v>সামরিক</v>
      </c>
    </row>
    <row r="188">
      <c r="A188" s="2" t="s">
        <v>330</v>
      </c>
      <c r="B188" s="3" t="str">
        <f>IFERROR(__xludf.DUMMYFUNCTION("GOOGLETRANSLATE(A188, ""ar"", ""bn"")"),"ভোট")</f>
        <v>ভোট</v>
      </c>
    </row>
    <row r="189">
      <c r="A189" s="2" t="s">
        <v>331</v>
      </c>
      <c r="B189" s="3" t="str">
        <f>IFERROR(__xludf.DUMMYFUNCTION("GOOGLETRANSLATE(A189, ""ar"", ""bn"")"),"ভোটগ্রহণ")</f>
        <v>ভোটগ্রহণ</v>
      </c>
    </row>
    <row r="190">
      <c r="A190" s="2" t="s">
        <v>332</v>
      </c>
      <c r="B190" s="3" t="str">
        <f>IFERROR(__xludf.DUMMYFUNCTION("GOOGLETRANSLATE(A190, ""ar"", ""bn"")"),"কী আলোচনা")</f>
        <v>কী আলোচনা</v>
      </c>
    </row>
    <row r="191">
      <c r="A191" s="2" t="s">
        <v>333</v>
      </c>
      <c r="B191" s="3" t="str">
        <f>IFERROR(__xludf.DUMMYFUNCTION("GOOGLETRANSLATE(A191, ""ar"", ""bn"")"),"সাংবিধানিক আইন ভিত্তি")</f>
        <v>সাংবিধানিক আইন ভিত্তি</v>
      </c>
    </row>
    <row r="192">
      <c r="A192" s="2" t="s">
        <v>334</v>
      </c>
      <c r="B192" s="3" t="str">
        <f>IFERROR(__xludf.DUMMYFUNCTION("GOOGLETRANSLATE(A192, ""ar"", ""bn"")"),"যুদ্ধ সাইট")</f>
        <v>যুদ্ধ সাইট</v>
      </c>
    </row>
    <row r="193">
      <c r="A193" s="2" t="s">
        <v>335</v>
      </c>
      <c r="B193" s="3" t="str">
        <f>IFERROR(__xludf.DUMMYFUNCTION("GOOGLETRANSLATE(A193, ""ar"", ""bn"")"),"যুদ্ধের স্কয়ার")</f>
        <v>যুদ্ধের স্কয়ার</v>
      </c>
    </row>
    <row r="194">
      <c r="A194" s="2" t="s">
        <v>336</v>
      </c>
      <c r="B194" s="3" t="str">
        <f>IFERROR(__xludf.DUMMYFUNCTION("GOOGLETRANSLATE(A194, ""ar"", ""bn"")"),"বার পিছনে")</f>
        <v>বার পিছনে</v>
      </c>
    </row>
    <row r="195">
      <c r="A195" s="2" t="s">
        <v>337</v>
      </c>
      <c r="B195" s="3" t="str">
        <f>IFERROR(__xludf.DUMMYFUNCTION("GOOGLETRANSLATE(A195, ""ar"", ""bn"")"),"বেলফোর ঘোষণা")</f>
        <v>বেলফোর ঘোষণা</v>
      </c>
    </row>
    <row r="196">
      <c r="A196" s="2" t="s">
        <v>338</v>
      </c>
      <c r="B196" s="3" t="str">
        <f>IFERROR(__xludf.DUMMYFUNCTION("GOOGLETRANSLATE(A196, ""ar"", ""bn"")"),"Amhasr শহর")</f>
        <v>Amhasr শহর</v>
      </c>
    </row>
    <row r="197">
      <c r="A197" s="2" t="s">
        <v>339</v>
      </c>
      <c r="B197" s="3" t="str">
        <f>IFERROR(__xludf.DUMMYFUNCTION("GOOGLETRANSLATE(A197, ""ar"", ""bn"")"),"জাতি বিশ্বাসঘাতকতা করা")</f>
        <v>জাতি বিশ্বাসঘাতকতা করা</v>
      </c>
    </row>
    <row r="198">
      <c r="A198" s="2" t="s">
        <v>340</v>
      </c>
      <c r="B198" s="3" t="str">
        <f>IFERROR(__xludf.DUMMYFUNCTION("GOOGLETRANSLATE(A198, ""ar"", ""bn"")"),"গোপন বিশ্বাসঘাতকতা ডিসক্লোজার")</f>
        <v>গোপন বিশ্বাসঘাতকতা ডিসক্লোজার</v>
      </c>
    </row>
    <row r="199">
      <c r="A199" s="2" t="s">
        <v>341</v>
      </c>
      <c r="B199" s="3" t="str">
        <f>IFERROR(__xludf.DUMMYFUNCTION("GOOGLETRANSLATE(A199, ""ar"", ""bn"")"),"যৌন দ্বৈত")</f>
        <v>যৌন দ্বৈত</v>
      </c>
    </row>
    <row r="200">
      <c r="A200" s="2" t="s">
        <v>342</v>
      </c>
      <c r="B200" s="3" t="str">
        <f>IFERROR(__xludf.DUMMYFUNCTION("GOOGLETRANSLATE(A200, ""ar"", ""bn"")"),"দ্বিপক্ষীয় আলোচনার")</f>
        <v>দ্বিপক্ষীয় আলোচনার</v>
      </c>
    </row>
    <row r="201">
      <c r="A201" s="2" t="s">
        <v>343</v>
      </c>
      <c r="B201" s="3" t="str">
        <f>IFERROR(__xludf.DUMMYFUNCTION("GOOGLETRANSLATE(A201, ""ar"", ""bn"")"),"এম দ্বৈত নাগরিকত্ব")</f>
        <v>এম দ্বৈত নাগরিকত্ব</v>
      </c>
    </row>
    <row r="202">
      <c r="A202" s="2" t="s">
        <v>344</v>
      </c>
      <c r="B202" s="3" t="str">
        <f>IFERROR(__xludf.DUMMYFUNCTION("GOOGLETRANSLATE(A202, ""ar"", ""bn"")"),"রাজনৈতিক বাঁধাই সিদ্ধান্ত")</f>
        <v>রাজনৈতিক বাঁধাই সিদ্ধান্ত</v>
      </c>
    </row>
    <row r="203">
      <c r="A203" s="2" t="s">
        <v>345</v>
      </c>
      <c r="B203" s="3" t="str">
        <f>IFERROR(__xludf.DUMMYFUNCTION("GOOGLETRANSLATE(A203, ""ar"", ""bn"")"),"কালো সংখ্যালঘু")</f>
        <v>কালো সংখ্যালঘু</v>
      </c>
    </row>
    <row r="204">
      <c r="A204" s="2" t="s">
        <v>346</v>
      </c>
      <c r="B204" s="3" t="str">
        <f>IFERROR(__xludf.DUMMYFUNCTION("GOOGLETRANSLATE(A204, ""ar"", ""bn"")"),"মোট ভোট")</f>
        <v>মোট ভোট</v>
      </c>
    </row>
    <row r="205">
      <c r="A205" s="2" t="s">
        <v>347</v>
      </c>
      <c r="B205" s="3" t="str">
        <f>IFERROR(__xludf.DUMMYFUNCTION("GOOGLETRANSLATE(A205, ""ar"", ""bn"")"),"নিরোধ")</f>
        <v>নিরোধ</v>
      </c>
    </row>
    <row r="206">
      <c r="A206" s="2" t="s">
        <v>348</v>
      </c>
      <c r="B206" s="3" t="str">
        <f>IFERROR(__xludf.DUMMYFUNCTION("GOOGLETRANSLATE(A206, ""ar"", ""bn"")"),"Amhasr ভবন")</f>
        <v>Amhasr ভবন</v>
      </c>
    </row>
    <row r="207">
      <c r="A207" s="2" t="s">
        <v>349</v>
      </c>
      <c r="B207" s="3" t="str">
        <f>IFERROR(__xludf.DUMMYFUNCTION("GOOGLETRANSLATE(A207, ""ar"", ""bn"")"),"রক্তের এবং লিঙ্ক মধ্যে ঘাম")</f>
        <v>রক্তের এবং লিঙ্ক মধ্যে ঘাম</v>
      </c>
    </row>
    <row r="208">
      <c r="A208" s="2" t="s">
        <v>350</v>
      </c>
      <c r="B208" s="3" t="str">
        <f>IFERROR(__xludf.DUMMYFUNCTION("GOOGLETRANSLATE(A208, ""ar"", ""bn"")"),"পিপলস")</f>
        <v>পিপলস</v>
      </c>
    </row>
    <row r="209">
      <c r="A209" s="2" t="s">
        <v>351</v>
      </c>
      <c r="B209" s="3" t="str">
        <f>IFERROR(__xludf.DUMMYFUNCTION("GOOGLETRANSLATE(A209, ""ar"", ""bn"")"),"হ্যাম বা রক্ত")</f>
        <v>হ্যাম বা রক্ত</v>
      </c>
    </row>
    <row r="210">
      <c r="A210" s="2" t="s">
        <v>352</v>
      </c>
      <c r="B210" s="3" t="str">
        <f>IFERROR(__xludf.DUMMYFUNCTION("GOOGLETRANSLATE(A210, ""ar"", ""bn"")"),"হোয়াইট বিপ্লব")</f>
        <v>হোয়াইট বিপ্লব</v>
      </c>
    </row>
    <row r="211">
      <c r="A211" s="2" t="s">
        <v>353</v>
      </c>
      <c r="B211" s="3" t="str">
        <f>IFERROR(__xludf.DUMMYFUNCTION("GOOGLETRANSLATE(A211, ""ar"", ""bn"")"),"রক্তাক্ত রাজনৈতিক ঘটনা")</f>
        <v>রক্তাক্ত রাজনৈতিক ঘটনা</v>
      </c>
    </row>
    <row r="212">
      <c r="A212" s="2" t="s">
        <v>354</v>
      </c>
      <c r="B212" s="3" t="str">
        <f>IFERROR(__xludf.DUMMYFUNCTION("GOOGLETRANSLATE(A212, ""ar"", ""bn"")"),"Amfj টি বিমান")</f>
        <v>Amfj টি বিমান</v>
      </c>
    </row>
    <row r="213">
      <c r="A213" s="2" t="s">
        <v>355</v>
      </c>
      <c r="B213" s="3" t="str">
        <f>IFERROR(__xludf.DUMMYFUNCTION("GOOGLETRANSLATE(A213, ""ar"", ""bn"")"),"রক্ষনশীল সিস্টেম বোর্ড")</f>
        <v>রক্ষনশীল সিস্টেম বোর্ড</v>
      </c>
    </row>
    <row r="214">
      <c r="A214" s="2" t="s">
        <v>356</v>
      </c>
      <c r="B214" s="3" t="str">
        <f>IFERROR(__xludf.DUMMYFUNCTION("GOOGLETRANSLATE(A214, ""ar"", ""bn"")"),"ব্রিটিশ")</f>
        <v>ব্রিটিশ</v>
      </c>
    </row>
    <row r="215">
      <c r="A215" s="2" t="s">
        <v>357</v>
      </c>
      <c r="B215" s="3" t="str">
        <f>IFERROR(__xludf.DUMMYFUNCTION("GOOGLETRANSLATE(A215, ""ar"", ""bn"")"),"তদন্ত কমিশন")</f>
        <v>তদন্ত কমিশন</v>
      </c>
    </row>
    <row r="216">
      <c r="A216" s="2" t="s">
        <v>358</v>
      </c>
      <c r="B216" s="3" t="str">
        <f>IFERROR(__xludf.DUMMYFUNCTION("GOOGLETRANSLATE(A216, ""ar"", ""bn"")"),"পি Damat সীমান্ত")</f>
        <v>পি Damat সীমান্ত</v>
      </c>
    </row>
    <row r="217">
      <c r="A217" s="2" t="s">
        <v>359</v>
      </c>
      <c r="B217" s="3" t="str">
        <f>IFERROR(__xludf.DUMMYFUNCTION("GOOGLETRANSLATE(A217, ""ar"", ""bn"")"),"শহরগুলোর বোমাবর্ষণ")</f>
        <v>শহরগুলোর বোমাবর্ষণ</v>
      </c>
    </row>
    <row r="218">
      <c r="A218" s="2" t="s">
        <v>360</v>
      </c>
      <c r="B218" s="3" t="str">
        <f>IFERROR(__xludf.DUMMYFUNCTION("GOOGLETRANSLATE(A218, ""ar"", ""bn"")"),"শহরগুলোর বোমাবর্ষণ")</f>
        <v>শহরগুলোর বোমাবর্ষণ</v>
      </c>
    </row>
    <row r="219">
      <c r="A219" s="2" t="s">
        <v>361</v>
      </c>
      <c r="B219" s="3" t="str">
        <f>IFERROR(__xludf.DUMMYFUNCTION("GOOGLETRANSLATE(A219, ""ar"", ""bn"")"),"এম গঠন উড়িয়ে দেওয়ার চক্রান্ত")</f>
        <v>এম গঠন উড়িয়ে দেওয়ার চক্রান্ত</v>
      </c>
    </row>
    <row r="220">
      <c r="A220" s="2" t="s">
        <v>362</v>
      </c>
      <c r="B220" s="3" t="str">
        <f>IFERROR(__xludf.DUMMYFUNCTION("GOOGLETRANSLATE(A220, ""ar"", ""bn"")"),"অবকাঠামো")</f>
        <v>অবকাঠামো</v>
      </c>
    </row>
    <row r="221">
      <c r="A221" s="2" t="s">
        <v>363</v>
      </c>
      <c r="B221" s="3" t="str">
        <f>IFERROR(__xludf.DUMMYFUNCTION("GOOGLETRANSLATE(A221, ""ar"", ""bn"")"),"বর্ডার চুক্তি")</f>
        <v>বর্ডার চুক্তি</v>
      </c>
    </row>
    <row r="222">
      <c r="A222" s="2" t="s">
        <v>364</v>
      </c>
      <c r="B222" s="3" t="str">
        <f>IFERROR(__xludf.DUMMYFUNCTION("GOOGLETRANSLATE(A222, ""ar"", ""bn"")"),"মস্তিষ্ক Imigrante")</f>
        <v>মস্তিষ্ক Imigrante</v>
      </c>
    </row>
    <row r="223">
      <c r="A223" s="2" t="s">
        <v>365</v>
      </c>
      <c r="B223" s="3" t="str">
        <f>IFERROR(__xludf.DUMMYFUNCTION("GOOGLETRANSLATE(A223, ""ar"", ""bn"")"),"ওয়াশ ড্রেন")</f>
        <v>ওয়াশ ড্রেন</v>
      </c>
    </row>
    <row r="224">
      <c r="A224" s="2" t="s">
        <v>366</v>
      </c>
      <c r="B224" s="3" t="str">
        <f>IFERROR(__xludf.DUMMYFUNCTION("GOOGLETRANSLATE(A224, ""ar"", ""bn"")"),"শিষ্টাচার ভঙ্গ")</f>
        <v>শিষ্টাচার ভঙ্গ</v>
      </c>
    </row>
    <row r="225">
      <c r="A225" s="2" t="s">
        <v>367</v>
      </c>
      <c r="B225" s="3" t="str">
        <f>IFERROR(__xludf.DUMMYFUNCTION("GOOGLETRANSLATE(A225, ""ar"", ""bn"")"),"কূটনীতিজ্ঞ")</f>
        <v>কূটনীতিজ্ঞ</v>
      </c>
    </row>
    <row r="226">
      <c r="A226" s="2" t="s">
        <v>368</v>
      </c>
      <c r="B226" s="3" t="str">
        <f>IFERROR(__xludf.DUMMYFUNCTION("GOOGLETRANSLATE(A226, ""ar"", ""bn"")"),"আন্তর্জাতিক আইন লঙ্ঘন")</f>
        <v>আন্তর্জাতিক আইন লঙ্ঘন</v>
      </c>
    </row>
    <row r="227">
      <c r="A227" s="2" t="s">
        <v>369</v>
      </c>
      <c r="B227" s="3" t="str">
        <f>IFERROR(__xludf.DUMMYFUNCTION("GOOGLETRANSLATE(A227, ""ar"", ""bn"")"),"শান্তিভঙ্গ")</f>
        <v>শান্তিভঙ্গ</v>
      </c>
    </row>
    <row r="228">
      <c r="A228" s="2" t="s">
        <v>370</v>
      </c>
      <c r="B228" s="3" t="str">
        <f>IFERROR(__xludf.DUMMYFUNCTION("GOOGLETRANSLATE(A228, ""ar"", ""bn"")"),"অঙ্গীকার ভঙ্গের")</f>
        <v>অঙ্গীকার ভঙ্গের</v>
      </c>
    </row>
    <row r="229">
      <c r="A229" s="2" t="s">
        <v>371</v>
      </c>
      <c r="B229" s="3" t="str">
        <f>IFERROR(__xludf.DUMMYFUNCTION("GOOGLETRANSLATE(A229, ""ar"", ""bn"")"),"দাঙ্গা")</f>
        <v>দাঙ্গা</v>
      </c>
    </row>
    <row r="230">
      <c r="A230" s="2" t="s">
        <v>372</v>
      </c>
      <c r="B230" s="3" t="str">
        <f>IFERROR(__xludf.DUMMYFUNCTION("GOOGLETRANSLATE(A230, ""ar"", ""bn"")"),"আকাশসীমা পশা")</f>
        <v>আকাশসীমা পশা</v>
      </c>
    </row>
    <row r="231">
      <c r="A231" s="2" t="s">
        <v>373</v>
      </c>
      <c r="B231" s="3" t="str">
        <f>IFERROR(__xludf.DUMMYFUNCTION("GOOGLETRANSLATE(A231, ""ar"", ""bn"")"),"সর্বশেষ রাজনৈতিক সংবাদ")</f>
        <v>সর্বশেষ রাজনৈতিক সংবাদ</v>
      </c>
    </row>
    <row r="232">
      <c r="A232" s="2" t="s">
        <v>374</v>
      </c>
      <c r="B232" s="3" t="str">
        <f>IFERROR(__xludf.DUMMYFUNCTION("GOOGLETRANSLATE(A232, ""ar"", ""bn"")"),"একটি প্রাথমিক শুনানি")</f>
        <v>একটি প্রাথমিক শুনানি</v>
      </c>
    </row>
    <row r="233">
      <c r="A233" s="2" t="s">
        <v>375</v>
      </c>
      <c r="B233" s="3" t="str">
        <f>IFERROR(__xludf.DUMMYFUNCTION("GOOGLETRANSLATE(A233, ""ar"", ""bn"")"),"রেডিও যুদ্ধ")</f>
        <v>রেডিও যুদ্ধ</v>
      </c>
    </row>
    <row r="234">
      <c r="A234" s="2" t="s">
        <v>376</v>
      </c>
      <c r="B234" s="3" t="str">
        <f>IFERROR(__xludf.DUMMYFUNCTION("GOOGLETRANSLATE(A234, ""ar"", ""bn"")"),"সীমান্ত এলাকায় মধ্যে একটি কমা")</f>
        <v>সীমান্ত এলাকায় মধ্যে একটি কমা</v>
      </c>
    </row>
    <row r="235">
      <c r="A235" s="2" t="s">
        <v>377</v>
      </c>
      <c r="B235" s="3" t="str">
        <f>IFERROR(__xludf.DUMMYFUNCTION("GOOGLETRANSLATE(A235, ""ar"", ""bn"")"),"বিদেশ পতাকা বার্ন")</f>
        <v>বিদেশ পতাকা বার্ন</v>
      </c>
    </row>
    <row r="236">
      <c r="A236" s="2" t="s">
        <v>378</v>
      </c>
      <c r="B236" s="3" t="str">
        <f>IFERROR(__xludf.DUMMYFUNCTION("GOOGLETRANSLATE(A236, ""ar"", ""bn"")"),"Scorched Earth- এর নীতি")</f>
        <v>Scorched Earth- এর নীতি</v>
      </c>
    </row>
    <row r="237">
      <c r="A237" s="2" t="s">
        <v>379</v>
      </c>
      <c r="B237" s="3" t="str">
        <f>IFERROR(__xludf.DUMMYFUNCTION("GOOGLETRANSLATE(A237, ""ar"", ""bn"")"),"চ্যানেল ব্যবহার")</f>
        <v>চ্যানেল ব্যবহার</v>
      </c>
    </row>
    <row r="238">
      <c r="A238" s="2" t="s">
        <v>262</v>
      </c>
      <c r="B238" s="3" t="str">
        <f>IFERROR(__xludf.DUMMYFUNCTION("GOOGLETRANSLATE(A238, ""ar"", ""bn"")"),"কূটনীতি")</f>
        <v>কূটনীতি</v>
      </c>
    </row>
    <row r="239">
      <c r="A239" s="2" t="s">
        <v>380</v>
      </c>
      <c r="B239" s="3" t="str">
        <f>IFERROR(__xludf.DUMMYFUNCTION("GOOGLETRANSLATE(A239, ""ar"", ""bn"")"),"ক্রম ব্যবহার")</f>
        <v>ক্রম ব্যবহার</v>
      </c>
    </row>
    <row r="240">
      <c r="A240" s="2" t="s">
        <v>381</v>
      </c>
      <c r="B240" s="3" t="str">
        <f>IFERROR(__xludf.DUMMYFUNCTION("GOOGLETRANSLATE(A240, ""ar"", ""bn"")"),"মন্ত্রিপরিষদ")</f>
        <v>মন্ত্রিপরিষদ</v>
      </c>
    </row>
    <row r="241">
      <c r="A241" s="2" t="s">
        <v>382</v>
      </c>
      <c r="B241" s="3" t="str">
        <f>IFERROR(__xludf.DUMMYFUNCTION("GOOGLETRANSLATE(A241, ""ar"", ""bn"")"),"মিনিস্টিরিয়াল বিবৃতি")</f>
        <v>মিনিস্টিরিয়াল বিবৃতি</v>
      </c>
    </row>
    <row r="242">
      <c r="A242" s="2" t="s">
        <v>383</v>
      </c>
      <c r="B242" s="3" t="str">
        <f>IFERROR(__xludf.DUMMYFUNCTION("GOOGLETRANSLATE(A242, ""ar"", ""bn"")"),"Amnashid আন্তর্জাতিক প্রোটেকশন")</f>
        <v>Amnashid আন্তর্জাতিক প্রোটেকশন</v>
      </c>
    </row>
    <row r="243">
      <c r="A243" s="2" t="s">
        <v>384</v>
      </c>
      <c r="B243" s="3" t="str">
        <f>IFERROR(__xludf.DUMMYFUNCTION("GOOGLETRANSLATE(A243, ""ar"", ""bn"")"),"আন্তর্জাতিক হস্তক্ষেপ চায়")</f>
        <v>আন্তর্জাতিক হস্তক্ষেপ চায়</v>
      </c>
    </row>
    <row r="244">
      <c r="A244" s="2" t="s">
        <v>385</v>
      </c>
      <c r="B244" s="3" t="str">
        <f>IFERROR(__xludf.DUMMYFUNCTION("GOOGLETRANSLATE(A244, ""ar"", ""bn"")"),"শিবির")</f>
        <v>শিবির</v>
      </c>
    </row>
    <row r="245">
      <c r="A245" s="2" t="s">
        <v>386</v>
      </c>
      <c r="B245" s="3" t="str">
        <f>IFERROR(__xludf.DUMMYFUNCTION("GOOGLETRANSLATE(A245, ""ar"", ""bn"")"),"এইচ প্রতিকূল ধর্ম")</f>
        <v>এইচ প্রতিকূল ধর্ম</v>
      </c>
    </row>
    <row r="246">
      <c r="A246" s="2" t="s">
        <v>387</v>
      </c>
      <c r="B246" s="3" t="str">
        <f>IFERROR(__xludf.DUMMYFUNCTION("GOOGLETRANSLATE(A246, ""ar"", ""bn"")"),"Imlga কূটনৈতিক মিশন")</f>
        <v>Imlga কূটনৈতিক মিশন</v>
      </c>
    </row>
    <row r="247">
      <c r="A247" s="2" t="s">
        <v>388</v>
      </c>
      <c r="B247" s="3" t="str">
        <f>IFERROR(__xludf.DUMMYFUNCTION("GOOGLETRANSLATE(A247, ""ar"", ""bn"")"),"Imlga সরকারি সফরে")</f>
        <v>Imlga সরকারি সফরে</v>
      </c>
    </row>
    <row r="248">
      <c r="A248" s="2" t="s">
        <v>389</v>
      </c>
      <c r="B248" s="3" t="str">
        <f>IFERROR(__xludf.DUMMYFUNCTION("GOOGLETRANSLATE(A248, ""ar"", ""bn"")"),"এম নির্বাচন প্রার্থী")</f>
        <v>এম নির্বাচন প্রার্থী</v>
      </c>
    </row>
    <row r="249">
      <c r="A249" s="2" t="s">
        <v>390</v>
      </c>
      <c r="B249" s="3" t="str">
        <f>IFERROR(__xludf.DUMMYFUNCTION("GOOGLETRANSLATE(A249, ""ar"", ""bn"")"),"রাজধানী")</f>
        <v>রাজধানী</v>
      </c>
    </row>
    <row r="250">
      <c r="A250" s="2" t="s">
        <v>391</v>
      </c>
      <c r="B250" s="3" t="str">
        <f>IFERROR(__xludf.DUMMYFUNCTION("GOOGLETRANSLATE(A250, ""ar"", ""bn"")"),"পুঁজিবাদ")</f>
        <v>পুঁজিবাদ</v>
      </c>
    </row>
    <row r="251">
      <c r="A251" s="2" t="s">
        <v>392</v>
      </c>
      <c r="B251" s="3" t="str">
        <f>IFERROR(__xludf.DUMMYFUNCTION("GOOGLETRANSLATE(A251, ""ar"", ""bn"")"),"পুঁজিবাদী সরকার")</f>
        <v>পুঁজিবাদী সরকার</v>
      </c>
    </row>
    <row r="252">
      <c r="A252" s="2" t="s">
        <v>393</v>
      </c>
      <c r="B252" s="3" t="str">
        <f>IFERROR(__xludf.DUMMYFUNCTION("GOOGLETRANSLATE(A252, ""ar"", ""bn"")"),"পি Kulaih পুঁজিবাদ")</f>
        <v>পি Kulaih পুঁজিবাদ</v>
      </c>
    </row>
    <row r="253">
      <c r="A253" s="2" t="s">
        <v>394</v>
      </c>
      <c r="B253" s="3" t="str">
        <f>IFERROR(__xludf.DUMMYFUNCTION("GOOGLETRANSLATE(A253, ""ar"", ""bn"")"),"একটি পুঁজিবাদী রাষ্ট্র")</f>
        <v>একটি পুঁজিবাদী রাষ্ট্র</v>
      </c>
    </row>
    <row r="254">
      <c r="A254" s="2" t="s">
        <v>395</v>
      </c>
      <c r="B254" s="3" t="str">
        <f>IFERROR(__xludf.DUMMYFUNCTION("GOOGLETRANSLATE(A254, ""ar"", ""bn"")"),"চুক্তির অধীনে ছাড়")</f>
        <v>চুক্তির অধীনে ছাড়</v>
      </c>
    </row>
    <row r="255">
      <c r="A255" s="2" t="s">
        <v>396</v>
      </c>
      <c r="B255" s="3" t="str">
        <f>IFERROR(__xludf.DUMMYFUNCTION("GOOGLETRANSLATE(A255, ""ar"", ""bn"")"),"বন্দীদের অধিকার")</f>
        <v>বন্দীদের অধিকার</v>
      </c>
    </row>
    <row r="256">
      <c r="A256" s="2" t="s">
        <v>397</v>
      </c>
      <c r="B256" s="3" t="str">
        <f>IFERROR(__xludf.DUMMYFUNCTION("GOOGLETRANSLATE(A256, ""ar"", ""bn"")"),"রাজনৈতিক কর্তৃপক্ষ")</f>
        <v>রাজনৈতিক কর্তৃপক্ষ</v>
      </c>
    </row>
    <row r="257">
      <c r="A257" s="2" t="s">
        <v>398</v>
      </c>
      <c r="B257" s="3" t="str">
        <f>IFERROR(__xludf.DUMMYFUNCTION("GOOGLETRANSLATE(A257, ""ar"", ""bn"")"),"রাজনৈতিক দায়িত্ব")</f>
        <v>রাজনৈতিক দায়িত্ব</v>
      </c>
    </row>
    <row r="258">
      <c r="A258" s="2" t="s">
        <v>399</v>
      </c>
      <c r="B258" s="3" t="str">
        <f>IFERROR(__xludf.DUMMYFUNCTION("GOOGLETRANSLATE(A258, ""ar"", ""bn"")"),"একটি গুরুত্বপূর্ণ রাজনৈতিক সিদ্ধান্ত")</f>
        <v>একটি গুরুত্বপূর্ণ রাজনৈতিক সিদ্ধান্ত</v>
      </c>
    </row>
    <row r="259">
      <c r="A259" s="2" t="s">
        <v>400</v>
      </c>
      <c r="B259" s="3" t="str">
        <f>IFERROR(__xludf.DUMMYFUNCTION("GOOGLETRANSLATE(A259, ""ar"", ""bn"")"),"তসরূফ করা")</f>
        <v>তসরূফ করা</v>
      </c>
    </row>
    <row r="260">
      <c r="A260" s="2" t="s">
        <v>401</v>
      </c>
      <c r="B260" s="3" t="str">
        <f>IFERROR(__xludf.DUMMYFUNCTION("GOOGLETRANSLATE(A260, ""ar"", ""bn"")"),"যুদ্ধবিরতি")</f>
        <v>যুদ্ধবিরতি</v>
      </c>
    </row>
    <row r="261">
      <c r="A261" s="2" t="s">
        <v>402</v>
      </c>
      <c r="B261" s="3" t="str">
        <f>IFERROR(__xludf.DUMMYFUNCTION("GOOGLETRANSLATE(A261, ""ar"", ""bn"")"),"এক কর্মকর্তা অনুষ্ঠান")</f>
        <v>এক কর্মকর্তা অনুষ্ঠান</v>
      </c>
    </row>
    <row r="262">
      <c r="A262" s="2" t="s">
        <v>403</v>
      </c>
      <c r="B262" s="3" t="str">
        <f>IFERROR(__xludf.DUMMYFUNCTION("GOOGLETRANSLATE(A262, ""ar"", ""bn"")"),"বিবাচন")</f>
        <v>বিবাচন</v>
      </c>
    </row>
    <row r="263">
      <c r="A263" s="2" t="s">
        <v>404</v>
      </c>
      <c r="B263" s="3" t="str">
        <f>IFERROR(__xludf.DUMMYFUNCTION("GOOGLETRANSLATE(A263, ""ar"", ""bn"")"),"আকর্ষণ কেন্দ্র")</f>
        <v>আকর্ষণ কেন্দ্র</v>
      </c>
    </row>
    <row r="264">
      <c r="A264" s="2" t="s">
        <v>405</v>
      </c>
      <c r="B264" s="3" t="str">
        <f>IFERROR(__xludf.DUMMYFUNCTION("GOOGLETRANSLATE(A264, ""ar"", ""bn"")"),"কেন্দ্রীয় কর্তৃপক্ষ")</f>
        <v>কেন্দ্রীয় কর্তৃপক্ষ</v>
      </c>
    </row>
    <row r="265">
      <c r="A265" s="2" t="s">
        <v>406</v>
      </c>
      <c r="B265" s="3" t="str">
        <f>IFERROR(__xludf.DUMMYFUNCTION("GOOGLETRANSLATE(A265, ""ar"", ""bn"")"),"কেন্দ্রীয় বাহিনী")</f>
        <v>কেন্দ্রীয় বাহিনী</v>
      </c>
    </row>
    <row r="266">
      <c r="A266" s="2" t="s">
        <v>407</v>
      </c>
      <c r="B266" s="3" t="str">
        <f>IFERROR(__xludf.DUMMYFUNCTION("GOOGLETRANSLATE(A266, ""ar"", ""bn"")"),"কেন্দ্রীয় সরকার")</f>
        <v>কেন্দ্রীয় সরকার</v>
      </c>
    </row>
    <row r="267">
      <c r="A267" s="2" t="s">
        <v>408</v>
      </c>
      <c r="B267" s="3" t="str">
        <f>IFERROR(__xludf.DUMMYFUNCTION("GOOGLETRANSLATE(A267, ""ar"", ""bn"")"),"কেন্দ্রীয় কার্যালয়")</f>
        <v>কেন্দ্রীয় কার্যালয়</v>
      </c>
    </row>
    <row r="268">
      <c r="A268" s="2" t="s">
        <v>409</v>
      </c>
      <c r="B268" s="3" t="str">
        <f>IFERROR(__xludf.DUMMYFUNCTION("GOOGLETRANSLATE(A268, ""ar"", ""bn"")"),"আল-Wasat পার্টির")</f>
        <v>আল-Wasat পার্টির</v>
      </c>
    </row>
    <row r="269">
      <c r="A269" s="2" t="s">
        <v>410</v>
      </c>
      <c r="B269" s="3" t="str">
        <f>IFERROR(__xludf.DUMMYFUNCTION("GOOGLETRANSLATE(A269, ""ar"", ""bn"")"),"কেন্দ্রীয় পরিকল্পনা")</f>
        <v>কেন্দ্রীয় পরিকল্পনা</v>
      </c>
    </row>
    <row r="270">
      <c r="A270" s="2" t="s">
        <v>411</v>
      </c>
      <c r="B270" s="3" t="str">
        <f>IFERROR(__xludf.DUMMYFUNCTION("GOOGLETRANSLATE(A270, ""ar"", ""bn"")"),"ইয়ে সেন্টার")</f>
        <v>ইয়ে সেন্টার</v>
      </c>
    </row>
    <row r="271">
      <c r="A271" s="2" t="s">
        <v>412</v>
      </c>
      <c r="B271" s="3" t="str">
        <f>IFERROR(__xludf.DUMMYFUNCTION("GOOGLETRANSLATE(A271, ""ar"", ""bn"")"),"পাস ক্ষমতা সি জেড")</f>
        <v>পাস ক্ষমতা সি জেড</v>
      </c>
    </row>
    <row r="272">
      <c r="A272" s="2" t="s">
        <v>413</v>
      </c>
      <c r="B272" s="3" t="str">
        <f>IFERROR(__xludf.DUMMYFUNCTION("GOOGLETRANSLATE(A272, ""ar"", ""bn"")"),"এম ইয়েল সেন্ট্রালের")</f>
        <v>এম ইয়েল সেন্ট্রালের</v>
      </c>
    </row>
    <row r="273">
      <c r="A273" s="2" t="s">
        <v>414</v>
      </c>
      <c r="B273" s="3" t="str">
        <f>IFERROR(__xludf.DUMMYFUNCTION("GOOGLETRANSLATE(A273, ""ar"", ""bn"")"),"Amamrkz ক্ষমতা")</f>
        <v>Amamrkz ক্ষমতা</v>
      </c>
    </row>
    <row r="274">
      <c r="A274" s="2" t="s">
        <v>415</v>
      </c>
      <c r="B274" s="3" t="str">
        <f>IFERROR(__xludf.DUMMYFUNCTION("GOOGLETRANSLATE(A274, ""ar"", ""bn"")"),"কেন্দ্রীভূত রাষ্ট্র")</f>
        <v>কেন্দ্রীভূত রাষ্ট্র</v>
      </c>
    </row>
    <row r="275">
      <c r="A275" s="2" t="s">
        <v>416</v>
      </c>
      <c r="B275" s="3" t="str">
        <f>IFERROR(__xludf.DUMMYFUNCTION("GOOGLETRANSLATE(A275, ""ar"", ""bn"")"),"প্রোটোকল সিস্টেম")</f>
        <v>প্রোটোকল সিস্টেম</v>
      </c>
    </row>
    <row r="276">
      <c r="A276" s="2" t="s">
        <v>417</v>
      </c>
      <c r="B276" s="3" t="str">
        <f>IFERROR(__xludf.DUMMYFUNCTION("GOOGLETRANSLATE(A276, ""ar"", ""bn"")"),"যোগাযোগমন্ত্রী সিরিজ")</f>
        <v>যোগাযোগমন্ত্রী সিরিজ</v>
      </c>
    </row>
    <row r="277">
      <c r="A277" s="2" t="s">
        <v>262</v>
      </c>
      <c r="B277" s="3" t="str">
        <f>IFERROR(__xludf.DUMMYFUNCTION("GOOGLETRANSLATE(A277, ""ar"", ""bn"")"),"কূটনীতি")</f>
        <v>কূটনীতি</v>
      </c>
    </row>
    <row r="278">
      <c r="A278" s="2" t="s">
        <v>418</v>
      </c>
      <c r="B278" s="3" t="str">
        <f>IFERROR(__xludf.DUMMYFUNCTION("GOOGLETRANSLATE(A278, ""ar"", ""bn"")"),"রাজনৈতিক পরিচিতি একটি শৃঙ্খলা")</f>
        <v>রাজনৈতিক পরিচিতি একটি শৃঙ্খলা</v>
      </c>
    </row>
    <row r="279">
      <c r="A279" s="2" t="s">
        <v>419</v>
      </c>
      <c r="B279" s="3" t="str">
        <f>IFERROR(__xludf.DUMMYFUNCTION("GOOGLETRANSLATE(A279, ""ar"", ""bn"")"),"চেয়ার")</f>
        <v>চেয়ার</v>
      </c>
    </row>
    <row r="280">
      <c r="A280" s="2" t="s">
        <v>420</v>
      </c>
      <c r="B280" s="3" t="str">
        <f>IFERROR(__xludf.DUMMYFUNCTION("GOOGLETRANSLATE(A280, ""ar"", ""bn"")"),"অফিসে এম প্রয়োজনীয়তা")</f>
        <v>অফিসে এম প্রয়োজনীয়তা</v>
      </c>
    </row>
    <row r="281">
      <c r="A281" s="2" t="s">
        <v>367</v>
      </c>
      <c r="B281" s="3" t="str">
        <f>IFERROR(__xludf.DUMMYFUNCTION("GOOGLETRANSLATE(A281, ""ar"", ""bn"")"),"কূটনীতিজ্ঞ")</f>
        <v>কূটনীতিজ্ঞ</v>
      </c>
    </row>
    <row r="282">
      <c r="A282" s="2" t="s">
        <v>421</v>
      </c>
      <c r="B282" s="3" t="str">
        <f>IFERROR(__xludf.DUMMYFUNCTION("GOOGLETRANSLATE(A282, ""ar"", ""bn"")"),"কমন্স সিস্টেমের হাউস")</f>
        <v>কমন্স সিস্টেমের হাউস</v>
      </c>
    </row>
    <row r="283">
      <c r="A283" s="2" t="s">
        <v>356</v>
      </c>
      <c r="B283" s="3" t="str">
        <f>IFERROR(__xludf.DUMMYFUNCTION("GOOGLETRANSLATE(A283, ""ar"", ""bn"")"),"ব্রিটিশ")</f>
        <v>ব্রিটিশ</v>
      </c>
    </row>
    <row r="284">
      <c r="A284" s="2" t="s">
        <v>422</v>
      </c>
      <c r="B284" s="3" t="str">
        <f>IFERROR(__xludf.DUMMYFUNCTION("GOOGLETRANSLATE(A284, ""ar"", ""bn"")"),"সংসদ")</f>
        <v>সংসদ</v>
      </c>
    </row>
    <row r="285">
      <c r="A285" s="2" t="s">
        <v>423</v>
      </c>
      <c r="B285" s="3" t="str">
        <f>IFERROR(__xludf.DUMMYFUNCTION("GOOGLETRANSLATE(A285, ""ar"", ""bn"")"),"লর্ডস সিস্টেম হাউস")</f>
        <v>লর্ডস সিস্টেম হাউস</v>
      </c>
    </row>
    <row r="286">
      <c r="A286" s="2" t="s">
        <v>356</v>
      </c>
      <c r="B286" s="3" t="str">
        <f>IFERROR(__xludf.DUMMYFUNCTION("GOOGLETRANSLATE(A286, ""ar"", ""bn"")"),"ব্রিটিশ")</f>
        <v>ব্রিটিশ</v>
      </c>
    </row>
    <row r="287">
      <c r="A287" s="2" t="s">
        <v>424</v>
      </c>
      <c r="B287" s="3" t="str">
        <f>IFERROR(__xludf.DUMMYFUNCTION("GOOGLETRANSLATE(A287, ""ar"", ""bn"")"),"কূটনৈতিক মিশন সদর দপ্তর")</f>
        <v>কূটনৈতিক মিশন সদর দপ্তর</v>
      </c>
    </row>
    <row r="288">
      <c r="A288" s="2" t="s">
        <v>425</v>
      </c>
      <c r="B288" s="3" t="str">
        <f>IFERROR(__xludf.DUMMYFUNCTION("GOOGLETRANSLATE(A288, ""ar"", ""bn"")"),"কূটনৈতিক আলোচনা প্রকৃতি")</f>
        <v>কূটনৈতিক আলোচনা প্রকৃতি</v>
      </c>
    </row>
    <row r="289">
      <c r="A289" s="2" t="s">
        <v>426</v>
      </c>
      <c r="B289" s="3" t="str">
        <f>IFERROR(__xludf.DUMMYFUNCTION("GOOGLETRANSLATE(A289, ""ar"", ""bn"")"),"রাষ্ট্রনিযুক্তক")</f>
        <v>রাষ্ট্রনিযুক্তক</v>
      </c>
    </row>
    <row r="290">
      <c r="A290" s="2" t="s">
        <v>427</v>
      </c>
      <c r="B290" s="3" t="str">
        <f>IFERROR(__xludf.DUMMYFUNCTION("GOOGLETRANSLATE(A290, ""ar"", ""bn"")"),"চার্টার বা যুগ")</f>
        <v>চার্টার বা যুগ</v>
      </c>
    </row>
    <row r="291">
      <c r="A291" s="2" t="s">
        <v>428</v>
      </c>
      <c r="B291" s="3" t="str">
        <f>IFERROR(__xludf.DUMMYFUNCTION("GOOGLETRANSLATE(A291, ""ar"", ""bn"")"),"Horsefly জাতীয়")</f>
        <v>Horsefly জাতীয়</v>
      </c>
    </row>
    <row r="292">
      <c r="A292" s="2" t="s">
        <v>429</v>
      </c>
      <c r="B292" s="3" t="str">
        <f>IFERROR(__xludf.DUMMYFUNCTION("GOOGLETRANSLATE(A292, ""ar"", ""bn"")"),"রাসায়নিক অস্ত্র")</f>
        <v>রাসায়নিক অস্ত্র</v>
      </c>
    </row>
    <row r="293">
      <c r="A293" s="2" t="s">
        <v>430</v>
      </c>
      <c r="B293" s="3" t="str">
        <f>IFERROR(__xludf.DUMMYFUNCTION("GOOGLETRANSLATE(A293, ""ar"", ""bn"")"),"প্রতিনিধি দলের প্রধান, কূটনৈতিক")</f>
        <v>প্রতিনিধি দলের প্রধান, কূটনৈতিক</v>
      </c>
    </row>
    <row r="294">
      <c r="A294" s="2" t="s">
        <v>431</v>
      </c>
      <c r="B294" s="3" t="str">
        <f>IFERROR(__xludf.DUMMYFUNCTION("GOOGLETRANSLATE(A294, ""ar"", ""bn"")"),"প্রোটোকল পরিচালক")</f>
        <v>প্রোটোকল পরিচালক</v>
      </c>
    </row>
    <row r="295">
      <c r="A295" s="2" t="s">
        <v>432</v>
      </c>
      <c r="B295" s="3" t="str">
        <f>IFERROR(__xludf.DUMMYFUNCTION("GOOGLETRANSLATE(A295, ""ar"", ""bn"")"),"Amuamm কূটনৈতিক প্রতিবেদন")</f>
        <v>Amuamm কূটনৈতিক প্রতিবেদন</v>
      </c>
    </row>
    <row r="296">
      <c r="A296" s="2" t="s">
        <v>433</v>
      </c>
      <c r="B296" s="3" t="str">
        <f>IFERROR(__xludf.DUMMYFUNCTION("GOOGLETRANSLATE(A296, ""ar"", ""bn"")"),"Amuamm রাজনৈতিক প্রতিবেদন")</f>
        <v>Amuamm রাজনৈতিক প্রতিবেদন</v>
      </c>
    </row>
    <row r="297">
      <c r="A297" s="2" t="s">
        <v>434</v>
      </c>
      <c r="B297" s="3" t="str">
        <f>IFERROR(__xludf.DUMMYFUNCTION("GOOGLETRANSLATE(A297, ""ar"", ""bn"")"),"এম কূটনৈতিক নোট সাধারণ")</f>
        <v>এম কূটনৈতিক নোট সাধারণ</v>
      </c>
    </row>
    <row r="298">
      <c r="A298" s="2" t="s">
        <v>435</v>
      </c>
      <c r="B298" s="3" t="str">
        <f>IFERROR(__xludf.DUMMYFUNCTION("GOOGLETRANSLATE(A298, ""ar"", ""bn"")"),"এম রাজনৈতিক স্মারকলিপি Muamm সাধরণ")</f>
        <v>এম রাজনৈতিক স্মারকলিপি Muamm সাধরণ</v>
      </c>
    </row>
    <row r="299">
      <c r="A299" s="2" t="s">
        <v>436</v>
      </c>
      <c r="B299" s="3" t="str">
        <f>IFERROR(__xludf.DUMMYFUNCTION("GOOGLETRANSLATE(A299, ""ar"", ""bn"")"),"মিমি মান")</f>
        <v>মিমি মান</v>
      </c>
    </row>
    <row r="300">
      <c r="A300" s="2" t="s">
        <v>437</v>
      </c>
      <c r="B300" s="3" t="str">
        <f>IFERROR(__xludf.DUMMYFUNCTION("GOOGLETRANSLATE(A300, ""ar"", ""bn"")"),"নাগরিক অধিকার")</f>
        <v>নাগরিক অধিকার</v>
      </c>
    </row>
    <row r="301">
      <c r="A301" s="2" t="s">
        <v>438</v>
      </c>
      <c r="B301" s="3" t="str">
        <f>IFERROR(__xludf.DUMMYFUNCTION("GOOGLETRANSLATE(A301, ""ar"", ""bn"")"),"নাগরিকত্ত অবস্থা")</f>
        <v>নাগরিকত্ত অবস্থা</v>
      </c>
    </row>
    <row r="302">
      <c r="A302" s="2" t="s">
        <v>439</v>
      </c>
      <c r="B302" s="3" t="str">
        <f>IFERROR(__xludf.DUMMYFUNCTION("GOOGLETRANSLATE(A302, ""ar"", ""bn"")"),"অভ্যন্তরীণ শত্রুতা")</f>
        <v>অভ্যন্তরীণ শত্রুতা</v>
      </c>
    </row>
    <row r="303">
      <c r="A303" s="2" t="s">
        <v>440</v>
      </c>
      <c r="B303" s="3" t="str">
        <f>IFERROR(__xludf.DUMMYFUNCTION("GOOGLETRANSLATE(A303, ""ar"", ""bn"")"),"অসামরিক ক্ষতি")</f>
        <v>অসামরিক ক্ষতি</v>
      </c>
    </row>
    <row r="304">
      <c r="A304" s="2" t="s">
        <v>441</v>
      </c>
      <c r="B304" s="3" t="str">
        <f>IFERROR(__xludf.DUMMYFUNCTION("GOOGLETRANSLATE(A304, ""ar"", ""bn"")"),"অসামরিক প্রতিরোধ ব্যবস্থা")</f>
        <v>অসামরিক প্রতিরোধ ব্যবস্থা</v>
      </c>
    </row>
    <row r="305">
      <c r="A305" s="2" t="s">
        <v>442</v>
      </c>
      <c r="B305" s="3" t="str">
        <f>IFERROR(__xludf.DUMMYFUNCTION("GOOGLETRANSLATE(A305, ""ar"", ""bn"")"),"সিভিল স্বাধীনতা")</f>
        <v>সিভিল স্বাধীনতা</v>
      </c>
    </row>
    <row r="306">
      <c r="A306" s="2" t="s">
        <v>443</v>
      </c>
      <c r="B306" s="3" t="str">
        <f>IFERROR(__xludf.DUMMYFUNCTION("GOOGLETRANSLATE(A306, ""ar"", ""bn"")"),"নাগরিক অধিকার")</f>
        <v>নাগরিক অধিকার</v>
      </c>
    </row>
    <row r="307">
      <c r="A307" s="2" t="s">
        <v>444</v>
      </c>
      <c r="B307" s="3" t="str">
        <f>IFERROR(__xludf.DUMMYFUNCTION("GOOGLETRANSLATE(A307, ""ar"", ""bn"")"),"গৃহযুদ্ধ")</f>
        <v>গৃহযুদ্ধ</v>
      </c>
    </row>
    <row r="308">
      <c r="A308" s="2" t="s">
        <v>445</v>
      </c>
      <c r="B308" s="3" t="str">
        <f>IFERROR(__xludf.DUMMYFUNCTION("GOOGLETRANSLATE(A308, ""ar"", ""bn"")"),"হে নাগরিক জাতি")</f>
        <v>হে নাগরিক জাতি</v>
      </c>
    </row>
    <row r="309">
      <c r="A309" s="2" t="s">
        <v>446</v>
      </c>
      <c r="B309" s="3" t="str">
        <f>IFERROR(__xludf.DUMMYFUNCTION("GOOGLETRANSLATE(A309, ""ar"", ""bn"")"),"Mthoud রাজ্যগুলির")</f>
        <v>Mthoud রাজ্যগুলির</v>
      </c>
    </row>
    <row r="310">
      <c r="A310" s="2" t="s">
        <v>447</v>
      </c>
      <c r="B310" s="3" t="str">
        <f>IFERROR(__xludf.DUMMYFUNCTION("GOOGLETRANSLATE(A310, ""ar"", ""bn"")"),"আমি সম্প্রদায়ে থাকুন")</f>
        <v>আমি সম্প্রদায়ে থাকুন</v>
      </c>
    </row>
    <row r="311">
      <c r="A311" s="2" t="s">
        <v>448</v>
      </c>
      <c r="B311" s="3" t="str">
        <f>IFERROR(__xludf.DUMMYFUNCTION("GOOGLETRANSLATE(A311, ""ar"", ""bn"")"),"কূটনৈতিক কর্ম শ্রেণীবিভাগ")</f>
        <v>কূটনৈতিক কর্ম শ্রেণীবিভাগ</v>
      </c>
    </row>
    <row r="312">
      <c r="A312" s="2" t="s">
        <v>449</v>
      </c>
      <c r="B312" s="3" t="str">
        <f>IFERROR(__xludf.DUMMYFUNCTION("GOOGLETRANSLATE(A312, ""ar"", ""bn"")"),"সোসাইটি একটি ক্লাস হয়")</f>
        <v>সোসাইটি একটি ক্লাস হয়</v>
      </c>
    </row>
    <row r="313">
      <c r="A313" s="2" t="s">
        <v>450</v>
      </c>
      <c r="B313" s="3" t="str">
        <f>IFERROR(__xludf.DUMMYFUNCTION("GOOGLETRANSLATE(A313, ""ar"", ""bn"")"),"রাজনৈতিক পরিস্থিতি শো")</f>
        <v>রাজনৈতিক পরিস্থিতি শো</v>
      </c>
    </row>
    <row r="314">
      <c r="A314" s="2" t="s">
        <v>451</v>
      </c>
      <c r="B314" s="3" t="str">
        <f>IFERROR(__xludf.DUMMYFUNCTION("GOOGLETRANSLATE(A314, ""ar"", ""bn"")"),"আর দেশের মধ্যে ঘনিষ্ঠ সহযোগিতার")</f>
        <v>আর দেশের মধ্যে ঘনিষ্ঠ সহযোগিতার</v>
      </c>
    </row>
    <row r="315">
      <c r="A315" s="2" t="s">
        <v>452</v>
      </c>
      <c r="B315" s="3" t="str">
        <f>IFERROR(__xludf.DUMMYFUNCTION("GOOGLETRANSLATE(A315, ""ar"", ""bn"")"),"বন্ধ অধিবেশন")</f>
        <v>বন্ধ অধিবেশন</v>
      </c>
    </row>
    <row r="316">
      <c r="A316" s="2" t="s">
        <v>453</v>
      </c>
      <c r="B316" s="3" t="str">
        <f>IFERROR(__xludf.DUMMYFUNCTION("GOOGLETRANSLATE(A316, ""ar"", ""bn"")"),"বদ্ধ সভায়")</f>
        <v>বদ্ধ সভায়</v>
      </c>
    </row>
    <row r="317">
      <c r="A317" s="2" t="s">
        <v>454</v>
      </c>
      <c r="B317" s="3" t="str">
        <f>IFERROR(__xludf.DUMMYFUNCTION("GOOGLETRANSLATE(A317, ""ar"", ""bn"")"),"সমাপনী")</f>
        <v>সমাপনী</v>
      </c>
    </row>
    <row r="318">
      <c r="A318" s="2" t="s">
        <v>455</v>
      </c>
      <c r="B318" s="3" t="str">
        <f>IFERROR(__xludf.DUMMYFUNCTION("GOOGLETRANSLATE(A318, ""ar"", ""bn"")"),"সীমান্ত বন্ধ")</f>
        <v>সীমান্ত বন্ধ</v>
      </c>
    </row>
    <row r="319">
      <c r="A319" s="2" t="s">
        <v>456</v>
      </c>
      <c r="B319" s="3" t="str">
        <f>IFERROR(__xludf.DUMMYFUNCTION("GOOGLETRANSLATE(A319, ""ar"", ""bn"")"),"আলোচনা শেষে")</f>
        <v>আলোচনা শেষে</v>
      </c>
    </row>
    <row r="320">
      <c r="A320" s="2" t="s">
        <v>262</v>
      </c>
      <c r="B320" s="3" t="str">
        <f>IFERROR(__xludf.DUMMYFUNCTION("GOOGLETRANSLATE(A320, ""ar"", ""bn"")"),"কূটনীতি")</f>
        <v>কূটনীতি</v>
      </c>
    </row>
    <row r="321">
      <c r="A321" s="2" t="s">
        <v>457</v>
      </c>
      <c r="B321" s="3" t="str">
        <f>IFERROR(__xludf.DUMMYFUNCTION("GOOGLETRANSLATE(A321, ""ar"", ""bn"")"),"বন্ধ সেশন")</f>
        <v>বন্ধ সেশন</v>
      </c>
    </row>
    <row r="322">
      <c r="A322" s="2" t="s">
        <v>458</v>
      </c>
      <c r="B322" s="3" t="str">
        <f>IFERROR(__xludf.DUMMYFUNCTION("GOOGLETRANSLATE(A322, ""ar"", ""bn"")"),"কোয়ালিশন বাহিনীর")</f>
        <v>কোয়ালিশন বাহিনীর</v>
      </c>
    </row>
    <row r="323">
      <c r="A323" s="2" t="s">
        <v>459</v>
      </c>
      <c r="B323" s="3" t="str">
        <f>IFERROR(__xludf.DUMMYFUNCTION("GOOGLETRANSLATE(A323, ""ar"", ""bn"")"),"মন্ত্রণালয় জোট")</f>
        <v>মন্ত্রণালয় জোট</v>
      </c>
    </row>
    <row r="324">
      <c r="A324" s="2" t="s">
        <v>460</v>
      </c>
      <c r="B324" s="3" t="str">
        <f>IFERROR(__xludf.DUMMYFUNCTION("GOOGLETRANSLATE(A324, ""ar"", ""bn"")"),"ভাইস চেয়ার")</f>
        <v>ভাইস চেয়ার</v>
      </c>
    </row>
    <row r="325">
      <c r="A325" s="2" t="s">
        <v>461</v>
      </c>
      <c r="B325" s="3" t="str">
        <f>IFERROR(__xludf.DUMMYFUNCTION("GOOGLETRANSLATE(A325, ""ar"", ""bn"")"),"আচার কূটনৈতিক কোড")</f>
        <v>আচার কূটনৈতিক কোড</v>
      </c>
    </row>
    <row r="326">
      <c r="A326" s="2" t="s">
        <v>462</v>
      </c>
      <c r="B326" s="3" t="str">
        <f>IFERROR(__xludf.DUMMYFUNCTION("GOOGLETRANSLATE(A326, ""ar"", ""bn"")"),"নেশনস আইন")</f>
        <v>নেশনস আইন</v>
      </c>
    </row>
    <row r="327">
      <c r="A327" s="2" t="s">
        <v>463</v>
      </c>
      <c r="B327" s="3" t="str">
        <f>IFERROR(__xludf.DUMMYFUNCTION("GOOGLETRANSLATE(A327, ""ar"", ""bn"")"),"রাজনৈতিক দল আইন")</f>
        <v>রাজনৈতিক দল আইন</v>
      </c>
    </row>
    <row r="328">
      <c r="A328" s="2" t="s">
        <v>464</v>
      </c>
      <c r="B328" s="3" t="str">
        <f>IFERROR(__xludf.DUMMYFUNCTION("GOOGLETRANSLATE(A328, ""ar"", ""bn"")"),"স্বেচ্ছাচারি শাসন")</f>
        <v>স্বেচ্ছাচারি শাসন</v>
      </c>
    </row>
    <row r="329">
      <c r="A329" s="2" t="s">
        <v>465</v>
      </c>
      <c r="B329" s="3" t="str">
        <f>IFERROR(__xludf.DUMMYFUNCTION("GOOGLETRANSLATE(A329, ""ar"", ""bn"")"),"দমনমূলক কর্তৃপক্ষ")</f>
        <v>দমনমূলক কর্তৃপক্ষ</v>
      </c>
    </row>
    <row r="330">
      <c r="A330" s="2" t="s">
        <v>466</v>
      </c>
      <c r="B330" s="3" t="str">
        <f>IFERROR(__xludf.DUMMYFUNCTION("GOOGLETRANSLATE(A330, ""ar"", ""bn"")"),"ঠান্ডা মাথার যুদ্ধ")</f>
        <v>ঠান্ডা মাথার যুদ্ধ</v>
      </c>
    </row>
    <row r="331">
      <c r="A331" s="2" t="s">
        <v>467</v>
      </c>
      <c r="B331" s="3" t="str">
        <f>IFERROR(__xludf.DUMMYFUNCTION("GOOGLETRANSLATE(A331, ""ar"", ""bn"")"),"ক্ষমতার পক্ষের মধ্যে সহযোগিতা")</f>
        <v>ক্ষমতার পক্ষের মধ্যে সহযোগিতা</v>
      </c>
    </row>
    <row r="332">
      <c r="A332" s="2" t="s">
        <v>468</v>
      </c>
      <c r="B332" s="3" t="str">
        <f>IFERROR(__xludf.DUMMYFUNCTION("GOOGLETRANSLATE(A332, ""ar"", ""bn"")"),"রাজনৈতিক")</f>
        <v>রাজনৈতিক</v>
      </c>
    </row>
    <row r="333">
      <c r="A333" s="2" t="s">
        <v>469</v>
      </c>
      <c r="B333" s="3" t="str">
        <f>IFERROR(__xludf.DUMMYFUNCTION("GOOGLETRANSLATE(A333, ""ar"", ""bn"")"),"এম যৌথ দরকষাকষি")</f>
        <v>এম যৌথ দরকষাকষি</v>
      </c>
    </row>
    <row r="334">
      <c r="A334" s="2" t="s">
        <v>470</v>
      </c>
      <c r="B334" s="3" t="str">
        <f>IFERROR(__xludf.DUMMYFUNCTION("GOOGLETRANSLATE(A334, ""ar"", ""bn"")"),"সামাজিক পদত্যাগ")</f>
        <v>সামাজিক পদত্যাগ</v>
      </c>
    </row>
    <row r="335">
      <c r="A335" s="2" t="s">
        <v>471</v>
      </c>
      <c r="B335" s="3" t="str">
        <f>IFERROR(__xludf.DUMMYFUNCTION("GOOGLETRANSLATE(A335, ""ar"", ""bn"")"),"সমষ্টিগত Ejido নীতিকে")</f>
        <v>সমষ্টিগত Ejido নীতিকে</v>
      </c>
    </row>
    <row r="336">
      <c r="A336" s="2" t="s">
        <v>472</v>
      </c>
      <c r="B336" s="3" t="str">
        <f>IFERROR(__xludf.DUMMYFUNCTION("GOOGLETRANSLATE(A336, ""ar"", ""bn"")"),"পেশা")</f>
        <v>পেশা</v>
      </c>
    </row>
    <row r="337">
      <c r="A337" s="2" t="s">
        <v>473</v>
      </c>
      <c r="B337" s="3" t="str">
        <f>IFERROR(__xludf.DUMMYFUNCTION("GOOGLETRANSLATE(A337, ""ar"", ""bn"")"),"গু গুলি ঔপনিবেশিক")</f>
        <v>গু গুলি ঔপনিবেশিক</v>
      </c>
    </row>
    <row r="338">
      <c r="A338" s="2" t="s">
        <v>474</v>
      </c>
      <c r="B338" s="3" t="str">
        <f>IFERROR(__xludf.DUMMYFUNCTION("GOOGLETRANSLATE(A338, ""ar"", ""bn"")"),"এম উপনিবেশ")</f>
        <v>এম উপনিবেশ</v>
      </c>
    </row>
    <row r="339">
      <c r="A339" s="2" t="s">
        <v>475</v>
      </c>
      <c r="B339" s="3" t="str">
        <f>IFERROR(__xludf.DUMMYFUNCTION("GOOGLETRANSLATE(A339, ""ar"", ""bn"")"),"এম যোদ্ধা")</f>
        <v>এম যোদ্ধা</v>
      </c>
    </row>
    <row r="340">
      <c r="A340" s="2" t="s">
        <v>476</v>
      </c>
      <c r="B340" s="3" t="str">
        <f>IFERROR(__xludf.DUMMYFUNCTION("GOOGLETRANSLATE(A340, ""ar"", ""bn"")"),"সম্ভাব্য")</f>
        <v>সম্ভাব্য</v>
      </c>
    </row>
    <row r="341">
      <c r="A341" s="2" t="s">
        <v>477</v>
      </c>
      <c r="B341" s="3" t="str">
        <f>IFERROR(__xludf.DUMMYFUNCTION("GOOGLETRANSLATE(A341, ""ar"", ""bn"")"),"ডি Amakhl শহীদদের স্মরণে")</f>
        <v>ডি Amakhl শহীদদের স্মরণে</v>
      </c>
    </row>
    <row r="342">
      <c r="A342" s="2" t="s">
        <v>478</v>
      </c>
      <c r="B342" s="3" t="str">
        <f>IFERROR(__xludf.DUMMYFUNCTION("GOOGLETRANSLATE(A342, ""ar"", ""bn"")"),"স্মৃতিরক্ষা The একটি অনুষ্ঠান")</f>
        <v>স্মৃতিরক্ষা The একটি অনুষ্ঠান</v>
      </c>
    </row>
    <row r="343">
      <c r="A343" s="2" t="s">
        <v>479</v>
      </c>
      <c r="B343" s="3" t="str">
        <f>IFERROR(__xludf.DUMMYFUNCTION("GOOGLETRANSLATE(A343, ""ar"", ""bn"")"),"রাজনৈতিক বক্তৃতা উপর Amak খ")</f>
        <v>রাজনৈতিক বক্তৃতা উপর Amak খ</v>
      </c>
    </row>
    <row r="344">
      <c r="A344" s="2" t="s">
        <v>480</v>
      </c>
      <c r="B344" s="3" t="str">
        <f>IFERROR(__xludf.DUMMYFUNCTION("GOOGLETRANSLATE(A344, ""ar"", ""bn"")"),"বক্তৃতা মন্তব্য")</f>
        <v>বক্তৃতা মন্তব্য</v>
      </c>
    </row>
    <row r="345">
      <c r="A345" s="2" t="s">
        <v>481</v>
      </c>
      <c r="B345" s="3" t="str">
        <f>IFERROR(__xludf.DUMMYFUNCTION("GOOGLETRANSLATE(A345, ""ar"", ""bn"")"),"স্টাডি সমস্যাসমূহের কমিশন")</f>
        <v>স্টাডি সমস্যাসমূহের কমিশন</v>
      </c>
    </row>
    <row r="346">
      <c r="A346" s="2" t="s">
        <v>468</v>
      </c>
      <c r="B346" s="3" t="str">
        <f>IFERROR(__xludf.DUMMYFUNCTION("GOOGLETRANSLATE(A346, ""ar"", ""bn"")"),"রাজনৈতিক")</f>
        <v>রাজনৈতিক</v>
      </c>
    </row>
    <row r="347">
      <c r="A347" s="2" t="s">
        <v>482</v>
      </c>
      <c r="B347" s="3" t="str">
        <f>IFERROR(__xludf.DUMMYFUNCTION("GOOGLETRANSLATE(A347, ""ar"", ""bn"")"),"যৌথ Alttal এ")</f>
        <v>যৌথ Alttal এ</v>
      </c>
    </row>
    <row r="348">
      <c r="A348" s="2" t="s">
        <v>483</v>
      </c>
      <c r="B348" s="3" t="str">
        <f>IFERROR(__xludf.DUMMYFUNCTION("GOOGLETRANSLATE(A348, ""ar"", ""bn"")"),"সম্প্রদায়গুলি")</f>
        <v>সম্প্রদায়গুলি</v>
      </c>
    </row>
    <row r="349">
      <c r="A349" s="2" t="s">
        <v>484</v>
      </c>
      <c r="B349" s="3" t="str">
        <f>IFERROR(__xludf.DUMMYFUNCTION("GOOGLETRANSLATE(A349, ""ar"", ""bn"")"),"যুগ্ম প্রতিরক্ষা")</f>
        <v>যুগ্ম প্রতিরক্ষা</v>
      </c>
    </row>
    <row r="350">
      <c r="A350" s="2" t="s">
        <v>485</v>
      </c>
      <c r="B350" s="3" t="str">
        <f>IFERROR(__xludf.DUMMYFUNCTION("GOOGLETRANSLATE(A350, ""ar"", ""bn"")"),"প্রচলিত মানব স্বার্থ")</f>
        <v>প্রচলিত মানব স্বার্থ</v>
      </c>
    </row>
    <row r="351">
      <c r="A351" s="2" t="s">
        <v>486</v>
      </c>
      <c r="B351" s="3" t="str">
        <f>IFERROR(__xludf.DUMMYFUNCTION("GOOGLETRANSLATE(A351, ""ar"", ""bn"")"),"যুগ্ম রাজনৈতিক সংস্থা")</f>
        <v>যুগ্ম রাজনৈতিক সংস্থা</v>
      </c>
    </row>
    <row r="352">
      <c r="A352" s="2" t="s">
        <v>487</v>
      </c>
      <c r="B352" s="3" t="str">
        <f>IFERROR(__xludf.DUMMYFUNCTION("GOOGLETRANSLATE(A352, ""ar"", ""bn"")"),"কমনওয়েলথ মানুষের")</f>
        <v>কমনওয়েলথ মানুষের</v>
      </c>
    </row>
    <row r="353">
      <c r="A353" s="2" t="s">
        <v>488</v>
      </c>
      <c r="B353" s="3" t="str">
        <f>IFERROR(__xludf.DUMMYFUNCTION("GOOGLETRANSLATE(A353, ""ar"", ""bn"")"),"ব্রিটিশ সম্পদ")</f>
        <v>ব্রিটিশ সম্পদ</v>
      </c>
    </row>
    <row r="354">
      <c r="A354" s="2" t="s">
        <v>489</v>
      </c>
      <c r="B354" s="3" t="str">
        <f>IFERROR(__xludf.DUMMYFUNCTION("GOOGLETRANSLATE(A354, ""ar"", ""bn"")"),"সাধারণ")</f>
        <v>সাধারণ</v>
      </c>
    </row>
    <row r="355">
      <c r="A355" s="2" t="s">
        <v>490</v>
      </c>
      <c r="B355" s="3" t="str">
        <f>IFERROR(__xludf.DUMMYFUNCTION("GOOGLETRANSLATE(A355, ""ar"", ""bn"")"),"বুদ্ধিসম্পন্নতা")</f>
        <v>বুদ্ধিসম্পন্নতা</v>
      </c>
    </row>
    <row r="356">
      <c r="A356" s="2" t="s">
        <v>491</v>
      </c>
      <c r="B356" s="3" t="str">
        <f>IFERROR(__xludf.DUMMYFUNCTION("GOOGLETRANSLATE(A356, ""ar"", ""bn"")"),"কমিটি মধ্যে যোগাযোগ")</f>
        <v>কমিটি মধ্যে যোগাযোগ</v>
      </c>
    </row>
    <row r="357">
      <c r="A357" s="2" t="s">
        <v>468</v>
      </c>
      <c r="B357" s="3" t="str">
        <f>IFERROR(__xludf.DUMMYFUNCTION("GOOGLETRANSLATE(A357, ""ar"", ""bn"")"),"রাজনৈতিক")</f>
        <v>রাজনৈতিক</v>
      </c>
    </row>
    <row r="358">
      <c r="A358" s="2" t="s">
        <v>492</v>
      </c>
      <c r="B358" s="3" t="str">
        <f>IFERROR(__xludf.DUMMYFUNCTION("GOOGLETRANSLATE(A358, ""ar"", ""bn"")"),"সাম্যবাদ")</f>
        <v>সাম্যবাদ</v>
      </c>
    </row>
    <row r="359">
      <c r="A359" s="2" t="s">
        <v>493</v>
      </c>
      <c r="B359" s="3" t="str">
        <f>IFERROR(__xludf.DUMMYFUNCTION("GOOGLETRANSLATE(A359, ""ar"", ""bn"")"),"সাম্যবাদী")</f>
        <v>সাম্যবাদী</v>
      </c>
    </row>
    <row r="360">
      <c r="A360" s="2" t="s">
        <v>494</v>
      </c>
      <c r="B360" s="3" t="str">
        <f>IFERROR(__xludf.DUMMYFUNCTION("GOOGLETRANSLATE(A360, ""ar"", ""bn"")"),"সমাজতান্ত্রিক লাভ")</f>
        <v>সমাজতান্ত্রিক লাভ</v>
      </c>
    </row>
    <row r="361">
      <c r="A361" s="2" t="s">
        <v>495</v>
      </c>
      <c r="B361" s="3" t="str">
        <f>IFERROR(__xludf.DUMMYFUNCTION("GOOGLETRANSLATE(A361, ""ar"", ""bn"")"),"কমিউনিস্ট সেল")</f>
        <v>কমিউনিস্ট সেল</v>
      </c>
    </row>
    <row r="362">
      <c r="A362" s="2" t="s">
        <v>496</v>
      </c>
      <c r="B362" s="3" t="str">
        <f>IFERROR(__xludf.DUMMYFUNCTION("GOOGLETRANSLATE(A362, ""ar"", ""bn"")"),"কমিউনিস্ট সরকার")</f>
        <v>কমিউনিস্ট সরকার</v>
      </c>
    </row>
    <row r="363">
      <c r="A363" s="2" t="s">
        <v>497</v>
      </c>
      <c r="B363" s="3" t="str">
        <f>IFERROR(__xludf.DUMMYFUNCTION("GOOGLETRANSLATE(A363, ""ar"", ""bn"")"),"সমাজতান্ত্রিক দল")</f>
        <v>সমাজতান্ত্রিক দল</v>
      </c>
    </row>
    <row r="364">
      <c r="A364" s="2" t="s">
        <v>498</v>
      </c>
      <c r="B364" s="3" t="str">
        <f>IFERROR(__xludf.DUMMYFUNCTION("GOOGLETRANSLATE(A364, ""ar"", ""bn"")"),"কমিউনিটি গ্রুপ")</f>
        <v>কমিউনিটি গ্রুপ</v>
      </c>
    </row>
    <row r="365">
      <c r="A365" s="2" t="s">
        <v>499</v>
      </c>
      <c r="B365" s="3" t="str">
        <f>IFERROR(__xludf.DUMMYFUNCTION("GOOGLETRANSLATE(A365, ""ar"", ""bn"")"),"দুর্ব্যবহারের অভিযোগ")</f>
        <v>দুর্ব্যবহারের অভিযোগ</v>
      </c>
    </row>
    <row r="366">
      <c r="A366" s="2" t="s">
        <v>500</v>
      </c>
      <c r="B366" s="3" t="str">
        <f>IFERROR(__xludf.DUMMYFUNCTION("GOOGLETRANSLATE(A366, ""ar"", ""bn"")"),"আন্তর্জাতিক সমস্যার জটিলতা")</f>
        <v>আন্তর্জাতিক সমস্যার জটিলতা</v>
      </c>
    </row>
    <row r="367">
      <c r="A367" s="2" t="s">
        <v>501</v>
      </c>
      <c r="B367" s="3" t="str">
        <f>IFERROR(__xludf.DUMMYFUNCTION("GOOGLETRANSLATE(A367, ""ar"", ""bn"")"),"চক্রান্ত এতে সদস্যতা")</f>
        <v>চক্রান্ত এতে সদস্যতা</v>
      </c>
    </row>
    <row r="368">
      <c r="A368" s="2" t="s">
        <v>502</v>
      </c>
      <c r="B368" s="3" t="str">
        <f>IFERROR(__xludf.DUMMYFUNCTION("GOOGLETRANSLATE(A368, ""ar"", ""bn"")"),"কূটনৈতিক নিয়ম মেনে চলা")</f>
        <v>কূটনৈতিক নিয়ম মেনে চলা</v>
      </c>
    </row>
    <row r="369">
      <c r="A369" s="2" t="s">
        <v>503</v>
      </c>
      <c r="B369" s="3" t="str">
        <f>IFERROR(__xludf.DUMMYFUNCTION("GOOGLETRANSLATE(A369, ""ar"", ""bn"")"),"সন্ধির শর্ত মেনে চলতে")</f>
        <v>সন্ধির শর্ত মেনে চলতে</v>
      </c>
    </row>
    <row r="370">
      <c r="A370" s="2" t="s">
        <v>504</v>
      </c>
      <c r="B370" s="3" t="str">
        <f>IFERROR(__xludf.DUMMYFUNCTION("GOOGLETRANSLATE(A370, ""ar"", ""bn"")"),"আন্তর্জাতিক সিস্টেমের সাথে মেনে চলতে")</f>
        <v>আন্তর্জাতিক সিস্টেমের সাথে মেনে চলতে</v>
      </c>
    </row>
    <row r="371">
      <c r="A371" s="2" t="s">
        <v>505</v>
      </c>
      <c r="B371" s="3" t="str">
        <f>IFERROR(__xludf.DUMMYFUNCTION("GOOGLETRANSLATE(A371, ""ar"", ""bn"")"),"D আইন মান্য")</f>
        <v>D আইন মান্য</v>
      </c>
    </row>
    <row r="372">
      <c r="A372" s="2" t="s">
        <v>506</v>
      </c>
      <c r="B372" s="3" t="str">
        <f>IFERROR(__xludf.DUMMYFUNCTION("GOOGLETRANSLATE(A372, ""ar"", ""bn"")"),"ডি ভয় সিস্টেম")</f>
        <v>ডি ভয় সিস্টেম</v>
      </c>
    </row>
    <row r="373">
      <c r="A373" s="2" t="s">
        <v>507</v>
      </c>
      <c r="B373" s="3" t="str">
        <f>IFERROR(__xludf.DUMMYFUNCTION("GOOGLETRANSLATE(A373, ""ar"", ""bn"")"),"Dah নীতি মিলেছে")</f>
        <v>Dah নীতি মিলেছে</v>
      </c>
    </row>
    <row r="374">
      <c r="A374" s="2" t="s">
        <v>508</v>
      </c>
      <c r="B374" s="3" t="str">
        <f>IFERROR(__xludf.DUMMYFUNCTION("GOOGLETRANSLATE(A374, ""ar"", ""bn"")"),"একটি রাজনৈতিক বাঁধাই সিদ্ধান্ত")</f>
        <v>একটি রাজনৈতিক বাঁধাই সিদ্ধান্ত</v>
      </c>
    </row>
    <row r="375">
      <c r="A375" s="2" t="s">
        <v>509</v>
      </c>
      <c r="B375" s="3" t="str">
        <f>IFERROR(__xludf.DUMMYFUNCTION("GOOGLETRANSLATE(A375, ""ar"", ""bn"")"),"বাঁধাই নিয়ম")</f>
        <v>বাঁধাই নিয়ম</v>
      </c>
    </row>
    <row r="376">
      <c r="A376" s="2" t="s">
        <v>510</v>
      </c>
      <c r="B376" s="3" t="str">
        <f>IFERROR(__xludf.DUMMYFUNCTION("GOOGLETRANSLATE(A376, ""ar"", ""bn"")"),"এম কনসেনট্রেশন ক্যাম্পে")</f>
        <v>এম কনসেনট্রেশন ক্যাম্পে</v>
      </c>
    </row>
    <row r="377">
      <c r="A377" s="2" t="s">
        <v>511</v>
      </c>
      <c r="B377" s="3" t="str">
        <f>IFERROR(__xludf.DUMMYFUNCTION("GOOGLETRANSLATE(A377, ""ar"", ""bn"")"),"Franchising")</f>
        <v>Franchising</v>
      </c>
    </row>
    <row r="378">
      <c r="A378" s="2" t="s">
        <v>512</v>
      </c>
      <c r="B378" s="3" t="str">
        <f>IFERROR(__xludf.DUMMYFUNCTION("GOOGLETRANSLATE(A378, ""ar"", ""bn"")"),"কূটনীতিক সংক্ষিপ্ত বিবৃতি")</f>
        <v>কূটনীতিক সংক্ষিপ্ত বিবৃতি</v>
      </c>
    </row>
    <row r="379">
      <c r="A379" s="2" t="s">
        <v>513</v>
      </c>
      <c r="B379" s="3" t="str">
        <f>IFERROR(__xludf.DUMMYFUNCTION("GOOGLETRANSLATE(A379, ""ar"", ""bn"")"),"স্থগিত অবস্থায় সাময়িক যুদ্ধবিরতি")</f>
        <v>স্থগিত অবস্থায় সাময়িক যুদ্ধবিরতি</v>
      </c>
    </row>
    <row r="380">
      <c r="A380" s="2" t="s">
        <v>514</v>
      </c>
      <c r="B380" s="3" t="str">
        <f>IFERROR(__xludf.DUMMYFUNCTION("GOOGLETRANSLATE(A380, ""ar"", ""bn"")"),"Amnhi ধর্মঘট")</f>
        <v>Amnhi ধর্মঘট</v>
      </c>
    </row>
    <row r="381">
      <c r="A381" s="2" t="s">
        <v>515</v>
      </c>
      <c r="B381" s="3" t="str">
        <f>IFERROR(__xludf.DUMMYFUNCTION("GOOGLETRANSLATE(A381, ""ar"", ""bn"")"),"রাজনৈতিক ঐক্যমত্য")</f>
        <v>রাজনৈতিক ঐক্যমত্য</v>
      </c>
    </row>
    <row r="382">
      <c r="A382" s="2" t="s">
        <v>516</v>
      </c>
      <c r="B382" s="3" t="str">
        <f>IFERROR(__xludf.DUMMYFUNCTION("GOOGLETRANSLATE(A382, ""ar"", ""bn"")"),"ঐকমত্য মতামত")</f>
        <v>ঐকমত্য মতামত</v>
      </c>
    </row>
    <row r="383">
      <c r="A383" s="2" t="s">
        <v>468</v>
      </c>
      <c r="B383" s="3" t="str">
        <f>IFERROR(__xludf.DUMMYFUNCTION("GOOGLETRANSLATE(A383, ""ar"", ""bn"")"),"রাজনৈতিক")</f>
        <v>রাজনৈতিক</v>
      </c>
    </row>
    <row r="384">
      <c r="A384" s="2" t="s">
        <v>517</v>
      </c>
      <c r="B384" s="3" t="str">
        <f>IFERROR(__xludf.DUMMYFUNCTION("GOOGLETRANSLATE(A384, ""ar"", ""bn"")"),"Amendd Amedin")</f>
        <v>Amendd Amedin</v>
      </c>
    </row>
    <row r="385">
      <c r="A385" s="2" t="s">
        <v>518</v>
      </c>
      <c r="B385" s="3" t="str">
        <f>IFERROR(__xludf.DUMMYFUNCTION("GOOGLETRANSLATE(A385, ""ar"", ""bn"")"),"সংশোধন দৃঢ়ভাবে ঘ")</f>
        <v>সংশোধন দৃঢ়ভাবে ঘ</v>
      </c>
    </row>
    <row r="386">
      <c r="A386" s="2" t="s">
        <v>519</v>
      </c>
      <c r="B386" s="3" t="str">
        <f>IFERROR(__xludf.DUMMYFUNCTION("GOOGLETRANSLATE(A386, ""ar"", ""bn"")"),"D সহিংসতা সংশোধন")</f>
        <v>D সহিংসতা সংশোধন</v>
      </c>
    </row>
    <row r="387">
      <c r="A387" s="2" t="s">
        <v>520</v>
      </c>
      <c r="B387" s="3" t="str">
        <f>IFERROR(__xludf.DUMMYFUNCTION("GOOGLETRANSLATE(A387, ""ar"", ""bn"")"),"একজন পুলিশ স্বীকার করুন")</f>
        <v>একজন পুলিশ স্বীকার করুন</v>
      </c>
    </row>
    <row r="388">
      <c r="A388" s="2" t="s">
        <v>521</v>
      </c>
      <c r="B388" s="3" t="str">
        <f>IFERROR(__xludf.DUMMYFUNCTION("GOOGLETRANSLATE(A388, ""ar"", ""bn"")"),"পুলিশ আইটেমটি")</f>
        <v>পুলিশ আইটেমটি</v>
      </c>
    </row>
    <row r="389">
      <c r="A389" s="2" t="s">
        <v>522</v>
      </c>
      <c r="B389" s="3" t="str">
        <f>IFERROR(__xludf.DUMMYFUNCTION("GOOGLETRANSLATE(A389, ""ar"", ""bn"")"),"শর্তসাপেক্ষ নিরপেক্ষতা")</f>
        <v>শর্তসাপেক্ষ নিরপেক্ষতা</v>
      </c>
    </row>
    <row r="390">
      <c r="A390" s="2" t="s">
        <v>523</v>
      </c>
      <c r="B390" s="3" t="str">
        <f>IFERROR(__xludf.DUMMYFUNCTION("GOOGLETRANSLATE(A390, ""ar"", ""bn"")"),"ই কূটনৈতিক আলোচনা Limoges")</f>
        <v>ই কূটনৈতিক আলোচনা Limoges</v>
      </c>
    </row>
    <row r="391">
      <c r="A391" s="2" t="s">
        <v>524</v>
      </c>
      <c r="B391" s="3" t="str">
        <f>IFERROR(__xludf.DUMMYFUNCTION("GOOGLETRANSLATE(A391, ""ar"", ""bn"")"),"একটি গ্রুপ মধ্যে একটি জোট")</f>
        <v>একটি গ্রুপ মধ্যে একটি জোট</v>
      </c>
    </row>
    <row r="392">
      <c r="A392" s="2" t="s">
        <v>525</v>
      </c>
      <c r="B392" s="3" t="str">
        <f>IFERROR(__xludf.DUMMYFUNCTION("GOOGLETRANSLATE(A392, ""ar"", ""bn"")"),"Confederated রাজ্যের")</f>
        <v>Confederated রাজ্যের</v>
      </c>
    </row>
    <row r="393">
      <c r="A393" s="2" t="s">
        <v>526</v>
      </c>
      <c r="B393" s="3" t="str">
        <f>IFERROR(__xludf.DUMMYFUNCTION("GOOGLETRANSLATE(A393, ""ar"", ""bn"")"),"সম্মেলন কাটা")</f>
        <v>সম্মেলন কাটা</v>
      </c>
    </row>
    <row r="394">
      <c r="A394" s="2" t="s">
        <v>527</v>
      </c>
      <c r="B394" s="3" t="str">
        <f>IFERROR(__xludf.DUMMYFUNCTION("GOOGLETRANSLATE(A394, ""ar"", ""bn"")"),"গোপন কূটনৈতিক স্মারকলিপি ইয়ে")</f>
        <v>গোপন কূটনৈতিক স্মারকলিপি ইয়ে</v>
      </c>
    </row>
    <row r="395">
      <c r="A395" s="2" t="s">
        <v>528</v>
      </c>
      <c r="B395" s="3" t="str">
        <f>IFERROR(__xludf.DUMMYFUNCTION("GOOGLETRANSLATE(A395, ""ar"", ""bn"")"),"সিক্রেট কূটনৈতিক রিপোর্ট ইয়ে")</f>
        <v>সিক্রেট কূটনৈতিক রিপোর্ট ইয়ে</v>
      </c>
    </row>
    <row r="396">
      <c r="A396" s="2" t="s">
        <v>529</v>
      </c>
      <c r="B396" s="3" t="str">
        <f>IFERROR(__xludf.DUMMYFUNCTION("GOOGLETRANSLATE(A396, ""ar"", ""bn"")"),"সিক্রেট রাজনৈতিক ইয়ে রিপোর্ট")</f>
        <v>সিক্রেট রাজনৈতিক ইয়ে রিপোর্ট</v>
      </c>
    </row>
    <row r="397">
      <c r="A397" s="2" t="s">
        <v>530</v>
      </c>
      <c r="B397" s="3" t="str">
        <f>IFERROR(__xludf.DUMMYFUNCTION("GOOGLETRANSLATE(A397, ""ar"", ""bn"")"),"রাজনৈতিক পরিস্থিতির উপর Amakd")</f>
        <v>রাজনৈতিক পরিস্থিতির উপর Amakd</v>
      </c>
    </row>
    <row r="398">
      <c r="A398" s="2" t="s">
        <v>531</v>
      </c>
      <c r="B398" s="3" t="str">
        <f>IFERROR(__xludf.DUMMYFUNCTION("GOOGLETRANSLATE(A398, ""ar"", ""bn"")"),"এম নিশ্চিতকরণ স্মারক")</f>
        <v>এম নিশ্চিতকরণ স্মারক</v>
      </c>
    </row>
    <row r="399">
      <c r="A399" s="2" t="s">
        <v>532</v>
      </c>
      <c r="B399" s="3" t="str">
        <f>IFERROR(__xludf.DUMMYFUNCTION("GOOGLETRANSLATE(A399, ""ar"", ""bn"")"),"রাজনৈতিক স্বার্থ সংঘাত")</f>
        <v>রাজনৈতিক স্বার্থ সংঘাত</v>
      </c>
    </row>
    <row r="400">
      <c r="A400" s="2" t="s">
        <v>533</v>
      </c>
      <c r="B400" s="3" t="str">
        <f>IFERROR(__xludf.DUMMYFUNCTION("GOOGLETRANSLATE(A400, ""ar"", ""bn"")"),"সুদ ইন্টারন্যাশনাল দ্বন্দ্ব")</f>
        <v>সুদ ইন্টারন্যাশনাল দ্বন্দ্ব</v>
      </c>
    </row>
    <row r="401">
      <c r="A401" s="2" t="s">
        <v>534</v>
      </c>
      <c r="B401" s="3" t="str">
        <f>IFERROR(__xludf.DUMMYFUNCTION("GOOGLETRANSLATE(A401, ""ar"", ""bn"")"),"একটি বিতর্কিত এলাকা")</f>
        <v>একটি বিতর্কিত এলাকা</v>
      </c>
    </row>
    <row r="402">
      <c r="A402" s="2" t="s">
        <v>535</v>
      </c>
      <c r="B402" s="3" t="str">
        <f>IFERROR(__xludf.DUMMYFUNCTION("GOOGLETRANSLATE(A402, ""ar"", ""bn"")"),"আন্তর্জাতিক আইন সংঘাত")</f>
        <v>আন্তর্জাতিক আইন সংঘাত</v>
      </c>
    </row>
    <row r="403">
      <c r="A403" s="2" t="s">
        <v>536</v>
      </c>
      <c r="B403" s="3" t="str">
        <f>IFERROR(__xludf.DUMMYFUNCTION("GOOGLETRANSLATE(A403, ""ar"", ""bn"")"),"খুব পরিচিত ছ স্থানিক")</f>
        <v>খুব পরিচিত ছ স্থানিক</v>
      </c>
    </row>
    <row r="404">
      <c r="A404" s="2" t="s">
        <v>537</v>
      </c>
      <c r="B404" s="3" t="str">
        <f>IFERROR(__xludf.DUMMYFUNCTION("GOOGLETRANSLATE(A404, ""ar"", ""bn"")"),"হারমনি রাজনৈতিক মতামত")</f>
        <v>হারমনি রাজনৈতিক মতামত</v>
      </c>
    </row>
    <row r="405">
      <c r="A405" s="2" t="s">
        <v>538</v>
      </c>
      <c r="B405" s="3" t="str">
        <f>IFERROR(__xludf.DUMMYFUNCTION("GOOGLETRANSLATE(A405, ""ar"", ""bn"")"),"সংঘর্ষের একটি নীতি")</f>
        <v>সংঘর্ষের একটি নীতি</v>
      </c>
    </row>
    <row r="406">
      <c r="A406" s="2" t="s">
        <v>539</v>
      </c>
      <c r="B406" s="3" t="str">
        <f>IFERROR(__xludf.DUMMYFUNCTION("GOOGLETRANSLATE(A406, ""ar"", ""bn"")"),"আইন এবং কাস্টম মধ্যে সংযোগ")</f>
        <v>আইন এবং কাস্টম মধ্যে সংযোগ</v>
      </c>
    </row>
    <row r="407">
      <c r="A407" s="2" t="s">
        <v>540</v>
      </c>
      <c r="B407" s="3" t="str">
        <f>IFERROR(__xludf.DUMMYFUNCTION("GOOGLETRANSLATE(A407, ""ar"", ""bn"")"),"বিজয়ী সৈন্যদের অধিকার")</f>
        <v>বিজয়ী সৈন্যদের অধিকার</v>
      </c>
    </row>
    <row r="408">
      <c r="A408" s="2" t="s">
        <v>541</v>
      </c>
      <c r="B408" s="3" t="str">
        <f>IFERROR(__xludf.DUMMYFUNCTION("GOOGLETRANSLATE(A408, ""ar"", ""bn"")"),"ঐকমত্য ভোট")</f>
        <v>ঐকমত্য ভোট</v>
      </c>
    </row>
    <row r="409">
      <c r="A409" s="2" t="s">
        <v>542</v>
      </c>
      <c r="B409" s="3" t="str">
        <f>IFERROR(__xludf.DUMMYFUNCTION("GOOGLETRANSLATE(A409, ""ar"", ""bn"")"),"শান্তি বজায় রাখুন")</f>
        <v>শান্তি বজায় রাখুন</v>
      </c>
    </row>
    <row r="410">
      <c r="A410" s="2" t="s">
        <v>543</v>
      </c>
      <c r="B410" s="3" t="str">
        <f>IFERROR(__xludf.DUMMYFUNCTION("GOOGLETRANSLATE(A410, ""ar"", ""bn"")"),"রক্ষনশীল নীতি")</f>
        <v>রক্ষনশীল নীতি</v>
      </c>
    </row>
    <row r="411">
      <c r="A411" s="2" t="s">
        <v>544</v>
      </c>
      <c r="B411" s="3" t="str">
        <f>IFERROR(__xludf.DUMMYFUNCTION("GOOGLETRANSLATE(A411, ""ar"", ""bn"")"),"নিয়ম সিস্টেম গভর্নর")</f>
        <v>নিয়ম সিস্টেম গভর্নর</v>
      </c>
    </row>
    <row r="412">
      <c r="A412" s="2" t="s">
        <v>545</v>
      </c>
      <c r="B412" s="3" t="str">
        <f>IFERROR(__xludf.DUMMYFUNCTION("GOOGLETRANSLATE(A412, ""ar"", ""bn"")"),"রক্ষনশীল দলগুলোর")</f>
        <v>রক্ষনশীল দলগুলোর</v>
      </c>
    </row>
    <row r="413">
      <c r="A413" s="2" t="s">
        <v>546</v>
      </c>
      <c r="B413" s="3" t="str">
        <f>IFERROR(__xludf.DUMMYFUNCTION("GOOGLETRANSLATE(A413, ""ar"", ""bn"")"),"Atdarc আন্তর্জাতিক পরিস্থিতি")</f>
        <v>Atdarc আন্তর্জাতিক পরিস্থিতি</v>
      </c>
    </row>
    <row r="414">
      <c r="A414" s="2" t="s">
        <v>547</v>
      </c>
      <c r="B414" s="3" t="str">
        <f>IFERROR(__xludf.DUMMYFUNCTION("GOOGLETRANSLATE(A414, ""ar"", ""bn"")"),"এম একাউন্টে গ্রহণ রাজনৈতিক পরিস্থিতি")</f>
        <v>এম একাউন্টে গ্রহণ রাজনৈতিক পরিস্থিতি</v>
      </c>
    </row>
    <row r="415">
      <c r="A415" s="2" t="s">
        <v>548</v>
      </c>
      <c r="B415" s="3" t="str">
        <f>IFERROR(__xludf.DUMMYFUNCTION("GOOGLETRANSLATE(A415, ""ar"", ""bn"")"),"আন্তর্জাতিক সম্পর্ক বিভাগের প্রোমোশন")</f>
        <v>আন্তর্জাতিক সম্পর্ক বিভাগের প্রোমোশন</v>
      </c>
    </row>
    <row r="416">
      <c r="A416" s="2" t="s">
        <v>549</v>
      </c>
      <c r="B416" s="3" t="str">
        <f>IFERROR(__xludf.DUMMYFUNCTION("GOOGLETRANSLATE(A416, ""ar"", ""bn"")"),"কূটনৈতিক সম্পর্ক সুদৃঢ়")</f>
        <v>কূটনৈতিক সম্পর্ক সুদৃঢ়</v>
      </c>
    </row>
    <row r="417">
      <c r="A417" s="2" t="s">
        <v>550</v>
      </c>
      <c r="B417" s="3" t="str">
        <f>IFERROR(__xludf.DUMMYFUNCTION("GOOGLETRANSLATE(A417, ""ar"", ""bn"")"),"রাষ্ট্রের অখণ্ডতা বিরুদ্ধে ষড়যন্ত্র")</f>
        <v>রাষ্ট্রের অখণ্ডতা বিরুদ্ধে ষড়যন্ত্র</v>
      </c>
    </row>
    <row r="418">
      <c r="A418" s="2" t="s">
        <v>551</v>
      </c>
      <c r="B418" s="3" t="str">
        <f>IFERROR(__xludf.DUMMYFUNCTION("GOOGLETRANSLATE(A418, ""ar"", ""bn"")"),"সংবিধান কর্ম")</f>
        <v>সংবিধান কর্ম</v>
      </c>
    </row>
    <row r="419">
      <c r="A419" s="2" t="s">
        <v>552</v>
      </c>
      <c r="B419" s="3" t="str">
        <f>IFERROR(__xludf.DUMMYFUNCTION("GOOGLETRANSLATE(A419, ""ar"", ""bn"")"),"এস সি এম সংবিধান")</f>
        <v>এস সি এম সংবিধান</v>
      </c>
    </row>
    <row r="420">
      <c r="A420" s="2" t="s">
        <v>553</v>
      </c>
      <c r="B420" s="3" t="str">
        <f>IFERROR(__xludf.DUMMYFUNCTION("GOOGLETRANSLATE(A420, ""ar"", ""bn"")"),"সাংবিধানিক নিয়ন্ত্রণ")</f>
        <v>সাংবিধানিক নিয়ন্ত্রণ</v>
      </c>
    </row>
    <row r="421">
      <c r="A421" s="2" t="s">
        <v>554</v>
      </c>
      <c r="B421" s="3" t="str">
        <f>IFERROR(__xludf.DUMMYFUNCTION("GOOGLETRANSLATE(A421, ""ar"", ""bn"")"),"সাংবিধানিক পদ্ধতি")</f>
        <v>সাংবিধানিক পদ্ধতি</v>
      </c>
    </row>
    <row r="422">
      <c r="A422" s="2" t="s">
        <v>555</v>
      </c>
      <c r="B422" s="3" t="str">
        <f>IFERROR(__xludf.DUMMYFUNCTION("GOOGLETRANSLATE(A422, ""ar"", ""bn"")"),"সাংবিধানিক নির্বাচনের")</f>
        <v>সাংবিধানিক নির্বাচনের</v>
      </c>
    </row>
    <row r="423">
      <c r="A423" s="2" t="s">
        <v>556</v>
      </c>
      <c r="B423" s="3" t="str">
        <f>IFERROR(__xludf.DUMMYFUNCTION("GOOGLETRANSLATE(A423, ""ar"", ""bn"")"),"সাংবিধানিক সরকার")</f>
        <v>সাংবিধানিক সরকার</v>
      </c>
    </row>
    <row r="424">
      <c r="A424" s="2" t="s">
        <v>557</v>
      </c>
      <c r="B424" s="3" t="str">
        <f>IFERROR(__xludf.DUMMYFUNCTION("GOOGLETRANSLATE(A424, ""ar"", ""bn"")"),"সাংবিধানিক আইন")</f>
        <v>সাংবিধানিক আইন</v>
      </c>
    </row>
    <row r="425">
      <c r="A425" s="2" t="s">
        <v>558</v>
      </c>
      <c r="B425" s="3" t="str">
        <f>IFERROR(__xludf.DUMMYFUNCTION("GOOGLETRANSLATE(A425, ""ar"", ""bn"")"),"সংবিধান আনুগত্যের শপথ")</f>
        <v>সংবিধান আনুগত্যের শপথ</v>
      </c>
    </row>
    <row r="426">
      <c r="A426" s="2" t="s">
        <v>559</v>
      </c>
      <c r="B426" s="3" t="str">
        <f>IFERROR(__xludf.DUMMYFUNCTION("GOOGLETRANSLATE(A426, ""ar"", ""bn"")"),"সাংবিধানিক অধিকার")</f>
        <v>সাংবিধানিক অধিকার</v>
      </c>
    </row>
    <row r="427">
      <c r="A427" s="2" t="s">
        <v>560</v>
      </c>
      <c r="B427" s="3" t="str">
        <f>IFERROR(__xludf.DUMMYFUNCTION("GOOGLETRANSLATE(A427, ""ar"", ""bn"")"),"সাংবিধানিক")</f>
        <v>সাংবিধানিক</v>
      </c>
    </row>
    <row r="428">
      <c r="A428" s="2" t="s">
        <v>561</v>
      </c>
      <c r="B428" s="3" t="str">
        <f>IFERROR(__xludf.DUMMYFUNCTION("GOOGLETRANSLATE(A428, ""ar"", ""bn"")"),"একটি গণপরিষদ")</f>
        <v>একটি গণপরিষদ</v>
      </c>
    </row>
    <row r="429">
      <c r="A429" s="2" t="s">
        <v>562</v>
      </c>
      <c r="B429" s="3" t="str">
        <f>IFERROR(__xludf.DUMMYFUNCTION("GOOGLETRANSLATE(A429, ""ar"", ""bn"")"),"যুক্তরাষ্ট্রের গঠনকারী মৌলিক উপাদানসমূহের ধর্ম")</f>
        <v>যুক্তরাষ্ট্রের গঠনকারী মৌলিক উপাদানসমূহের ধর্ম</v>
      </c>
    </row>
    <row r="430">
      <c r="A430" s="2" t="s">
        <v>563</v>
      </c>
      <c r="B430" s="3" t="str">
        <f>IFERROR(__xludf.DUMMYFUNCTION("GOOGLETRANSLATE(A430, ""ar"", ""bn"")"),"প্রয়োজন বলপ্রয়োগ")</f>
        <v>প্রয়োজন বলপ্রয়োগ</v>
      </c>
    </row>
    <row r="431">
      <c r="A431" s="2" t="s">
        <v>564</v>
      </c>
      <c r="B431" s="3" t="str">
        <f>IFERROR(__xludf.DUMMYFUNCTION("GOOGLETRANSLATE(A431, ""ar"", ""bn"")"),"এম গঠনমূলক আলোচনার")</f>
        <v>এম গঠনমূলক আলোচনার</v>
      </c>
    </row>
    <row r="432">
      <c r="A432" s="2" t="s">
        <v>565</v>
      </c>
      <c r="B432" s="3" t="str">
        <f>IFERROR(__xludf.DUMMYFUNCTION("GOOGLETRANSLATE(A432, ""ar"", ""bn"")"),"দূত")</f>
        <v>দূত</v>
      </c>
    </row>
    <row r="433">
      <c r="A433" s="2" t="s">
        <v>566</v>
      </c>
      <c r="B433" s="3" t="str">
        <f>IFERROR(__xludf.DUMMYFUNCTION("GOOGLETRANSLATE(A433, ""ar"", ""bn"")"),"দূতাবাস অনাক্রম্যতা")</f>
        <v>দূতাবাস অনাক্রম্যতা</v>
      </c>
    </row>
    <row r="434">
      <c r="A434" s="2" t="s">
        <v>567</v>
      </c>
      <c r="B434" s="3" t="str">
        <f>IFERROR(__xludf.DUMMYFUNCTION("GOOGLETRANSLATE(A434, ""ar"", ""bn"")"),"কনস্যুলার কর্পস")</f>
        <v>কনস্যুলার কর্পস</v>
      </c>
    </row>
    <row r="435">
      <c r="A435" s="2" t="s">
        <v>568</v>
      </c>
      <c r="B435" s="3" t="str">
        <f>IFERROR(__xludf.DUMMYFUNCTION("GOOGLETRANSLATE(A435, ""ar"", ""bn"")"),"কনসাল ইয়ে সার্ভিস")</f>
        <v>কনসাল ইয়ে সার্ভিস</v>
      </c>
    </row>
    <row r="436">
      <c r="A436" s="2" t="s">
        <v>569</v>
      </c>
      <c r="B436" s="3" t="str">
        <f>IFERROR(__xludf.DUMMYFUNCTION("GOOGLETRANSLATE(A436, ""ar"", ""bn"")"),"কনসাল ইয়ে")</f>
        <v>কনসাল ইয়ে</v>
      </c>
    </row>
    <row r="437">
      <c r="A437" s="2" t="s">
        <v>570</v>
      </c>
      <c r="B437" s="3" t="str">
        <f>IFERROR(__xludf.DUMMYFUNCTION("GOOGLETRANSLATE(A437, ""ar"", ""bn"")"),"আন্তর্জাতিক বিশেষজ্ঞদের সঙ্গে আলোচনা করুন")</f>
        <v>আন্তর্জাতিক বিশেষজ্ঞদের সঙ্গে আলোচনা করুন</v>
      </c>
    </row>
    <row r="438">
      <c r="A438" s="2" t="s">
        <v>571</v>
      </c>
      <c r="B438" s="3" t="str">
        <f>IFERROR(__xludf.DUMMYFUNCTION("GOOGLETRANSLATE(A438, ""ar"", ""bn"")"),"আন্তর্জাতিক সম্প্রদায় সঙ্গে পরামর্শ করুন")</f>
        <v>আন্তর্জাতিক সম্প্রদায় সঙ্গে পরামর্শ করুন</v>
      </c>
    </row>
    <row r="439">
      <c r="A439" s="2" t="s">
        <v>572</v>
      </c>
      <c r="B439" s="3" t="str">
        <f>IFERROR(__xludf.DUMMYFUNCTION("GOOGLETRANSLATE(A439, ""ar"", ""bn"")"),"পরামর্শকারী")</f>
        <v>পরামর্শকারী</v>
      </c>
    </row>
    <row r="440">
      <c r="A440" s="2" t="s">
        <v>573</v>
      </c>
      <c r="B440" s="3" t="str">
        <f>IFERROR(__xludf.DUMMYFUNCTION("GOOGLETRANSLATE(A440, ""ar"", ""bn"")"),"উপদেষ্টা পর্ষদ")</f>
        <v>উপদেষ্টা পর্ষদ</v>
      </c>
    </row>
    <row r="441">
      <c r="A441" s="2" t="s">
        <v>574</v>
      </c>
      <c r="B441" s="3" t="str">
        <f>IFERROR(__xludf.DUMMYFUNCTION("GOOGLETRANSLATE(A441, ""ar"", ""bn"")"),"সমসাময়িক রাজনৈতিক ব্যবস্থা")</f>
        <v>সমসাময়িক রাজনৈতিক ব্যবস্থা</v>
      </c>
    </row>
    <row r="442">
      <c r="A442" s="2" t="s">
        <v>575</v>
      </c>
      <c r="B442" s="3" t="str">
        <f>IFERROR(__xludf.DUMMYFUNCTION("GOOGLETRANSLATE(A442, ""ar"", ""bn"")"),"সাধারণ সীমান্ত দেশ")</f>
        <v>সাধারণ সীমান্ত দেশ</v>
      </c>
    </row>
    <row r="443">
      <c r="A443" s="2" t="s">
        <v>576</v>
      </c>
      <c r="B443" s="3" t="str">
        <f>IFERROR(__xludf.DUMMYFUNCTION("GOOGLETRANSLATE(A443, ""ar"", ""bn"")"),"সংক্রান্ত বিরোধ রয়েছে দেশ")</f>
        <v>সংক্রান্ত বিরোধ রয়েছে দেশ</v>
      </c>
    </row>
    <row r="444">
      <c r="A444" s="2" t="s">
        <v>577</v>
      </c>
      <c r="B444" s="3" t="str">
        <f>IFERROR(__xludf.DUMMYFUNCTION("GOOGLETRANSLATE(A444, ""ar"", ""bn"")"),"সিদ্ধান্ত গ্রহণের অবদান")</f>
        <v>সিদ্ধান্ত গ্রহণের অবদান</v>
      </c>
    </row>
    <row r="445">
      <c r="A445" s="2" t="s">
        <v>468</v>
      </c>
      <c r="B445" s="3" t="str">
        <f>IFERROR(__xludf.DUMMYFUNCTION("GOOGLETRANSLATE(A445, ""ar"", ""bn"")"),"রাজনৈতিক")</f>
        <v>রাজনৈতিক</v>
      </c>
    </row>
    <row r="446">
      <c r="A446" s="2" t="s">
        <v>578</v>
      </c>
      <c r="B446" s="3" t="str">
        <f>IFERROR(__xludf.DUMMYFUNCTION("GOOGLETRANSLATE(A446, ""ar"", ""bn"")"),"Almhk লাত সমাধানে Emsahm")</f>
        <v>Almhk লাত সমাধানে Emsahm</v>
      </c>
    </row>
    <row r="447">
      <c r="A447" s="2" t="s">
        <v>579</v>
      </c>
      <c r="B447" s="3" t="str">
        <f>IFERROR(__xludf.DUMMYFUNCTION("GOOGLETRANSLATE(A447, ""ar"", ""bn"")"),"আন্তর্জাতিক")</f>
        <v>আন্তর্জাতিক</v>
      </c>
    </row>
    <row r="448">
      <c r="A448" s="2" t="s">
        <v>580</v>
      </c>
      <c r="B448" s="3" t="str">
        <f>IFERROR(__xludf.DUMMYFUNCTION("GOOGLETRANSLATE(A448, ""ar"", ""bn"")"),"টি বিশ্বব্যাপী উন্নয়নের Emsahm")</f>
        <v>টি বিশ্বব্যাপী উন্নয়নের Emsahm</v>
      </c>
    </row>
    <row r="449">
      <c r="A449" s="2" t="s">
        <v>581</v>
      </c>
      <c r="B449" s="3" t="str">
        <f>IFERROR(__xludf.DUMMYFUNCTION("GOOGLETRANSLATE(A449, ""ar"", ""bn"")"),"সীমান্ত নির্ধারণ")</f>
        <v>সীমান্ত নির্ধারণ</v>
      </c>
    </row>
    <row r="450">
      <c r="A450" s="2" t="s">
        <v>582</v>
      </c>
      <c r="B450" s="3" t="str">
        <f>IFERROR(__xludf.DUMMYFUNCTION("GOOGLETRANSLATE(A450, ""ar"", ""bn"")"),"রাজ্যের মধ্যে সীমারেখা সামঞ্জস্যবিধান")</f>
        <v>রাজ্যের মধ্যে সীমারেখা সামঞ্জস্যবিধান</v>
      </c>
    </row>
    <row r="451">
      <c r="A451" s="2" t="s">
        <v>583</v>
      </c>
      <c r="B451" s="3" t="str">
        <f>IFERROR(__xludf.DUMMYFUNCTION("GOOGLETRANSLATE(A451, ""ar"", ""bn"")"),"এম মনিটর")</f>
        <v>এম মনিটর</v>
      </c>
    </row>
    <row r="452">
      <c r="A452" s="2" t="s">
        <v>584</v>
      </c>
      <c r="B452" s="3" t="str">
        <f>IFERROR(__xludf.DUMMYFUNCTION("GOOGLETRANSLATE(A452, ""ar"", ""bn"")"),"আলোচনায় পয়েন্ট স্টিকিং")</f>
        <v>আলোচনায় পয়েন্ট স্টিকিং</v>
      </c>
    </row>
    <row r="453">
      <c r="A453" s="2" t="s">
        <v>585</v>
      </c>
      <c r="B453" s="3" t="str">
        <f>IFERROR(__xludf.DUMMYFUNCTION("GOOGLETRANSLATE(A453, ""ar"", ""bn"")"),"রাজনৈতিক মতানৈক্য পয়েন্ট")</f>
        <v>রাজনৈতিক মতানৈক্য পয়েন্ট</v>
      </c>
    </row>
    <row r="454">
      <c r="A454" s="2" t="s">
        <v>586</v>
      </c>
      <c r="B454" s="3" t="str">
        <f>IFERROR(__xludf.DUMMYFUNCTION("GOOGLETRANSLATE(A454, ""ar"", ""bn"")"),"চক্রান্ত করা")</f>
        <v>চক্রান্ত করা</v>
      </c>
    </row>
    <row r="455">
      <c r="A455" s="2" t="s">
        <v>587</v>
      </c>
      <c r="B455" s="3" t="str">
        <f>IFERROR(__xludf.DUMMYFUNCTION("GOOGLETRANSLATE(A455, ""ar"", ""bn"")"),"চুক্তি")</f>
        <v>চুক্তি</v>
      </c>
    </row>
    <row r="456">
      <c r="A456" s="2" t="s">
        <v>588</v>
      </c>
      <c r="B456" s="3" t="str">
        <f>IFERROR(__xludf.DUMMYFUNCTION("GOOGLETRANSLATE(A456, ""ar"", ""bn"")"),"ডকুমেন্ট চুক্তি প্রটোকল")</f>
        <v>ডকুমেন্ট চুক্তি প্রটোকল</v>
      </c>
    </row>
    <row r="457">
      <c r="A457" s="2" t="s">
        <v>589</v>
      </c>
      <c r="B457" s="3" t="str">
        <f>IFERROR(__xludf.DUMMYFUNCTION("GOOGLETRANSLATE(A457, ""ar"", ""bn"")"),"চুক্তি আইন")</f>
        <v>চুক্তি আইন</v>
      </c>
    </row>
    <row r="458">
      <c r="A458" s="2" t="s">
        <v>590</v>
      </c>
      <c r="B458" s="3" t="str">
        <f>IFERROR(__xludf.DUMMYFUNCTION("GOOGLETRANSLATE(A458, ""ar"", ""bn"")"),"দেখার কনভার্জেন্স")</f>
        <v>দেখার কনভার্জেন্স</v>
      </c>
    </row>
    <row r="459">
      <c r="A459" s="2" t="s">
        <v>468</v>
      </c>
      <c r="B459" s="3" t="str">
        <f>IFERROR(__xludf.DUMMYFUNCTION("GOOGLETRANSLATE(A459, ""ar"", ""bn"")"),"রাজনৈতিক")</f>
        <v>রাজনৈতিক</v>
      </c>
    </row>
    <row r="460">
      <c r="A460" s="2" t="s">
        <v>591</v>
      </c>
      <c r="B460" s="3" t="str">
        <f>IFERROR(__xludf.DUMMYFUNCTION("GOOGLETRANSLATE(A460, ""ar"", ""bn"")"),"বার্তা তলব রাষ্ট্রদূত")</f>
        <v>বার্তা তলব রাষ্ট্রদূত</v>
      </c>
    </row>
    <row r="461">
      <c r="A461" s="2" t="s">
        <v>592</v>
      </c>
      <c r="B461" s="3" t="str">
        <f>IFERROR(__xludf.DUMMYFUNCTION("GOOGLETRANSLATE(A461, ""ar"", ""bn"")"),"একটি রাজনৈতিক সভায় কল")</f>
        <v>একটি রাজনৈতিক সভায় কল</v>
      </c>
    </row>
    <row r="462">
      <c r="A462" s="2" t="s">
        <v>593</v>
      </c>
      <c r="B462" s="3" t="str">
        <f>IFERROR(__xludf.DUMMYFUNCTION("GOOGLETRANSLATE(A462, ""ar"", ""bn"")"),"জরুরী মিটিং এর জন্য কল")</f>
        <v>জরুরী মিটিং এর জন্য কল</v>
      </c>
    </row>
    <row r="463">
      <c r="A463" s="2" t="s">
        <v>594</v>
      </c>
      <c r="B463" s="3" t="str">
        <f>IFERROR(__xludf.DUMMYFUNCTION("GOOGLETRANSLATE(A463, ""ar"", ""bn"")"),"লিয়াজোঁ কমিটির")</f>
        <v>লিয়াজোঁ কমিটির</v>
      </c>
    </row>
    <row r="464">
      <c r="A464" s="2" t="s">
        <v>595</v>
      </c>
      <c r="B464" s="3" t="str">
        <f>IFERROR(__xludf.DUMMYFUNCTION("GOOGLETRANSLATE(A464, ""ar"", ""bn"")"),"কো-অপারেশন ও ড জে")</f>
        <v>কো-অপারেশন ও ড জে</v>
      </c>
    </row>
    <row r="465">
      <c r="A465" s="2" t="s">
        <v>596</v>
      </c>
      <c r="B465" s="3" t="str">
        <f>IFERROR(__xludf.DUMMYFUNCTION("GOOGLETRANSLATE(A465, ""ar"", ""bn"")"),"দেশগুলির মধ্যে বন্ধুত্বপূর্ণ সম্পর্ক")</f>
        <v>দেশগুলির মধ্যে বন্ধুত্বপূর্ণ সম্পর্ক</v>
      </c>
    </row>
    <row r="466">
      <c r="A466" s="2" t="s">
        <v>597</v>
      </c>
      <c r="B466" s="3" t="str">
        <f>IFERROR(__xludf.DUMMYFUNCTION("GOOGLETRANSLATE(A466, ""ar"", ""bn"")"),"রাজ্যাভিষেক")</f>
        <v>রাজ্যাভিষেক</v>
      </c>
    </row>
    <row r="467">
      <c r="A467" s="2" t="s">
        <v>598</v>
      </c>
      <c r="B467" s="3" t="str">
        <f>IFERROR(__xludf.DUMMYFUNCTION("GOOGLETRANSLATE(A467, ""ar"", ""bn"")"),"দুর্নীতিবাজ সরকার")</f>
        <v>দুর্নীতিবাজ সরকার</v>
      </c>
    </row>
    <row r="468">
      <c r="A468" s="2" t="s">
        <v>599</v>
      </c>
      <c r="B468" s="3" t="str">
        <f>IFERROR(__xludf.DUMMYFUNCTION("GOOGLETRANSLATE(A468, ""ar"", ""bn"")"),"বোর্ডের সদস্য")</f>
        <v>বোর্ডের সদস্য</v>
      </c>
    </row>
    <row r="469">
      <c r="A469" s="2" t="s">
        <v>600</v>
      </c>
      <c r="B469" s="3" t="str">
        <f>IFERROR(__xludf.DUMMYFUNCTION("GOOGLETRANSLATE(A469, ""ar"", ""bn"")"),"সেনেট সিস্টেম")</f>
        <v>সেনেট সিস্টেম</v>
      </c>
    </row>
    <row r="470">
      <c r="A470" s="2" t="s">
        <v>356</v>
      </c>
      <c r="B470" s="3" t="str">
        <f>IFERROR(__xludf.DUMMYFUNCTION("GOOGLETRANSLATE(A470, ""ar"", ""bn"")"),"ব্রিটিশ")</f>
        <v>ব্রিটিশ</v>
      </c>
    </row>
    <row r="471">
      <c r="A471" s="2" t="s">
        <v>601</v>
      </c>
      <c r="B471" s="3" t="str">
        <f>IFERROR(__xludf.DUMMYFUNCTION("GOOGLETRANSLATE(A471, ""ar"", ""bn"")"),"প্রতিনিধি পরিষদের বিবৃতি")</f>
        <v>প্রতিনিধি পরিষদের বিবৃতি</v>
      </c>
    </row>
    <row r="472">
      <c r="A472" s="2" t="s">
        <v>602</v>
      </c>
      <c r="B472" s="3" t="str">
        <f>IFERROR(__xludf.DUMMYFUNCTION("GOOGLETRANSLATE(A472, ""ar"", ""bn"")"),"এম আইনগত উপদেষ্টা")</f>
        <v>এম আইনগত উপদেষ্টা</v>
      </c>
    </row>
    <row r="473">
      <c r="A473" s="2" t="s">
        <v>603</v>
      </c>
      <c r="B473" s="3" t="str">
        <f>IFERROR(__xludf.DUMMYFUNCTION("GOOGLETRANSLATE(A473, ""ar"", ""bn"")"),"কাউন্টার পাল্টা আক্রমণ")</f>
        <v>কাউন্টার পাল্টা আক্রমণ</v>
      </c>
    </row>
    <row r="474">
      <c r="A474" s="2" t="s">
        <v>604</v>
      </c>
      <c r="B474" s="3" t="str">
        <f>IFERROR(__xludf.DUMMYFUNCTION("GOOGLETRANSLATE(A474, ""ar"", ""bn"")"),"TS Ih কূটনীতিক বিপরীত")</f>
        <v>TS Ih কূটনীতিক বিপরীত</v>
      </c>
    </row>
    <row r="475">
      <c r="A475" s="2" t="s">
        <v>605</v>
      </c>
      <c r="B475" s="3" t="str">
        <f>IFERROR(__xludf.DUMMYFUNCTION("GOOGLETRANSLATE(A475, ""ar"", ""bn"")"),"এম এন্টি")</f>
        <v>এম এন্টি</v>
      </c>
    </row>
    <row r="476">
      <c r="A476" s="2" t="s">
        <v>606</v>
      </c>
      <c r="B476" s="3" t="str">
        <f>IFERROR(__xludf.DUMMYFUNCTION("GOOGLETRANSLATE(A476, ""ar"", ""bn"")"),"এম পাল্টা গুপ্তচরবৃত্তি")</f>
        <v>এম পাল্টা গুপ্তচরবৃত্তি</v>
      </c>
    </row>
    <row r="477">
      <c r="A477" s="2" t="s">
        <v>607</v>
      </c>
      <c r="B477" s="3" t="str">
        <f>IFERROR(__xludf.DUMMYFUNCTION("GOOGLETRANSLATE(A477, ""ar"", ""bn"")"),"বিপরিত প্রস্তাবনা")</f>
        <v>বিপরিত প্রস্তাবনা</v>
      </c>
    </row>
    <row r="478">
      <c r="A478" s="2" t="s">
        <v>608</v>
      </c>
      <c r="B478" s="3" t="str">
        <f>IFERROR(__xludf.DUMMYFUNCTION("GOOGLETRANSLATE(A478, ""ar"", ""bn"")"),"এন্টি-পাল্টা প্রতিবাদ")</f>
        <v>এন্টি-পাল্টা প্রতিবাদ</v>
      </c>
    </row>
    <row r="479">
      <c r="A479" s="2" t="s">
        <v>609</v>
      </c>
      <c r="B479" s="3" t="str">
        <f>IFERROR(__xludf.DUMMYFUNCTION("GOOGLETRANSLATE(A479, ""ar"", ""bn"")"),"সংস্কারের বিরোধী")</f>
        <v>সংস্কারের বিরোধী</v>
      </c>
    </row>
    <row r="480">
      <c r="A480" s="2" t="s">
        <v>610</v>
      </c>
      <c r="B480" s="3" t="str">
        <f>IFERROR(__xludf.DUMMYFUNCTION("GOOGLETRANSLATE(A480, ""ar"", ""bn"")"),"ঘা")</f>
        <v>ঘা</v>
      </c>
    </row>
    <row r="481">
      <c r="A481" s="2" t="s">
        <v>611</v>
      </c>
      <c r="B481" s="3" t="str">
        <f>IFERROR(__xludf.DUMMYFUNCTION("GOOGLETRANSLATE(A481, ""ar"", ""bn"")"),"এম ঘটনা ছিল")</f>
        <v>এম ঘটনা ছিল</v>
      </c>
    </row>
    <row r="482">
      <c r="A482" s="2" t="s">
        <v>612</v>
      </c>
      <c r="B482" s="3" t="str">
        <f>IFERROR(__xludf.DUMMYFUNCTION("GOOGLETRANSLATE(A482, ""ar"", ""bn"")"),"সৌজন্য সাক্ষাত")</f>
        <v>সৌজন্য সাক্ষাত</v>
      </c>
    </row>
    <row r="483">
      <c r="A483" s="2" t="s">
        <v>613</v>
      </c>
      <c r="B483" s="3" t="str">
        <f>IFERROR(__xludf.DUMMYFUNCTION("GOOGLETRANSLATE(A483, ""ar"", ""bn"")"),"চার্টার যুগ")</f>
        <v>চার্টার যুগ</v>
      </c>
    </row>
    <row r="484">
      <c r="A484" s="2" t="s">
        <v>614</v>
      </c>
      <c r="B484" s="3" t="str">
        <f>IFERROR(__xludf.DUMMYFUNCTION("GOOGLETRANSLATE(A484, ""ar"", ""bn"")"),"নেশনস লীগের যন্ত্র")</f>
        <v>নেশনস লীগের যন্ত্র</v>
      </c>
    </row>
    <row r="485">
      <c r="A485" s="2" t="s">
        <v>615</v>
      </c>
      <c r="B485" s="3" t="str">
        <f>IFERROR(__xludf.DUMMYFUNCTION("GOOGLETRANSLATE(A485, ""ar"", ""bn"")"),"Amgueta রাজনৈতিক সংবাদ")</f>
        <v>Amgueta রাজনৈতিক সংবাদ</v>
      </c>
    </row>
    <row r="486">
      <c r="A486" s="2" t="s">
        <v>616</v>
      </c>
      <c r="B486" s="3" t="str">
        <f>IFERROR(__xludf.DUMMYFUNCTION("GOOGLETRANSLATE(A486, ""ar"", ""bn"")"),"সৈন্যবাহিনী প্রত্যাহার ঢেকে")</f>
        <v>সৈন্যবাহিনী প্রত্যাহার ঢেকে</v>
      </c>
    </row>
    <row r="487">
      <c r="A487" s="2" t="s">
        <v>617</v>
      </c>
      <c r="B487" s="3" t="str">
        <f>IFERROR(__xludf.DUMMYFUNCTION("GOOGLETRANSLATE(A487, ""ar"", ""bn"")"),"রাজনৈতিক ঘটনা কভার")</f>
        <v>রাজনৈতিক ঘটনা কভার</v>
      </c>
    </row>
    <row r="488">
      <c r="A488" s="2" t="s">
        <v>618</v>
      </c>
      <c r="B488" s="3" t="str">
        <f>IFERROR(__xludf.DUMMYFUNCTION("GOOGLETRANSLATE(A488, ""ar"", ""bn"")"),"রাজনৈতিক ঘটনা কভার")</f>
        <v>রাজনৈতিক ঘটনা কভার</v>
      </c>
    </row>
    <row r="489">
      <c r="A489" s="2" t="s">
        <v>619</v>
      </c>
      <c r="B489" s="3" t="str">
        <f>IFERROR(__xludf.DUMMYFUNCTION("GOOGLETRANSLATE(A489, ""ar"", ""bn"")"),"বিশৃঙ্খলার তৈরি করে")</f>
        <v>বিশৃঙ্খলার তৈরি করে</v>
      </c>
    </row>
    <row r="490">
      <c r="A490" s="2" t="s">
        <v>620</v>
      </c>
      <c r="B490" s="3" t="str">
        <f>IFERROR(__xludf.DUMMYFUNCTION("GOOGLETRANSLATE(A490, ""ar"", ""bn"")"),"জে আতঙ্ক তৈরি")</f>
        <v>জে আতঙ্ক তৈরি</v>
      </c>
    </row>
    <row r="491">
      <c r="A491" s="2" t="s">
        <v>621</v>
      </c>
      <c r="B491" s="3" t="str">
        <f>IFERROR(__xludf.DUMMYFUNCTION("GOOGLETRANSLATE(A491, ""ar"", ""bn"")"),"অস্থিরতা তৈরি করে")</f>
        <v>অস্থিরতা তৈরি করে</v>
      </c>
    </row>
    <row r="492">
      <c r="A492" s="2" t="s">
        <v>622</v>
      </c>
      <c r="B492" s="3" t="str">
        <f>IFERROR(__xludf.DUMMYFUNCTION("GOOGLETRANSLATE(A492, ""ar"", ""bn"")"),"বৈদেশিক নীতির এম বিশ্বাসযোগ্যতা")</f>
        <v>বৈদেশিক নীতির এম বিশ্বাসযোগ্যতা</v>
      </c>
    </row>
    <row r="493">
      <c r="A493" s="2" t="s">
        <v>623</v>
      </c>
      <c r="B493" s="3" t="str">
        <f>IFERROR(__xludf.DUMMYFUNCTION("GOOGLETRANSLATE(A493, ""ar"", ""bn"")"),"একটি সুনির্দিষ্ট বা কূটনৈতিক")</f>
        <v>একটি সুনির্দিষ্ট বা কূটনৈতিক</v>
      </c>
    </row>
    <row r="494">
      <c r="A494" s="2" t="s">
        <v>624</v>
      </c>
      <c r="B494" s="3" t="str">
        <f>IFERROR(__xludf.DUMMYFUNCTION("GOOGLETRANSLATE(A494, ""ar"", ""bn"")"),"এইচ শেক")</f>
        <v>এইচ শেক</v>
      </c>
    </row>
    <row r="495">
      <c r="A495" s="2" t="s">
        <v>625</v>
      </c>
      <c r="B495" s="3" t="str">
        <f>IFERROR(__xludf.DUMMYFUNCTION("GOOGLETRANSLATE(A495, ""ar"", ""bn"")"),"ক্রিটিক্যাল রাজনৈতিক পরিস্থিতি")</f>
        <v>ক্রিটিক্যাল রাজনৈতিক পরিস্থিতি</v>
      </c>
    </row>
    <row r="496">
      <c r="A496" s="2" t="s">
        <v>626</v>
      </c>
      <c r="B496" s="3" t="str">
        <f>IFERROR(__xludf.DUMMYFUNCTION("GOOGLETRANSLATE(A496, ""ar"", ""bn"")"),"আন্তর্জাতিক পরিস্থিতি সঠিক বা কম্পনের জ")</f>
        <v>আন্তর্জাতিক পরিস্থিতি সঠিক বা কম্পনের জ</v>
      </c>
    </row>
    <row r="497">
      <c r="A497" s="2" t="s">
        <v>627</v>
      </c>
      <c r="B497" s="3" t="str">
        <f>IFERROR(__xludf.DUMMYFUNCTION("GOOGLETRANSLATE(A497, ""ar"", ""bn"")"),"ইউরেনিয়াম সমৃদ্ধকরণ")</f>
        <v>ইউরেনিয়াম সমৃদ্ধকরণ</v>
      </c>
    </row>
    <row r="498">
      <c r="A498" s="2" t="s">
        <v>628</v>
      </c>
      <c r="B498" s="3" t="str">
        <f>IFERROR(__xludf.DUMMYFUNCTION("GOOGLETRANSLATE(A498, ""ar"", ""bn"")"),"সাংস্কৃতিক কাউন্সেলর")</f>
        <v>সাংস্কৃতিক কাউন্সেলর</v>
      </c>
    </row>
    <row r="499">
      <c r="A499" s="2" t="s">
        <v>629</v>
      </c>
      <c r="B499" s="3" t="str">
        <f>IFERROR(__xludf.DUMMYFUNCTION("GOOGLETRANSLATE(A499, ""ar"", ""bn"")"),"এম সাংস্কৃতিক এক্সটেনশন")</f>
        <v>এম সাংস্কৃতিক এক্সটেনশন</v>
      </c>
    </row>
    <row r="500">
      <c r="A500" s="2" t="s">
        <v>630</v>
      </c>
      <c r="B500" s="3" t="str">
        <f>IFERROR(__xludf.DUMMYFUNCTION("GOOGLETRANSLATE(A500, ""ar"", ""bn"")"),"কাস্টম ধারণা")</f>
        <v>কাস্টম ধারণা</v>
      </c>
    </row>
    <row r="501">
      <c r="A501" s="2" t="s">
        <v>631</v>
      </c>
      <c r="B501" s="3" t="str">
        <f>IFERROR(__xludf.DUMMYFUNCTION("GOOGLETRANSLATE(A501, ""ar"", ""bn"")"),"গতানুগতিক সংবিধান")</f>
        <v>গতানুগতিক সংবিধান</v>
      </c>
    </row>
    <row r="502">
      <c r="A502" s="2" t="s">
        <v>632</v>
      </c>
      <c r="B502" s="3" t="str">
        <f>IFERROR(__xludf.DUMMYFUNCTION("GOOGLETRANSLATE(A502, ""ar"", ""bn"")"),"তেল সরবরাহ ছিন্ন")</f>
        <v>তেল সরবরাহ ছিন্ন</v>
      </c>
    </row>
    <row r="503">
      <c r="A503" s="2" t="s">
        <v>633</v>
      </c>
      <c r="B503" s="3" t="str">
        <f>IFERROR(__xludf.DUMMYFUNCTION("GOOGLETRANSLATE(A503, ""ar"", ""bn"")"),"সৈন্য প্রত্যাহারের শেষ তারিখ")</f>
        <v>সৈন্য প্রত্যাহারের শেষ তারিখ</v>
      </c>
    </row>
    <row r="504">
      <c r="A504" s="2" t="s">
        <v>634</v>
      </c>
      <c r="B504" s="3" t="str">
        <f>IFERROR(__xludf.DUMMYFUNCTION("GOOGLETRANSLATE(A504, ""ar"", ""bn"")"),"আন্তর্জাতিক অভিযোগ সঙ্গে পুলিশ")</f>
        <v>আন্তর্জাতিক অভিযোগ সঙ্গে পুলিশ</v>
      </c>
    </row>
    <row r="505">
      <c r="A505" s="2" t="s">
        <v>635</v>
      </c>
      <c r="B505" s="3" t="str">
        <f>IFERROR(__xludf.DUMMYFUNCTION("GOOGLETRANSLATE(A505, ""ar"", ""bn"")"),"বন্দীদের অবমাননার")</f>
        <v>বন্দীদের অবমাননার</v>
      </c>
    </row>
    <row r="506">
      <c r="A506" s="2" t="s">
        <v>636</v>
      </c>
      <c r="B506" s="3" t="str">
        <f>IFERROR(__xludf.DUMMYFUNCTION("GOOGLETRANSLATE(A506, ""ar"", ""bn"")"),"রাজনৈতিক বন্দীদের অপমানজনক")</f>
        <v>রাজনৈতিক বন্দীদের অপমানজনক</v>
      </c>
    </row>
    <row r="507">
      <c r="A507" s="2" t="s">
        <v>637</v>
      </c>
      <c r="B507" s="3" t="str">
        <f>IFERROR(__xludf.DUMMYFUNCTION("GOOGLETRANSLATE(A507, ""ar"", ""bn"")"),"কেন্দ্রীয় বাতিলের")</f>
        <v>কেন্দ্রীয় বাতিলের</v>
      </c>
    </row>
    <row r="508">
      <c r="A508" s="2" t="s">
        <v>638</v>
      </c>
      <c r="B508" s="3" t="str">
        <f>IFERROR(__xludf.DUMMYFUNCTION("GOOGLETRANSLATE(A508, ""ar"", ""bn"")"),"Amqr সর্বসম্মতিক্রমে")</f>
        <v>Amqr সর্বসম্মতিক্রমে</v>
      </c>
    </row>
    <row r="509">
      <c r="A509" s="2" t="s">
        <v>639</v>
      </c>
      <c r="B509" s="3" t="str">
        <f>IFERROR(__xludf.DUMMYFUNCTION("GOOGLETRANSLATE(A509, ""ar"", ""bn"")"),"কমিটি গ্রহণ অভিযুক্ত")</f>
        <v>কমিটি গ্রহণ অভিযুক্ত</v>
      </c>
    </row>
    <row r="510">
      <c r="A510" s="2" t="s">
        <v>234</v>
      </c>
      <c r="B510" s="3" t="str">
        <f>IFERROR(__xludf.DUMMYFUNCTION("GOOGLETRANSLATE(A510, ""ar"", ""bn"")"),"সিদ্ধান্ত")</f>
        <v>সিদ্ধান্ত</v>
      </c>
    </row>
    <row r="511">
      <c r="A511" s="2" t="s">
        <v>640</v>
      </c>
      <c r="B511" s="3" t="str">
        <f>IFERROR(__xludf.DUMMYFUNCTION("GOOGLETRANSLATE(A511, ""ar"", ""bn"")"),"স্বাধীনতার ঘোষণা")</f>
        <v>স্বাধীনতার ঘোষণা</v>
      </c>
    </row>
    <row r="512">
      <c r="A512" s="2" t="s">
        <v>641</v>
      </c>
      <c r="B512" s="3" t="str">
        <f>IFERROR(__xludf.DUMMYFUNCTION("GOOGLETRANSLATE(A512, ""ar"", ""bn"")"),"সামরিক আইন ঘোষণা")</f>
        <v>সামরিক আইন ঘোষণা</v>
      </c>
    </row>
    <row r="513">
      <c r="A513" s="2" t="s">
        <v>642</v>
      </c>
      <c r="B513" s="3" t="str">
        <f>IFERROR(__xludf.DUMMYFUNCTION("GOOGLETRANSLATE(A513, ""ar"", ""bn"")"),"যুদ্ধের Amaln রাষ্ট্র")</f>
        <v>যুদ্ধের Amaln রাষ্ট্র</v>
      </c>
    </row>
    <row r="514">
      <c r="A514" s="2" t="s">
        <v>643</v>
      </c>
      <c r="B514" s="3" t="str">
        <f>IFERROR(__xludf.DUMMYFUNCTION("GOOGLETRANSLATE(A514, ""ar"", ""bn"")"),"Amard অফিস রাজি")</f>
        <v>Amard অফিস রাজি</v>
      </c>
    </row>
    <row r="515">
      <c r="A515" s="2" t="s">
        <v>644</v>
      </c>
      <c r="B515" s="3" t="str">
        <f>IFERROR(__xludf.DUMMYFUNCTION("GOOGLETRANSLATE(A515, ""ar"", ""bn"")"),"রাজনীতিজ্ঞ")</f>
        <v>রাজনীতিজ্ঞ</v>
      </c>
    </row>
    <row r="516">
      <c r="A516" s="2" t="s">
        <v>645</v>
      </c>
      <c r="B516" s="3" t="str">
        <f>IFERROR(__xludf.DUMMYFUNCTION("GOOGLETRANSLATE(A516, ""ar"", ""bn"")"),"বৃত্তি সমাপ্তি")</f>
        <v>বৃত্তি সমাপ্তি</v>
      </c>
    </row>
    <row r="517">
      <c r="A517" s="2" t="s">
        <v>646</v>
      </c>
      <c r="B517" s="3" t="str">
        <f>IFERROR(__xludf.DUMMYFUNCTION("GOOGLETRANSLATE(A517, ""ar"", ""bn"")"),"ফরমান")</f>
        <v>ফরমান</v>
      </c>
    </row>
    <row r="518">
      <c r="A518" s="2" t="s">
        <v>647</v>
      </c>
      <c r="B518" s="3" t="str">
        <f>IFERROR(__xludf.DUMMYFUNCTION("GOOGLETRANSLATE(A518, ""ar"", ""bn"")"),"পরাজয়")</f>
        <v>পরাজয়</v>
      </c>
    </row>
    <row r="519">
      <c r="A519" s="2" t="s">
        <v>648</v>
      </c>
      <c r="B519" s="3" t="str">
        <f>IFERROR(__xludf.DUMMYFUNCTION("GOOGLETRANSLATE(A519, ""ar"", ""bn"")"),"Imdaf মানবাধিকার")</f>
        <v>Imdaf মানবাধিকার</v>
      </c>
    </row>
    <row r="520">
      <c r="A520" s="2" t="s">
        <v>649</v>
      </c>
      <c r="B520" s="3" t="str">
        <f>IFERROR(__xludf.DUMMYFUNCTION("GOOGLETRANSLATE(A520, ""ar"", ""bn"")"),"Imdaf জাতীয় স্বার্থ")</f>
        <v>Imdaf জাতীয় স্বার্থ</v>
      </c>
    </row>
    <row r="521">
      <c r="A521" s="2" t="s">
        <v>650</v>
      </c>
      <c r="B521" s="3" t="str">
        <f>IFERROR(__xludf.DUMMYFUNCTION("GOOGLETRANSLATE(A521, ""ar"", ""bn"")"),"জমির জন্য Imdaf")</f>
        <v>জমির জন্য Imdaf</v>
      </c>
    </row>
    <row r="522">
      <c r="A522" s="2" t="s">
        <v>651</v>
      </c>
      <c r="B522" s="3" t="str">
        <f>IFERROR(__xludf.DUMMYFUNCTION("GOOGLETRANSLATE(A522, ""ar"", ""bn"")"),"ডিফেন্সিভ জোট")</f>
        <v>ডিফেন্সিভ জোট</v>
      </c>
    </row>
    <row r="523">
      <c r="A523" s="2" t="s">
        <v>652</v>
      </c>
      <c r="B523" s="3" t="str">
        <f>IFERROR(__xludf.DUMMYFUNCTION("GOOGLETRANSLATE(A523, ""ar"", ""bn"")"),"ডিফেন্সিভ অস্ত্র")</f>
        <v>ডিফেন্সিভ অস্ত্র</v>
      </c>
    </row>
    <row r="524">
      <c r="A524" s="2" t="s">
        <v>653</v>
      </c>
      <c r="B524" s="3" t="str">
        <f>IFERROR(__xludf.DUMMYFUNCTION("GOOGLETRANSLATE(A524, ""ar"", ""bn"")"),"প্রতিরক্ষা লাইনস")</f>
        <v>প্রতিরক্ষা লাইনস</v>
      </c>
    </row>
    <row r="525">
      <c r="A525" s="2" t="s">
        <v>654</v>
      </c>
      <c r="B525" s="3" t="str">
        <f>IFERROR(__xludf.DUMMYFUNCTION("GOOGLETRANSLATE(A525, ""ar"", ""bn"")"),"প্রতিরক্ষা সনদ")</f>
        <v>প্রতিরক্ষা সনদ</v>
      </c>
    </row>
    <row r="526">
      <c r="A526" s="2" t="s">
        <v>655</v>
      </c>
      <c r="B526" s="3" t="str">
        <f>IFERROR(__xludf.DUMMYFUNCTION("GOOGLETRANSLATE(A526, ""ar"", ""bn"")"),"প্রতিরক্ষা কৌশল")</f>
        <v>প্রতিরক্ষা কৌশল</v>
      </c>
    </row>
    <row r="527">
      <c r="A527" s="2" t="s">
        <v>656</v>
      </c>
      <c r="B527" s="3" t="str">
        <f>IFERROR(__xludf.DUMMYFUNCTION("GOOGLETRANSLATE(A527, ""ar"", ""bn"")"),"ডিফেন্সিভ জোট")</f>
        <v>ডিফেন্সিভ জোট</v>
      </c>
    </row>
    <row r="528">
      <c r="A528" s="2" t="s">
        <v>657</v>
      </c>
      <c r="B528" s="3" t="str">
        <f>IFERROR(__xludf.DUMMYFUNCTION("GOOGLETRANSLATE(A528, ""ar"", ""bn"")"),"Amagel বর্ণন")</f>
        <v>Amagel বর্ণন</v>
      </c>
    </row>
    <row r="529">
      <c r="A529" s="2" t="s">
        <v>658</v>
      </c>
      <c r="B529" s="3" t="str">
        <f>IFERROR(__xludf.DUMMYFUNCTION("GOOGLETRANSLATE(A529, ""ar"", ""bn"")"),"Amahd দায়িত্ব ঘ")</f>
        <v>Amahd দায়িত্ব ঘ</v>
      </c>
    </row>
    <row r="530">
      <c r="A530" s="2" t="s">
        <v>262</v>
      </c>
      <c r="B530" s="3" t="str">
        <f>IFERROR(__xludf.DUMMYFUNCTION("GOOGLETRANSLATE(A530, ""ar"", ""bn"")"),"কূটনীতি")</f>
        <v>কূটনীতি</v>
      </c>
    </row>
    <row r="531">
      <c r="A531" s="2" t="s">
        <v>659</v>
      </c>
      <c r="B531" s="3" t="str">
        <f>IFERROR(__xludf.DUMMYFUNCTION("GOOGLETRANSLATE(A531, ""ar"", ""bn"")"),"Amahd ঘ কূটনৈতিক অবস্থান")</f>
        <v>Amahd ঘ কূটনৈতিক অবস্থান</v>
      </c>
    </row>
    <row r="532">
      <c r="A532" s="2" t="s">
        <v>660</v>
      </c>
      <c r="B532" s="3" t="str">
        <f>IFERROR(__xludf.DUMMYFUNCTION("GOOGLETRANSLATE(A532, ""ar"", ""bn"")"),"Amaa এন সীমান্ত")</f>
        <v>Amaa এন সীমান্ত</v>
      </c>
    </row>
    <row r="533">
      <c r="A533" s="2" t="s">
        <v>661</v>
      </c>
      <c r="B533" s="3" t="str">
        <f>IFERROR(__xludf.DUMMYFUNCTION("GOOGLETRANSLATE(A533, ""ar"", ""bn"")"),"Amahd ঘ রাজনৈতিক কর্ম পরিকল্পনা")</f>
        <v>Amahd ঘ রাজনৈতিক কর্ম পরিকল্পনা</v>
      </c>
    </row>
    <row r="534">
      <c r="A534" s="2" t="s">
        <v>662</v>
      </c>
      <c r="B534" s="3" t="str">
        <f>IFERROR(__xludf.DUMMYFUNCTION("GOOGLETRANSLATE(A534, ""ar"", ""bn"")"),"Amahdd রাজনৈতিক উদ্দেশ্য")</f>
        <v>Amahdd রাজনৈতিক উদ্দেশ্য</v>
      </c>
    </row>
    <row r="535">
      <c r="A535" s="2" t="s">
        <v>663</v>
      </c>
      <c r="B535" s="3" t="str">
        <f>IFERROR(__xludf.DUMMYFUNCTION("GOOGLETRANSLATE(A535, ""ar"", ""bn"")"),"Amahd ঘ রাজনৈতিক পরিকল্পনা")</f>
        <v>Amahd ঘ রাজনৈতিক পরিকল্পনা</v>
      </c>
    </row>
    <row r="536">
      <c r="A536" s="2" t="s">
        <v>664</v>
      </c>
      <c r="B536" s="3" t="str">
        <f>IFERROR(__xludf.DUMMYFUNCTION("GOOGLETRANSLATE(A536, ""ar"", ""bn"")"),"জেড আন্তর্জাতিক জনমত সম্মিলন")</f>
        <v>জেড আন্তর্জাতিক জনমত সম্মিলন</v>
      </c>
    </row>
    <row r="537">
      <c r="A537" s="2" t="s">
        <v>665</v>
      </c>
      <c r="B537" s="3" t="str">
        <f>IFERROR(__xludf.DUMMYFUNCTION("GOOGLETRANSLATE(A537, ""ar"", ""bn"")"),"জেড জনমত সম্মিলন")</f>
        <v>জেড জনমত সম্মিলন</v>
      </c>
    </row>
    <row r="538">
      <c r="A538" s="2" t="s">
        <v>666</v>
      </c>
      <c r="B538" s="3" t="str">
        <f>IFERROR(__xludf.DUMMYFUNCTION("GOOGLETRANSLATE(A538, ""ar"", ""bn"")"),"প্রতিনিধি দূত")</f>
        <v>প্রতিনিধি দূত</v>
      </c>
    </row>
    <row r="539">
      <c r="A539" s="2" t="s">
        <v>667</v>
      </c>
      <c r="B539" s="3" t="str">
        <f>IFERROR(__xludf.DUMMYFUNCTION("GOOGLETRANSLATE(A539, ""ar"", ""bn"")"),"প্রতিনিধিদল")</f>
        <v>প্রতিনিধিদল</v>
      </c>
    </row>
    <row r="540">
      <c r="A540" s="2" t="s">
        <v>668</v>
      </c>
      <c r="B540" s="3" t="str">
        <f>IFERROR(__xludf.DUMMYFUNCTION("GOOGLETRANSLATE(A540, ""ar"", ""bn"")"),"প্রতিনিধি নিয়োগ কর্তৃপক্ষ")</f>
        <v>প্রতিনিধি নিয়োগ কর্তৃপক্ষ</v>
      </c>
    </row>
    <row r="541">
      <c r="A541" s="2" t="s">
        <v>669</v>
      </c>
      <c r="B541" s="3" t="str">
        <f>IFERROR(__xludf.DUMMYFUNCTION("GOOGLETRANSLATE(A541, ""ar"", ""bn"")"),"চিন্তাশীল মতামত")</f>
        <v>চিন্তাশীল মতামত</v>
      </c>
    </row>
    <row r="542">
      <c r="A542" s="2" t="s">
        <v>670</v>
      </c>
      <c r="B542" s="3" t="str">
        <f>IFERROR(__xludf.DUMMYFUNCTION("GOOGLETRANSLATE(A542, ""ar"", ""bn"")"),"আন্তর্জাতিক পর্যায়ে এম আলোচনার")</f>
        <v>আন্তর্জাতিক পর্যায়ে এম আলোচনার</v>
      </c>
    </row>
    <row r="543">
      <c r="A543" s="2" t="s">
        <v>671</v>
      </c>
      <c r="B543" s="3" t="str">
        <f>IFERROR(__xludf.DUMMYFUNCTION("GOOGLETRANSLATE(A543, ""ar"", ""bn"")"),"ধীরতা জন্য একটি সেশন")</f>
        <v>ধীরতা জন্য একটি সেশন</v>
      </c>
    </row>
    <row r="544">
      <c r="A544" s="2" t="s">
        <v>672</v>
      </c>
      <c r="B544" s="3" t="str">
        <f>IFERROR(__xludf.DUMMYFUNCTION("GOOGLETRANSLATE(A544, ""ar"", ""bn"")"),"স্থানীয় পর্যায়ে এম আলোচনার")</f>
        <v>স্থানীয় পর্যায়ে এম আলোচনার</v>
      </c>
    </row>
    <row r="545">
      <c r="A545" s="2" t="s">
        <v>673</v>
      </c>
      <c r="B545" s="3" t="str">
        <f>IFERROR(__xludf.DUMMYFUNCTION("GOOGLETRANSLATE(A545, ""ar"", ""bn"")"),"জননেতৃত্ব")</f>
        <v>জননেতৃত্ব</v>
      </c>
    </row>
    <row r="546">
      <c r="A546" s="2" t="s">
        <v>674</v>
      </c>
      <c r="B546" s="3" t="str">
        <f>IFERROR(__xludf.DUMMYFUNCTION("GOOGLETRANSLATE(A546, ""ar"", ""bn"")"),"যুদ্ধবিরতি লাইন")</f>
        <v>যুদ্ধবিরতি লাইন</v>
      </c>
    </row>
    <row r="547">
      <c r="A547" s="2" t="s">
        <v>675</v>
      </c>
      <c r="B547" s="3" t="str">
        <f>IFERROR(__xludf.DUMMYFUNCTION("GOOGLETRANSLATE(A547, ""ar"", ""bn"")"),"রাজ্যের মধ্যে সীমারেখা সীমানা নির্ধারন")</f>
        <v>রাজ্যের মধ্যে সীমারেখা সীমানা নির্ধারন</v>
      </c>
    </row>
    <row r="548">
      <c r="A548" s="2" t="s">
        <v>676</v>
      </c>
      <c r="B548" s="3" t="str">
        <f>IFERROR(__xludf.DUMMYFUNCTION("GOOGLETRANSLATE(A548, ""ar"", ""bn"")"),"গণতন্ত্র")</f>
        <v>গণতন্ত্র</v>
      </c>
    </row>
    <row r="549">
      <c r="A549" s="2" t="s">
        <v>677</v>
      </c>
      <c r="B549" s="3" t="str">
        <f>IFERROR(__xludf.DUMMYFUNCTION("GOOGLETRANSLATE(A549, ""ar"", ""bn"")"),"গণতান্ত্রিক নির্বাচনে")</f>
        <v>গণতান্ত্রিক নির্বাচনে</v>
      </c>
    </row>
    <row r="550">
      <c r="A550" s="2" t="s">
        <v>678</v>
      </c>
      <c r="B550" s="3" t="str">
        <f>IFERROR(__xludf.DUMMYFUNCTION("GOOGLETRANSLATE(A550, ""ar"", ""bn"")"),"গণতান্ত্রিক অভিজ্ঞতা")</f>
        <v>গণতান্ত্রিক অভিজ্ঞতা</v>
      </c>
    </row>
    <row r="551">
      <c r="A551" s="2" t="s">
        <v>679</v>
      </c>
      <c r="B551" s="3" t="str">
        <f>IFERROR(__xludf.DUMMYFUNCTION("GOOGLETRANSLATE(A551, ""ar"", ""bn"")"),"খেলা ডেমোক্রেসি")</f>
        <v>খেলা ডেমোক্রেসি</v>
      </c>
    </row>
    <row r="552">
      <c r="A552" s="2" t="s">
        <v>680</v>
      </c>
      <c r="B552" s="3" t="str">
        <f>IFERROR(__xludf.DUMMYFUNCTION("GOOGLETRANSLATE(A552, ""ar"", ""bn"")"),"গণতান্ত্রিক শাসন")</f>
        <v>গণতান্ত্রিক শাসন</v>
      </c>
    </row>
    <row r="553">
      <c r="A553" s="2" t="s">
        <v>681</v>
      </c>
      <c r="B553" s="3" t="str">
        <f>IFERROR(__xludf.DUMMYFUNCTION("GOOGLETRANSLATE(A553, ""ar"", ""bn"")"),"গণতন্ত্রের অংশ")</f>
        <v>গণতন্ত্রের অংশ</v>
      </c>
    </row>
    <row r="554">
      <c r="A554" s="2" t="s">
        <v>682</v>
      </c>
      <c r="B554" s="3" t="str">
        <f>IFERROR(__xludf.DUMMYFUNCTION("GOOGLETRANSLATE(A554, ""ar"", ""bn"")"),"গণতান্ত্রিক শৈলী")</f>
        <v>গণতান্ত্রিক শৈলী</v>
      </c>
    </row>
    <row r="555">
      <c r="A555" s="2" t="s">
        <v>683</v>
      </c>
      <c r="B555" s="3" t="str">
        <f>IFERROR(__xludf.DUMMYFUNCTION("GOOGLETRANSLATE(A555, ""ar"", ""bn"")"),"গণতন্ত্রের মূলনীতির")</f>
        <v>গণতন্ত্রের মূলনীতির</v>
      </c>
    </row>
    <row r="556">
      <c r="A556" s="2" t="s">
        <v>684</v>
      </c>
      <c r="B556" s="3" t="str">
        <f>IFERROR(__xludf.DUMMYFUNCTION("GOOGLETRANSLATE(A556, ""ar"", ""bn"")"),"সমাজতান্ত্রিক গণতন্ত্র")</f>
        <v>সমাজতান্ত্রিক গণতন্ত্র</v>
      </c>
    </row>
    <row r="557">
      <c r="A557" s="2" t="s">
        <v>685</v>
      </c>
      <c r="B557" s="3" t="str">
        <f>IFERROR(__xludf.DUMMYFUNCTION("GOOGLETRANSLATE(A557, ""ar"", ""bn"")"),"গণতন্ত্র")</f>
        <v>গণতন্ত্র</v>
      </c>
    </row>
    <row r="558">
      <c r="A558" s="2" t="s">
        <v>686</v>
      </c>
      <c r="B558" s="3" t="str">
        <f>IFERROR(__xludf.DUMMYFUNCTION("GOOGLETRANSLATE(A558, ""ar"", ""bn"")"),"ভবন মোরামের")</f>
        <v>ভবন মোরামের</v>
      </c>
    </row>
    <row r="559">
      <c r="A559" s="2" t="s">
        <v>687</v>
      </c>
      <c r="B559" s="3" t="str">
        <f>IFERROR(__xludf.DUMMYFUNCTION("GOOGLETRANSLATE(A559, ""ar"", ""bn"")"),"Amdm টি শহর")</f>
        <v>Amdm টি শহর</v>
      </c>
    </row>
    <row r="560">
      <c r="A560" s="2" t="s">
        <v>688</v>
      </c>
      <c r="B560" s="3" t="str">
        <f>IFERROR(__xludf.DUMMYFUNCTION("GOOGLETRANSLATE(A560, ""ar"", ""bn"")"),"Amdm টি পরিকাঠামো")</f>
        <v>Amdm টি পরিকাঠামো</v>
      </c>
    </row>
    <row r="561">
      <c r="A561" s="2" t="s">
        <v>689</v>
      </c>
      <c r="B561" s="3" t="str">
        <f>IFERROR(__xludf.DUMMYFUNCTION("GOOGLETRANSLATE(A561, ""ar"", ""bn"")"),"এম বিক্ষোভ")</f>
        <v>এম বিক্ষোভ</v>
      </c>
    </row>
    <row r="562">
      <c r="A562" s="2" t="s">
        <v>690</v>
      </c>
      <c r="B562" s="3" t="str">
        <f>IFERROR(__xludf.DUMMYFUNCTION("GOOGLETRANSLATE(A562, ""ar"", ""bn"")"),"এম সক্রিয় অংশগ্রহণকারী")</f>
        <v>এম সক্রিয় অংশগ্রহণকারী</v>
      </c>
    </row>
    <row r="563">
      <c r="A563" s="2" t="s">
        <v>691</v>
      </c>
      <c r="B563" s="3" t="str">
        <f>IFERROR(__xludf.DUMMYFUNCTION("GOOGLETRANSLATE(A563, ""ar"", ""bn"")"),"থেকে বিরত করার অধিকার আদায়")</f>
        <v>থেকে বিরত করার অধিকার আদায়</v>
      </c>
    </row>
    <row r="564">
      <c r="A564" s="2" t="s">
        <v>692</v>
      </c>
      <c r="B564" s="3" t="str">
        <f>IFERROR(__xludf.DUMMYFUNCTION("GOOGLETRANSLATE(A564, ""ar"", ""bn"")"),"ফোর্সেস সামরিক তথ্য প্রকাশ")</f>
        <v>ফোর্সেস সামরিক তথ্য প্রকাশ</v>
      </c>
    </row>
    <row r="565">
      <c r="A565" s="2" t="s">
        <v>579</v>
      </c>
      <c r="B565" s="3" t="str">
        <f>IFERROR(__xludf.DUMMYFUNCTION("GOOGLETRANSLATE(A565, ""ar"", ""bn"")"),"আন্তর্জাতিক")</f>
        <v>আন্তর্জাতিক</v>
      </c>
    </row>
    <row r="566">
      <c r="A566" s="2" t="s">
        <v>693</v>
      </c>
      <c r="B566" s="3" t="str">
        <f>IFERROR(__xludf.DUMMYFUNCTION("GOOGLETRANSLATE(A566, ""ar"", ""bn"")"),"ফোর্সেস জাতীয় তথ্য প্রকাশ")</f>
        <v>ফোর্সেস জাতীয় তথ্য প্রকাশ</v>
      </c>
    </row>
    <row r="567">
      <c r="A567" s="2" t="s">
        <v>694</v>
      </c>
      <c r="B567" s="3" t="str">
        <f>IFERROR(__xludf.DUMMYFUNCTION("GOOGLETRANSLATE(A567, ""ar"", ""bn"")"),"এম নির্বাসিত ব্যক্তি নির্বাসিত")</f>
        <v>এম নির্বাসিত ব্যক্তি নির্বাসিত</v>
      </c>
    </row>
    <row r="568">
      <c r="A568" s="2" t="s">
        <v>695</v>
      </c>
      <c r="B568" s="3" t="str">
        <f>IFERROR(__xludf.DUMMYFUNCTION("GOOGLETRANSLATE(A568, ""ar"", ""bn"")"),"রাজনৈতিক অধিকার Amejrd")</f>
        <v>রাজনৈতিক অধিকার Amejrd</v>
      </c>
    </row>
    <row r="569">
      <c r="A569" s="2" t="s">
        <v>696</v>
      </c>
      <c r="B569" s="3" t="str">
        <f>IFERROR(__xludf.DUMMYFUNCTION("GOOGLETRANSLATE(A569, ""ar"", ""bn"")"),"সংসদে ডেপুটি")</f>
        <v>সংসদে ডেপুটি</v>
      </c>
    </row>
    <row r="570">
      <c r="A570" s="2" t="s">
        <v>697</v>
      </c>
      <c r="B570" s="3" t="str">
        <f>IFERROR(__xludf.DUMMYFUNCTION("GOOGLETRANSLATE(A570, ""ar"", ""bn"")"),"ভাইস Mpho জেড")</f>
        <v>ভাইস Mpho জেড</v>
      </c>
    </row>
    <row r="571">
      <c r="A571" s="2" t="s">
        <v>698</v>
      </c>
      <c r="B571" s="3" t="str">
        <f>IFERROR(__xludf.DUMMYFUNCTION("GOOGLETRANSLATE(A571, ""ar"", ""bn"")"),"মিমি ফু টু Z মিটিং সভাপতিত্বে")</f>
        <v>মিমি ফু টু Z মিটিং সভাপতিত্বে</v>
      </c>
    </row>
    <row r="572">
      <c r="A572" s="2" t="s">
        <v>699</v>
      </c>
      <c r="B572" s="3" t="str">
        <f>IFERROR(__xludf.DUMMYFUNCTION("GOOGLETRANSLATE(A572, ""ar"", ""bn"")"),"প্রশ্নঃ ধর্মীয় সুবিধা প্রসারিত")</f>
        <v>প্রশ্নঃ ধর্মীয় সুবিধা প্রসারিত</v>
      </c>
    </row>
    <row r="573">
      <c r="A573" s="2" t="s">
        <v>700</v>
      </c>
      <c r="B573" s="3" t="str">
        <f>IFERROR(__xludf.DUMMYFUNCTION("GOOGLETRANSLATE(A573, ""ar"", ""bn"")"),"রাষ্ট্রদূত Mpho জেড")</f>
        <v>রাষ্ট্রদূত Mpho জেড</v>
      </c>
    </row>
    <row r="574">
      <c r="A574" s="2" t="s">
        <v>701</v>
      </c>
      <c r="B574" s="3" t="str">
        <f>IFERROR(__xludf.DUMMYFUNCTION("GOOGLETRANSLATE(A574, ""ar"", ""bn"")"),"অন্য রাষ্ট্রের পক্ষে সিংহাসন")</f>
        <v>অন্য রাষ্ট্রের পক্ষে সিংহাসন</v>
      </c>
    </row>
    <row r="575">
      <c r="A575" s="2" t="s">
        <v>702</v>
      </c>
      <c r="B575" s="3" t="str">
        <f>IFERROR(__xludf.DUMMYFUNCTION("GOOGLETRANSLATE(A575, ""ar"", ""bn"")"),"অত্যাচারী স্তর")</f>
        <v>অত্যাচারী স্তর</v>
      </c>
    </row>
    <row r="576">
      <c r="A576" s="2" t="s">
        <v>703</v>
      </c>
      <c r="B576" s="3" t="str">
        <f>IFERROR(__xludf.DUMMYFUNCTION("GOOGLETRANSLATE(A576, ""ar"", ""bn"")"),"স্বৈরশাসন")</f>
        <v>স্বৈরশাসন</v>
      </c>
    </row>
    <row r="577">
      <c r="A577" s="2" t="s">
        <v>704</v>
      </c>
      <c r="B577" s="3" t="str">
        <f>IFERROR(__xludf.DUMMYFUNCTION("GOOGLETRANSLATE(A577, ""ar"", ""bn"")"),"গ্রেফতারের কর্তৃপক্ষ")</f>
        <v>গ্রেফতারের কর্তৃপক্ষ</v>
      </c>
    </row>
    <row r="578">
      <c r="A578" s="2" t="s">
        <v>705</v>
      </c>
      <c r="B578" s="3" t="str">
        <f>IFERROR(__xludf.DUMMYFUNCTION("GOOGLETRANSLATE(A578, ""ar"", ""bn"")"),"গ্রেফতার")</f>
        <v>গ্রেফতার</v>
      </c>
    </row>
    <row r="579">
      <c r="A579" s="2" t="s">
        <v>706</v>
      </c>
      <c r="B579" s="3" t="str">
        <f>IFERROR(__xludf.DUMMYFUNCTION("GOOGLETRANSLATE(A579, ""ar"", ""bn"")"),"রাজনৈতিক বন্দীদের গ্রেফতার")</f>
        <v>রাজনৈতিক বন্দীদের গ্রেফতার</v>
      </c>
    </row>
    <row r="580">
      <c r="A580" s="2" t="s">
        <v>707</v>
      </c>
      <c r="B580" s="3" t="str">
        <f>IFERROR(__xludf.DUMMYFUNCTION("GOOGLETRANSLATE(A580, ""ar"", ""bn"")"),"আন্তর্জাতিক দায়িত্ব ডিফাইনিং")</f>
        <v>আন্তর্জাতিক দায়িত্ব ডিফাইনিং</v>
      </c>
    </row>
    <row r="581">
      <c r="A581" s="2" t="s">
        <v>708</v>
      </c>
      <c r="B581" s="3" t="str">
        <f>IFERROR(__xludf.DUMMYFUNCTION("GOOGLETRANSLATE(A581, ""ar"", ""bn"")"),"আন্তর্জাতিক বাধ্যবাধকতা ডিফাইনিং")</f>
        <v>আন্তর্জাতিক বাধ্যবাধকতা ডিফাইনিং</v>
      </c>
    </row>
    <row r="582">
      <c r="A582" s="2" t="s">
        <v>709</v>
      </c>
      <c r="B582" s="3" t="str">
        <f>IFERROR(__xludf.DUMMYFUNCTION("GOOGLETRANSLATE(A582, ""ar"", ""bn"")"),"উন্নয়নশীল দেশ")</f>
        <v>উন্নয়নশীল দেশ</v>
      </c>
    </row>
    <row r="583">
      <c r="A583" s="2" t="s">
        <v>710</v>
      </c>
      <c r="B583" s="3" t="str">
        <f>IFERROR(__xludf.DUMMYFUNCTION("GOOGLETRANSLATE(A583, ""ar"", ""bn"")"),"দেশের মধ্যে এন দ্বান্দ্বিক দ্বন্দ্ব")</f>
        <v>দেশের মধ্যে এন দ্বান্দ্বিক দ্বন্দ্ব</v>
      </c>
    </row>
    <row r="584">
      <c r="A584" s="2" t="s">
        <v>711</v>
      </c>
      <c r="B584" s="3" t="str">
        <f>IFERROR(__xludf.DUMMYFUNCTION("GOOGLETRANSLATE(A584, ""ar"", ""bn"")"),"স্বেচ্ছাচারি আকারে")</f>
        <v>স্বেচ্ছাচারি আকারে</v>
      </c>
    </row>
    <row r="585">
      <c r="A585" s="2" t="s">
        <v>712</v>
      </c>
      <c r="B585" s="3" t="str">
        <f>IFERROR(__xludf.DUMMYFUNCTION("GOOGLETRANSLATE(A585, ""ar"", ""bn"")"),"একনায়কতান্ত্রিক সরকারে")</f>
        <v>একনায়কতান্ত্রিক সরকারে</v>
      </c>
    </row>
    <row r="586">
      <c r="A586" s="2" t="s">
        <v>713</v>
      </c>
      <c r="B586" s="3" t="str">
        <f>IFERROR(__xludf.DUMMYFUNCTION("GOOGLETRANSLATE(A586, ""ar"", ""bn"")"),"একটি স্বৈরাচারী একনায়কতান্ত্রিক শাসনে")</f>
        <v>একটি স্বৈরাচারী একনায়কতান্ত্রিক শাসনে</v>
      </c>
    </row>
    <row r="587">
      <c r="A587" s="2" t="s">
        <v>714</v>
      </c>
      <c r="B587" s="3" t="str">
        <f>IFERROR(__xludf.DUMMYFUNCTION("GOOGLETRANSLATE(A587, ""ar"", ""bn"")"),"মিশ্র কূটনৈতিক চুক্তি")</f>
        <v>মিশ্র কূটনৈতিক চুক্তি</v>
      </c>
    </row>
    <row r="588">
      <c r="A588" s="2" t="s">
        <v>715</v>
      </c>
      <c r="B588" s="3" t="str">
        <f>IFERROR(__xludf.DUMMYFUNCTION("GOOGLETRANSLATE(A588, ""ar"", ""bn"")"),"রাজ্যের মধ্যে প্রকাশিত বিরোধ")</f>
        <v>রাজ্যের মধ্যে প্রকাশিত বিরোধ</v>
      </c>
    </row>
    <row r="589">
      <c r="A589" s="2" t="s">
        <v>716</v>
      </c>
      <c r="B589" s="3" t="str">
        <f>IFERROR(__xludf.DUMMYFUNCTION("GOOGLETRANSLATE(A589, ""ar"", ""bn"")"),"যুক্তরাষ্ট্র মধ্যে তথ্য বিস্তার")</f>
        <v>যুক্তরাষ্ট্র মধ্যে তথ্য বিস্তার</v>
      </c>
    </row>
    <row r="590">
      <c r="A590" s="2" t="s">
        <v>717</v>
      </c>
      <c r="B590" s="3" t="str">
        <f>IFERROR(__xludf.DUMMYFUNCTION("GOOGLETRANSLATE(A590, ""ar"", ""bn"")"),"কূটনীতি")</f>
        <v>কূটনীতি</v>
      </c>
    </row>
    <row r="591">
      <c r="A591" s="2" t="s">
        <v>718</v>
      </c>
      <c r="B591" s="3" t="str">
        <f>IFERROR(__xludf.DUMMYFUNCTION("GOOGLETRANSLATE(A591, ""ar"", ""bn"")"),"কূটনীতিজ্ঞ")</f>
        <v>কূটনীতিজ্ঞ</v>
      </c>
    </row>
    <row r="592">
      <c r="A592" s="2" t="s">
        <v>719</v>
      </c>
      <c r="B592" s="3" t="str">
        <f>IFERROR(__xludf.DUMMYFUNCTION("GOOGLETRANSLATE(A592, ""ar"", ""bn"")"),"কূটনৈতিক ঘটনা")</f>
        <v>কূটনৈতিক ঘটনা</v>
      </c>
    </row>
    <row r="593">
      <c r="A593" s="2" t="s">
        <v>720</v>
      </c>
      <c r="B593" s="3" t="str">
        <f>IFERROR(__xludf.DUMMYFUNCTION("GOOGLETRANSLATE(A593, ""ar"", ""bn"")"),"কূটনৈতিক প্যাকেজ")</f>
        <v>কূটনৈতিক প্যাকেজ</v>
      </c>
    </row>
    <row r="594">
      <c r="A594" s="2" t="s">
        <v>721</v>
      </c>
      <c r="B594" s="3" t="str">
        <f>IFERROR(__xludf.DUMMYFUNCTION("GOOGLETRANSLATE(A594, ""ar"", ""bn"")"),"কূটনৈতিক বিষয়ক সংবাদদাতা")</f>
        <v>কূটনৈতিক বিষয়ক সংবাদদাতা</v>
      </c>
    </row>
    <row r="595">
      <c r="A595" s="2" t="s">
        <v>722</v>
      </c>
      <c r="B595" s="3" t="str">
        <f>IFERROR(__xludf.DUMMYFUNCTION("GOOGLETRANSLATE(A595, ""ar"", ""bn"")"),"কূটনৈতিক কোরের কাজ")</f>
        <v>কূটনৈতিক কোরের কাজ</v>
      </c>
    </row>
    <row r="596">
      <c r="A596" s="2" t="s">
        <v>723</v>
      </c>
      <c r="B596" s="3" t="str">
        <f>IFERROR(__xludf.DUMMYFUNCTION("GOOGLETRANSLATE(A596, ""ar"", ""bn"")"),"রাস্তা বা কূটনৈতিক চ্যানেল")</f>
        <v>রাস্তা বা কূটনৈতিক চ্যানেল</v>
      </c>
    </row>
    <row r="597">
      <c r="A597" s="2" t="s">
        <v>724</v>
      </c>
      <c r="B597" s="3" t="str">
        <f>IFERROR(__xludf.DUMMYFUNCTION("GOOGLETRANSLATE(A597, ""ar"", ""bn"")"),"কূটনীতিক অঙ্গীকার ঘ")</f>
        <v>কূটনীতিক অঙ্গীকার ঘ</v>
      </c>
    </row>
    <row r="598">
      <c r="A598" s="2" t="s">
        <v>725</v>
      </c>
      <c r="B598" s="3" t="str">
        <f>IFERROR(__xludf.DUMMYFUNCTION("GOOGLETRANSLATE(A598, ""ar"", ""bn"")"),"কূটনৈতিক কমিটি")</f>
        <v>কূটনৈতিক কমিটি</v>
      </c>
    </row>
    <row r="599">
      <c r="A599" s="2" t="s">
        <v>726</v>
      </c>
      <c r="B599" s="3" t="str">
        <f>IFERROR(__xludf.DUMMYFUNCTION("GOOGLETRANSLATE(A599, ""ar"", ""bn"")"),"কূটনৈতিক পরিচিতি")</f>
        <v>কূটনৈতিক পরিচিতি</v>
      </c>
    </row>
    <row r="600">
      <c r="A600" s="2" t="s">
        <v>727</v>
      </c>
      <c r="B600" s="3" t="str">
        <f>IFERROR(__xludf.DUMMYFUNCTION("GOOGLETRANSLATE(A600, ""ar"", ""bn"")"),"কমিটি কূটনৈতিক পরিচিতি")</f>
        <v>কমিটি কূটনৈতিক পরিচিতি</v>
      </c>
    </row>
    <row r="601">
      <c r="A601" s="2" t="s">
        <v>728</v>
      </c>
      <c r="B601" s="3" t="str">
        <f>IFERROR(__xludf.DUMMYFUNCTION("GOOGLETRANSLATE(A601, ""ar"", ""bn"")"),"আর কূটনৈতিক লাট")</f>
        <v>আর কূটনৈতিক লাট</v>
      </c>
    </row>
    <row r="602">
      <c r="A602" s="2" t="s">
        <v>729</v>
      </c>
      <c r="B602" s="3" t="str">
        <f>IFERROR(__xludf.DUMMYFUNCTION("GOOGLETRANSLATE(A602, ""ar"", ""bn"")"),"কূটনৈতিক পরামর্শকারী")</f>
        <v>কূটনৈতিক পরামর্শকারী</v>
      </c>
    </row>
    <row r="603">
      <c r="A603" s="2" t="s">
        <v>730</v>
      </c>
      <c r="B603" s="3" t="str">
        <f>IFERROR(__xludf.DUMMYFUNCTION("GOOGLETRANSLATE(A603, ""ar"", ""bn"")"),"কূটনৈতিক কমিটি")</f>
        <v>কূটনৈতিক কমিটি</v>
      </c>
    </row>
    <row r="604">
      <c r="A604" s="2" t="s">
        <v>731</v>
      </c>
      <c r="B604" s="3" t="str">
        <f>IFERROR(__xludf.DUMMYFUNCTION("GOOGLETRANSLATE(A604, ""ar"", ""bn"")"),"দুর্নীতি কূটনীতিক")</f>
        <v>দুর্নীতি কূটনীতিক</v>
      </c>
    </row>
    <row r="605">
      <c r="A605" s="2" t="s">
        <v>732</v>
      </c>
      <c r="B605" s="3" t="str">
        <f>IFERROR(__xludf.DUMMYFUNCTION("GOOGLETRANSLATE(A605, ""ar"", ""bn"")"),"কূটনৈতিক সঙ্কট")</f>
        <v>কূটনৈতিক সঙ্কট</v>
      </c>
    </row>
    <row r="606">
      <c r="A606" s="2" t="s">
        <v>733</v>
      </c>
      <c r="B606" s="3" t="str">
        <f>IFERROR(__xludf.DUMMYFUNCTION("GOOGLETRANSLATE(A606, ""ar"", ""bn"")"),"কূটনৈতিক নিয়ম")</f>
        <v>কূটনৈতিক নিয়ম</v>
      </c>
    </row>
    <row r="607">
      <c r="A607" s="2" t="s">
        <v>734</v>
      </c>
      <c r="B607" s="3" t="str">
        <f>IFERROR(__xludf.DUMMYFUNCTION("GOOGLETRANSLATE(A607, ""ar"", ""bn"")"),"TS Ih কূটনীতিক")</f>
        <v>TS Ih কূটনীতিক</v>
      </c>
    </row>
    <row r="608">
      <c r="A608" s="2" t="s">
        <v>735</v>
      </c>
      <c r="B608" s="3" t="str">
        <f>IFERROR(__xludf.DUMMYFUNCTION("GOOGLETRANSLATE(A608, ""ar"", ""bn"")"),"কূটনৈতিক প্রতিনিধিদল")</f>
        <v>কূটনৈতিক প্রতিনিধিদল</v>
      </c>
    </row>
    <row r="609">
      <c r="A609" s="2" t="s">
        <v>736</v>
      </c>
      <c r="B609" s="3" t="str">
        <f>IFERROR(__xludf.DUMMYFUNCTION("GOOGLETRANSLATE(A609, ""ar"", ""bn"")"),"এম কূটনৈতিক আলোচনার")</f>
        <v>এম কূটনৈতিক আলোচনার</v>
      </c>
    </row>
    <row r="610">
      <c r="A610" s="2" t="s">
        <v>737</v>
      </c>
      <c r="B610" s="3" t="str">
        <f>IFERROR(__xludf.DUMMYFUNCTION("GOOGLETRANSLATE(A610, ""ar"", ""bn"")"),"এম কূটনৈতিক কুরিয়ার")</f>
        <v>এম কূটনৈতিক কুরিয়ার</v>
      </c>
    </row>
    <row r="611">
      <c r="A611" s="2" t="s">
        <v>738</v>
      </c>
      <c r="B611" s="3" t="str">
        <f>IFERROR(__xludf.DUMMYFUNCTION("GOOGLETRANSLATE(A611, ""ar"", ""bn"")"),"এইচ লোয়ার কূটনীতিক")</f>
        <v>এইচ লোয়ার কূটনীতিক</v>
      </c>
    </row>
    <row r="612">
      <c r="A612" s="2" t="s">
        <v>739</v>
      </c>
      <c r="B612" s="3" t="str">
        <f>IFERROR(__xludf.DUMMYFUNCTION("GOOGLETRANSLATE(A612, ""ar"", ""bn"")"),"কূটনৈতিক সারি")</f>
        <v>কূটনৈতিক সারি</v>
      </c>
    </row>
    <row r="613">
      <c r="A613" s="2" t="s">
        <v>740</v>
      </c>
      <c r="B613" s="3" t="str">
        <f>IFERROR(__xludf.DUMMYFUNCTION("GOOGLETRANSLATE(A613, ""ar"", ""bn"")"),"উপাদানগুলোও পার্থক্য নেতৃস্থানীয়")</f>
        <v>উপাদানগুলোও পার্থক্য নেতৃস্থানীয়</v>
      </c>
    </row>
    <row r="614">
      <c r="A614" s="2" t="s">
        <v>262</v>
      </c>
      <c r="B614" s="3" t="str">
        <f>IFERROR(__xludf.DUMMYFUNCTION("GOOGLETRANSLATE(A614, ""ar"", ""bn"")"),"কূটনীতি")</f>
        <v>কূটনীতি</v>
      </c>
    </row>
    <row r="615">
      <c r="A615" s="2" t="s">
        <v>741</v>
      </c>
      <c r="B615" s="3" t="str">
        <f>IFERROR(__xludf.DUMMYFUNCTION("GOOGLETRANSLATE(A615, ""ar"", ""bn"")"),"কূটনৈতিক তৎপরতা")</f>
        <v>কূটনৈতিক তৎপরতা</v>
      </c>
    </row>
    <row r="616">
      <c r="A616" s="2" t="s">
        <v>742</v>
      </c>
      <c r="B616" s="3" t="str">
        <f>IFERROR(__xludf.DUMMYFUNCTION("GOOGLETRANSLATE(A616, ""ar"", ""bn"")"),"কূটনৈতিক প্রতিবেশ")</f>
        <v>কূটনৈতিক প্রতিবেশ</v>
      </c>
    </row>
    <row r="617">
      <c r="A617" s="2" t="s">
        <v>743</v>
      </c>
      <c r="B617" s="3" t="str">
        <f>IFERROR(__xludf.DUMMYFUNCTION("GOOGLETRANSLATE(A617, ""ar"", ""bn"")"),"কূটনৈতিক শিষ্টাচার")</f>
        <v>কূটনৈতিক শিষ্টাচার</v>
      </c>
    </row>
    <row r="618">
      <c r="A618" s="2" t="s">
        <v>744</v>
      </c>
      <c r="B618" s="3" t="str">
        <f>IFERROR(__xludf.DUMMYFUNCTION("GOOGLETRANSLATE(A618, ""ar"", ""bn"")"),"কূটনৈতিক বিশেষজ্ঞ")</f>
        <v>কূটনৈতিক বিশেষজ্ঞ</v>
      </c>
    </row>
    <row r="619">
      <c r="A619" s="2" t="s">
        <v>745</v>
      </c>
      <c r="B619" s="3" t="str">
        <f>IFERROR(__xludf.DUMMYFUNCTION("GOOGLETRANSLATE(A619, ""ar"", ""bn"")"),"কূটনৈতিক কাঠামো")</f>
        <v>কূটনৈতিক কাঠামো</v>
      </c>
    </row>
    <row r="620">
      <c r="A620" s="2" t="s">
        <v>746</v>
      </c>
      <c r="B620" s="3" t="str">
        <f>IFERROR(__xludf.DUMMYFUNCTION("GOOGLETRANSLATE(A620, ""ar"", ""bn"")"),"কূটনৈতিক কর্ম")</f>
        <v>কূটনৈতিক কর্ম</v>
      </c>
    </row>
    <row r="621">
      <c r="A621" s="2" t="s">
        <v>747</v>
      </c>
      <c r="B621" s="3" t="str">
        <f>IFERROR(__xludf.DUMMYFUNCTION("GOOGLETRANSLATE(A621, ""ar"", ""bn"")"),"একটি গার্ডে ডিপ্লোম্যাটিক")</f>
        <v>একটি গার্ডে ডিপ্লোম্যাটিক</v>
      </c>
    </row>
    <row r="622">
      <c r="A622" s="2" t="s">
        <v>748</v>
      </c>
      <c r="B622" s="3" t="str">
        <f>IFERROR(__xludf.DUMMYFUNCTION("GOOGLETRANSLATE(A622, ""ar"", ""bn"")"),"কূটনৈতিক প্রভাব পরিধি")</f>
        <v>কূটনৈতিক প্রভাব পরিধি</v>
      </c>
    </row>
    <row r="623">
      <c r="A623" s="2" t="s">
        <v>749</v>
      </c>
      <c r="B623" s="3" t="str">
        <f>IFERROR(__xludf.DUMMYFUNCTION("GOOGLETRANSLATE(A623, ""ar"", ""bn"")"),"কূটনৈতিক স্বার্থ")</f>
        <v>কূটনৈতিক স্বার্থ</v>
      </c>
    </row>
    <row r="624">
      <c r="A624" s="2" t="s">
        <v>750</v>
      </c>
      <c r="B624" s="3" t="str">
        <f>IFERROR(__xludf.DUMMYFUNCTION("GOOGLETRANSLATE(A624, ""ar"", ""bn"")"),"কূটনৈতিক বিচ্ছিন্নতা")</f>
        <v>কূটনৈতিক বিচ্ছিন্নতা</v>
      </c>
    </row>
    <row r="625">
      <c r="A625" s="2" t="s">
        <v>751</v>
      </c>
      <c r="B625" s="3" t="str">
        <f>IFERROR(__xludf.DUMMYFUNCTION("GOOGLETRANSLATE(A625, ""ar"", ""bn"")"),"কূটনীতিক")</f>
        <v>কূটনীতিক</v>
      </c>
    </row>
    <row r="626">
      <c r="A626" s="2" t="s">
        <v>752</v>
      </c>
      <c r="B626" s="3" t="str">
        <f>IFERROR(__xludf.DUMMYFUNCTION("GOOGLETRANSLATE(A626, ""ar"", ""bn"")"),"কূটনৈতিক রণকৌশল")</f>
        <v>কূটনৈতিক রণকৌশল</v>
      </c>
    </row>
    <row r="627">
      <c r="A627" s="2" t="s">
        <v>753</v>
      </c>
      <c r="B627" s="3" t="str">
        <f>IFERROR(__xludf.DUMMYFUNCTION("GOOGLETRANSLATE(A627, ""ar"", ""bn"")"),"কূটনৈতিক মধ্যস্থতা")</f>
        <v>কূটনৈতিক মধ্যস্থতা</v>
      </c>
    </row>
    <row r="628">
      <c r="A628" s="2" t="s">
        <v>754</v>
      </c>
      <c r="B628" s="3" t="str">
        <f>IFERROR(__xludf.DUMMYFUNCTION("GOOGLETRANSLATE(A628, ""ar"", ""bn"")"),"কূটনৈতিক বৈঠক")</f>
        <v>কূটনৈতিক বৈঠক</v>
      </c>
    </row>
    <row r="629">
      <c r="A629" s="2" t="s">
        <v>755</v>
      </c>
      <c r="B629" s="3" t="str">
        <f>IFERROR(__xludf.DUMMYFUNCTION("GOOGLETRANSLATE(A629, ""ar"", ""bn"")"),"বোঝাপড়া কূটনীতি স্মারক")</f>
        <v>বোঝাপড়া কূটনীতি স্মারক</v>
      </c>
    </row>
    <row r="630">
      <c r="A630" s="2" t="s">
        <v>756</v>
      </c>
      <c r="B630" s="3" t="str">
        <f>IFERROR(__xludf.DUMMYFUNCTION("GOOGLETRANSLATE(A630, ""ar"", ""bn"")"),"কূটনৈতিক মিশন")</f>
        <v>কূটনৈতিক মিশন</v>
      </c>
    </row>
    <row r="631">
      <c r="A631" s="2" t="s">
        <v>757</v>
      </c>
      <c r="B631" s="3" t="str">
        <f>IFERROR(__xludf.DUMMYFUNCTION("GOOGLETRANSLATE(A631, ""ar"", ""bn"")"),"কূটনৈতিক মিশন প্রোগ্রাম")</f>
        <v>কূটনৈতিক মিশন প্রোগ্রাম</v>
      </c>
    </row>
    <row r="632">
      <c r="A632" s="2" t="s">
        <v>758</v>
      </c>
      <c r="B632" s="3" t="str">
        <f>IFERROR(__xludf.DUMMYFUNCTION("GOOGLETRANSLATE(A632, ""ar"", ""bn"")"),"কূটনৈতিক আলোচনার")</f>
        <v>কূটনৈতিক আলোচনার</v>
      </c>
    </row>
    <row r="633">
      <c r="A633" s="2" t="s">
        <v>759</v>
      </c>
      <c r="B633" s="3" t="str">
        <f>IFERROR(__xludf.DUMMYFUNCTION("GOOGLETRANSLATE(A633, ""ar"", ""bn"")"),"স্মারকলিপি")</f>
        <v>স্মারকলিপি</v>
      </c>
    </row>
    <row r="634">
      <c r="A634" s="2" t="s">
        <v>760</v>
      </c>
      <c r="B634" s="3" t="str">
        <f>IFERROR(__xludf.DUMMYFUNCTION("GOOGLETRANSLATE(A634, ""ar"", ""bn"")"),"কূটনৈতিক নোটিশ")</f>
        <v>কূটনৈতিক নোটিশ</v>
      </c>
    </row>
    <row r="635">
      <c r="A635" s="2" t="s">
        <v>761</v>
      </c>
      <c r="B635" s="3" t="str">
        <f>IFERROR(__xludf.DUMMYFUNCTION("GOOGLETRANSLATE(A635, ""ar"", ""bn"")"),"কূটনৈতিক অবমুক্ত")</f>
        <v>কূটনৈতিক অবমুক্ত</v>
      </c>
    </row>
    <row r="636">
      <c r="A636" s="2" t="s">
        <v>762</v>
      </c>
      <c r="B636" s="3" t="str">
        <f>IFERROR(__xludf.DUMMYFUNCTION("GOOGLETRANSLATE(A636, ""ar"", ""bn"")"),"কূটনৈতিক অপব্যবহার")</f>
        <v>কূটনৈতিক অপব্যবহার</v>
      </c>
    </row>
    <row r="637">
      <c r="A637" s="2" t="s">
        <v>763</v>
      </c>
      <c r="B637" s="3" t="str">
        <f>IFERROR(__xludf.DUMMYFUNCTION("GOOGLETRANSLATE(A637, ""ar"", ""bn"")"),"কূটনৈতিক দৃষ্টিকোণ")</f>
        <v>কূটনৈতিক দৃষ্টিকোণ</v>
      </c>
    </row>
    <row r="638">
      <c r="A638" s="2" t="s">
        <v>764</v>
      </c>
      <c r="B638" s="3" t="str">
        <f>IFERROR(__xludf.DUMMYFUNCTION("GOOGLETRANSLATE(A638, ""ar"", ""bn"")"),"কূটনৈতিক পোস্ট")</f>
        <v>কূটনৈতিক পোস্ট</v>
      </c>
    </row>
    <row r="639">
      <c r="A639" s="2" t="s">
        <v>764</v>
      </c>
      <c r="B639" s="3" t="str">
        <f>IFERROR(__xludf.DUMMYFUNCTION("GOOGLETRANSLATE(A639, ""ar"", ""bn"")"),"কূটনৈতিক পোস্ট")</f>
        <v>কূটনৈতিক পোস্ট</v>
      </c>
    </row>
    <row r="640">
      <c r="A640" s="2" t="s">
        <v>765</v>
      </c>
      <c r="B640" s="3" t="str">
        <f>IFERROR(__xludf.DUMMYFUNCTION("GOOGLETRANSLATE(A640, ""ar"", ""bn"")"),"কূটনৈতিক বিশেষাধিকার")</f>
        <v>কূটনৈতিক বিশেষাধিকার</v>
      </c>
    </row>
    <row r="641">
      <c r="A641" s="2" t="s">
        <v>766</v>
      </c>
      <c r="B641" s="3" t="str">
        <f>IFERROR(__xludf.DUMMYFUNCTION("GOOGLETRANSLATE(A641, ""ar"", ""bn"")"),"কূটনৈতিক চাপ")</f>
        <v>কূটনৈতিক চাপ</v>
      </c>
    </row>
    <row r="642">
      <c r="A642" s="2" t="s">
        <v>767</v>
      </c>
      <c r="B642" s="3" t="str">
        <f>IFERROR(__xludf.DUMMYFUNCTION("GOOGLETRANSLATE(A642, ""ar"", ""bn"")"),"কূটনৈতিক স্বীকৃতি")</f>
        <v>কূটনৈতিক স্বীকৃতি</v>
      </c>
    </row>
    <row r="643">
      <c r="A643" s="2" t="s">
        <v>768</v>
      </c>
      <c r="B643" s="3" t="str">
        <f>IFERROR(__xludf.DUMMYFUNCTION("GOOGLETRANSLATE(A643, ""ar"", ""bn"")"),"কূটনৈতিক সুপারিশ")</f>
        <v>কূটনৈতিক সুপারিশ</v>
      </c>
    </row>
    <row r="644">
      <c r="A644" s="2" t="s">
        <v>769</v>
      </c>
      <c r="B644" s="3" t="str">
        <f>IFERROR(__xludf.DUMMYFUNCTION("GOOGLETRANSLATE(A644, ""ar"", ""bn"")"),"কূটনৈতিক পুনর্মিলন")</f>
        <v>কূটনৈতিক পুনর্মিলন</v>
      </c>
    </row>
    <row r="645">
      <c r="A645" s="2" t="s">
        <v>770</v>
      </c>
      <c r="B645" s="3" t="str">
        <f>IFERROR(__xludf.DUMMYFUNCTION("GOOGLETRANSLATE(A645, ""ar"", ""bn"")"),"কূটনৈতিক রিপোর্ট")</f>
        <v>কূটনৈতিক রিপোর্ট</v>
      </c>
    </row>
    <row r="646">
      <c r="A646" s="2" t="s">
        <v>771</v>
      </c>
      <c r="B646" s="3" t="str">
        <f>IFERROR(__xludf.DUMMYFUNCTION("GOOGLETRANSLATE(A646, ""ar"", ""bn"")"),"কূটনৈতিক উপস্থাপনা")</f>
        <v>কূটনৈতিক উপস্থাপনা</v>
      </c>
    </row>
    <row r="647">
      <c r="A647" s="2" t="s">
        <v>772</v>
      </c>
      <c r="B647" s="3" t="str">
        <f>IFERROR(__xludf.DUMMYFUNCTION("GOOGLETRANSLATE(A647, ""ar"", ""bn"")"),"কূটনৈতিক প্রতিনিধি")</f>
        <v>কূটনৈতিক প্রতিনিধি</v>
      </c>
    </row>
    <row r="648">
      <c r="A648" s="2" t="s">
        <v>773</v>
      </c>
      <c r="B648" s="3" t="str">
        <f>IFERROR(__xludf.DUMMYFUNCTION("GOOGLETRANSLATE(A648, ""ar"", ""bn"")"),"কূটনৈতিক সমাধান")</f>
        <v>কূটনৈতিক সমাধান</v>
      </c>
    </row>
    <row r="649">
      <c r="A649" s="2" t="s">
        <v>774</v>
      </c>
      <c r="B649" s="3" t="str">
        <f>IFERROR(__xludf.DUMMYFUNCTION("GOOGLETRANSLATE(A649, ""ar"", ""bn"")"),"টকিং কূটনীতিক")</f>
        <v>টকিং কূটনীতিক</v>
      </c>
    </row>
    <row r="650">
      <c r="A650" s="2" t="s">
        <v>775</v>
      </c>
      <c r="B650" s="3" t="str">
        <f>IFERROR(__xludf.DUMMYFUNCTION("GOOGLETRANSLATE(A650, ""ar"", ""bn"")"),"কূটনৈতিক বিবৃতি")</f>
        <v>কূটনৈতিক বিবৃতি</v>
      </c>
    </row>
    <row r="651">
      <c r="A651" s="2" t="s">
        <v>776</v>
      </c>
      <c r="B651" s="3" t="str">
        <f>IFERROR(__xludf.DUMMYFUNCTION("GOOGLETRANSLATE(A651, ""ar"", ""bn"")"),"কূটনৈতিক আইন")</f>
        <v>কূটনৈতিক আইন</v>
      </c>
    </row>
    <row r="652">
      <c r="A652" s="2" t="s">
        <v>777</v>
      </c>
      <c r="B652" s="3" t="str">
        <f>IFERROR(__xludf.DUMMYFUNCTION("GOOGLETRANSLATE(A652, ""ar"", ""bn"")"),"কূটনৈতিক আলোচনা")</f>
        <v>কূটনৈতিক আলোচনা</v>
      </c>
    </row>
    <row r="653">
      <c r="A653" s="2" t="s">
        <v>778</v>
      </c>
      <c r="B653" s="3" t="str">
        <f>IFERROR(__xludf.DUMMYFUNCTION("GOOGLETRANSLATE(A653, ""ar"", ""bn"")"),"কূটনৈতিক দর্শন")</f>
        <v>কূটনৈতিক দর্শন</v>
      </c>
    </row>
    <row r="654">
      <c r="A654" s="2" t="s">
        <v>779</v>
      </c>
      <c r="B654" s="3" t="str">
        <f>IFERROR(__xludf.DUMMYFUNCTION("GOOGLETRANSLATE(A654, ""ar"", ""bn"")"),"সরাসরি আদেশ")</f>
        <v>সরাসরি আদেশ</v>
      </c>
    </row>
    <row r="655">
      <c r="A655" s="2" t="s">
        <v>780</v>
      </c>
      <c r="B655" s="3" t="str">
        <f>IFERROR(__xludf.DUMMYFUNCTION("GOOGLETRANSLATE(A655, ""ar"", ""bn"")"),"দেশের মধ্যে পার্থক্য")</f>
        <v>দেশের মধ্যে পার্থক্য</v>
      </c>
    </row>
    <row r="656">
      <c r="A656" s="2" t="s">
        <v>781</v>
      </c>
      <c r="B656" s="3" t="str">
        <f>IFERROR(__xludf.DUMMYFUNCTION("GOOGLETRANSLATE(A656, ""ar"", ""bn"")"),"কূটনৈতিক বিবৃতি নিন্দামূলক")</f>
        <v>কূটনৈতিক বিবৃতি নিন্দামূলক</v>
      </c>
    </row>
    <row r="657">
      <c r="A657" s="2" t="s">
        <v>782</v>
      </c>
      <c r="B657" s="3" t="str">
        <f>IFERROR(__xludf.DUMMYFUNCTION("GOOGLETRANSLATE(A657, ""ar"", ""bn"")"),"নিরস্ত্রীকরণ")</f>
        <v>নিরস্ত্রীকরণ</v>
      </c>
    </row>
    <row r="658">
      <c r="A658" s="2" t="s">
        <v>783</v>
      </c>
      <c r="B658" s="3" t="str">
        <f>IFERROR(__xludf.DUMMYFUNCTION("GOOGLETRANSLATE(A658, ""ar"", ""bn"")"),"অসামরিকীকৃত এলাকা")</f>
        <v>অসামরিকীকৃত এলাকা</v>
      </c>
    </row>
    <row r="659">
      <c r="A659" s="2" t="s">
        <v>784</v>
      </c>
      <c r="B659" s="3" t="str">
        <f>IFERROR(__xludf.DUMMYFUNCTION("GOOGLETRANSLATE(A659, ""ar"", ""bn"")"),"দণ্ডপ্রাপ্ত দেশ")</f>
        <v>দণ্ডপ্রাপ্ত দেশ</v>
      </c>
    </row>
    <row r="660">
      <c r="A660" s="2" t="s">
        <v>785</v>
      </c>
      <c r="B660" s="3" t="str">
        <f>IFERROR(__xludf.DUMMYFUNCTION("GOOGLETRANSLATE(A660, ""ar"", ""bn"")"),"আনুষ্ঠানিক বক্তৃতা")</f>
        <v>আনুষ্ঠানিক বক্তৃতা</v>
      </c>
    </row>
    <row r="661">
      <c r="A661" s="2" t="s">
        <v>786</v>
      </c>
      <c r="B661" s="3" t="str">
        <f>IFERROR(__xludf.DUMMYFUNCTION("GOOGLETRANSLATE(A661, ""ar"", ""bn"")"),"স্বাজাতিকতা")</f>
        <v>স্বাজাতিকতা</v>
      </c>
    </row>
    <row r="662">
      <c r="A662" s="2" t="s">
        <v>787</v>
      </c>
      <c r="B662" s="3" t="str">
        <f>IFERROR(__xludf.DUMMYFUNCTION("GOOGLETRANSLATE(A662, ""ar"", ""bn"")"),"জাতিগত বৈষম্যের শিকার")</f>
        <v>জাতিগত বৈষম্যের শিকার</v>
      </c>
    </row>
    <row r="663">
      <c r="A663" s="2" t="s">
        <v>788</v>
      </c>
      <c r="B663" s="3" t="str">
        <f>IFERROR(__xludf.DUMMYFUNCTION("GOOGLETRANSLATE(A663, ""ar"", ""bn"")"),"নাগরিক অধিকার বঞ্চনা")</f>
        <v>নাগরিক অধিকার বঞ্চনা</v>
      </c>
    </row>
    <row r="664">
      <c r="A664" s="2" t="s">
        <v>789</v>
      </c>
      <c r="B664" s="3" t="str">
        <f>IFERROR(__xludf.DUMMYFUNCTION("GOOGLETRANSLATE(A664, ""ar"", ""bn"")"),"বেসামরিক নাগরিকদের বিরুদ্ধে জঘন্য অপরাধের")</f>
        <v>বেসামরিক নাগরিকদের বিরুদ্ধে জঘন্য অপরাধের</v>
      </c>
    </row>
    <row r="665">
      <c r="A665" s="2" t="s">
        <v>790</v>
      </c>
      <c r="B665" s="3" t="str">
        <f>IFERROR(__xludf.DUMMYFUNCTION("GOOGLETRANSLATE(A665, ""ar"", ""bn"")"),"মতামত ইন্টারন্যাশনাল প্রকরণ")</f>
        <v>মতামত ইন্টারন্যাশনাল প্রকরণ</v>
      </c>
    </row>
    <row r="666">
      <c r="A666" s="2" t="s">
        <v>791</v>
      </c>
      <c r="B666" s="3" t="str">
        <f>IFERROR(__xludf.DUMMYFUNCTION("GOOGLETRANSLATE(A666, ""ar"", ""bn"")"),"জাতীয় পুনর্মিলন জন্য প্রস্তুত")</f>
        <v>জাতীয় পুনর্মিলন জন্য প্রস্তুত</v>
      </c>
    </row>
    <row r="667">
      <c r="A667" s="2" t="s">
        <v>792</v>
      </c>
      <c r="B667" s="3" t="str">
        <f>IFERROR(__xludf.DUMMYFUNCTION("GOOGLETRANSLATE(A667, ""ar"", ""bn"")"),"রাজনৈতিক পুনর্মিলন জন্য প্রস্তুত")</f>
        <v>রাজনৈতিক পুনর্মিলন জন্য প্রস্তুত</v>
      </c>
    </row>
    <row r="668">
      <c r="A668" s="2" t="s">
        <v>793</v>
      </c>
      <c r="B668" s="3" t="str">
        <f>IFERROR(__xludf.DUMMYFUNCTION("GOOGLETRANSLATE(A668, ""ar"", ""bn"")"),"প্রতিদ্বন্দ্বিতা জমি")</f>
        <v>প্রতিদ্বন্দ্বিতা জমি</v>
      </c>
    </row>
    <row r="669">
      <c r="A669" s="2" t="s">
        <v>794</v>
      </c>
      <c r="B669" s="3" t="str">
        <f>IFERROR(__xludf.DUMMYFUNCTION("GOOGLETRANSLATE(A669, ""ar"", ""bn"")"),"উপেক্ষা করে সতর্কবার্তা")</f>
        <v>উপেক্ষা করে সতর্কবার্তা</v>
      </c>
    </row>
    <row r="670">
      <c r="A670" s="2" t="s">
        <v>795</v>
      </c>
      <c r="B670" s="3" t="str">
        <f>IFERROR(__xludf.DUMMYFUNCTION("GOOGLETRANSLATE(A670, ""ar"", ""bn"")"),"উপেক্ষা করে সতর্কবার্তা")</f>
        <v>উপেক্ষা করে সতর্কবার্তা</v>
      </c>
    </row>
    <row r="671">
      <c r="A671" s="2" t="s">
        <v>796</v>
      </c>
      <c r="B671" s="3" t="str">
        <f>IFERROR(__xludf.DUMMYFUNCTION("GOOGLETRANSLATE(A671, ""ar"", ""bn"")"),"নির্বাচনের বিপরীত রবে")</f>
        <v>নির্বাচনের বিপরীত রবে</v>
      </c>
    </row>
    <row r="672">
      <c r="A672" s="2" t="s">
        <v>797</v>
      </c>
      <c r="B672" s="3" t="str">
        <f>IFERROR(__xludf.DUMMYFUNCTION("GOOGLETRANSLATE(A672, ""ar"", ""bn"")"),"ব্যাতিক্রমী অভিমত")</f>
        <v>ব্যাতিক্রমী অভিমত</v>
      </c>
    </row>
    <row r="673">
      <c r="A673" s="2" t="s">
        <v>798</v>
      </c>
      <c r="B673" s="3" t="str">
        <f>IFERROR(__xludf.DUMMYFUNCTION("GOOGLETRANSLATE(A673, ""ar"", ""bn"")"),"ভিন্নমত পোষণকারী ভোট")</f>
        <v>ভিন্নমত পোষণকারী ভোট</v>
      </c>
    </row>
    <row r="674">
      <c r="A674" s="2" t="s">
        <v>799</v>
      </c>
      <c r="B674" s="3" t="str">
        <f>IFERROR(__xludf.DUMMYFUNCTION("GOOGLETRANSLATE(A674, ""ar"", ""bn"")"),"সংসদ ভেঙ্গে")</f>
        <v>সংসদ ভেঙ্গে</v>
      </c>
    </row>
    <row r="675">
      <c r="A675" s="2" t="s">
        <v>800</v>
      </c>
      <c r="B675" s="3" t="str">
        <f>IFERROR(__xludf.DUMMYFUNCTION("GOOGLETRANSLATE(A675, ""ar"", ""bn"")"),"গুলা")</f>
        <v>গুলা</v>
      </c>
    </row>
    <row r="676">
      <c r="A676" s="2" t="s">
        <v>801</v>
      </c>
      <c r="B676" s="3" t="str">
        <f>IFERROR(__xludf.DUMMYFUNCTION("GOOGLETRANSLATE(A676, ""ar"", ""bn"")"),"কূটনৈতিক সম্পর্ক বিকৃত করে")</f>
        <v>কূটনৈতিক সম্পর্ক বিকৃত করে</v>
      </c>
    </row>
    <row r="677">
      <c r="A677" s="2" t="s">
        <v>802</v>
      </c>
      <c r="B677" s="3" t="str">
        <f>IFERROR(__xludf.DUMMYFUNCTION("GOOGLETRANSLATE(A677, ""ar"", ""bn"")"),"দেশের মধ্যে")</f>
        <v>দেশের মধ্যে</v>
      </c>
    </row>
    <row r="678">
      <c r="A678" s="2" t="s">
        <v>803</v>
      </c>
      <c r="B678" s="3" t="str">
        <f>IFERROR(__xludf.DUMMYFUNCTION("GOOGLETRANSLATE(A678, ""ar"", ""bn"")"),"মিথ্যাবর্ণন ঐতিহাসিক ঘটনা")</f>
        <v>মিথ্যাবর্ণন ঐতিহাসিক ঘটনা</v>
      </c>
    </row>
    <row r="679">
      <c r="A679" s="2" t="s">
        <v>804</v>
      </c>
      <c r="B679" s="3" t="str">
        <f>IFERROR(__xludf.DUMMYFUNCTION("GOOGLETRANSLATE(A679, ""ar"", ""bn"")"),"রাজনৈতিক বাস্তবতার বিকৃত করে")</f>
        <v>রাজনৈতিক বাস্তবতার বিকৃত করে</v>
      </c>
    </row>
    <row r="680">
      <c r="A680" s="2" t="s">
        <v>805</v>
      </c>
      <c r="B680" s="3" t="str">
        <f>IFERROR(__xludf.DUMMYFUNCTION("GOOGLETRANSLATE(A680, ""ar"", ""bn"")"),"একটি রাজনৈতিক রিপোর্টের ফোকাস")</f>
        <v>একটি রাজনৈতিক রিপোর্টের ফোকাস</v>
      </c>
    </row>
    <row r="681">
      <c r="A681" s="2" t="s">
        <v>806</v>
      </c>
      <c r="B681" s="3" t="str">
        <f>IFERROR(__xludf.DUMMYFUNCTION("GOOGLETRANSLATE(A681, ""ar"", ""bn"")"),"রাজনৈতিক লিফলেট বিতরণ")</f>
        <v>রাজনৈতিক লিফলেট বিতরণ</v>
      </c>
    </row>
    <row r="682">
      <c r="A682" s="2" t="s">
        <v>807</v>
      </c>
      <c r="B682" s="3" t="str">
        <f>IFERROR(__xludf.DUMMYFUNCTION("GOOGLETRANSLATE(A682, ""ar"", ""bn"")"),"কূটনৈতিক কর্ম বিতরণ")</f>
        <v>কূটনৈতিক কর্ম বিতরণ</v>
      </c>
    </row>
    <row r="683">
      <c r="A683" s="2" t="s">
        <v>808</v>
      </c>
      <c r="B683" s="3" t="str">
        <f>IFERROR(__xludf.DUMMYFUNCTION("GOOGLETRANSLATE(A683, ""ar"", ""bn"")"),"পরিখা যুদ্ধ")</f>
        <v>পরিখা যুদ্ধ</v>
      </c>
    </row>
    <row r="684">
      <c r="A684" s="2" t="s">
        <v>809</v>
      </c>
      <c r="B684" s="3" t="str">
        <f>IFERROR(__xludf.DUMMYFUNCTION("GOOGLETRANSLATE(A684, ""ar"", ""bn"")"),"রাজনৈতিক মতামত বাছুরের জন্ম দেওয়া")</f>
        <v>রাজনৈতিক মতামত বাছুরের জন্ম দেওয়া</v>
      </c>
    </row>
    <row r="685">
      <c r="A685" s="2" t="s">
        <v>810</v>
      </c>
      <c r="B685" s="3" t="str">
        <f>IFERROR(__xludf.DUMMYFUNCTION("GOOGLETRANSLATE(A685, ""ar"", ""bn"")"),"ভিন্ন রাজনৈতিক মতামত")</f>
        <v>ভিন্ন রাজনৈতিক মতামত</v>
      </c>
    </row>
    <row r="686">
      <c r="A686" s="2" t="s">
        <v>811</v>
      </c>
      <c r="B686" s="3" t="str">
        <f>IFERROR(__xludf.DUMMYFUNCTION("GOOGLETRANSLATE(A686, ""ar"", ""bn"")"),"রাজনৈতিক ব্যবস্থা বৈচিত্র্য")</f>
        <v>রাজনৈতিক ব্যবস্থা বৈচিত্র্য</v>
      </c>
    </row>
    <row r="687">
      <c r="A687" s="2" t="s">
        <v>812</v>
      </c>
      <c r="B687" s="3" t="str">
        <f>IFERROR(__xludf.DUMMYFUNCTION("GOOGLETRANSLATE(A687, ""ar"", ""bn"")"),"আন্তর্জাতিক প্রয়োজনীয়তা বৈচিত্র্য")</f>
        <v>আন্তর্জাতিক প্রয়োজনীয়তা বৈচিত্র্য</v>
      </c>
    </row>
    <row r="688">
      <c r="A688" s="2" t="s">
        <v>813</v>
      </c>
      <c r="B688" s="3" t="str">
        <f>IFERROR(__xludf.DUMMYFUNCTION("GOOGLETRANSLATE(A688, ""ar"", ""bn"")"),"ডিভাইড অ্যান্ড রুল নীতি")</f>
        <v>ডিভাইড অ্যান্ড রুল নীতি</v>
      </c>
    </row>
    <row r="689">
      <c r="A689" s="2" t="s">
        <v>814</v>
      </c>
      <c r="B689" s="3" t="str">
        <f>IFERROR(__xludf.DUMMYFUNCTION("GOOGLETRANSLATE(A689, ""ar"", ""bn"")"),"সাংবিধানিক কর্তৃপক্ষের পরিধি")</f>
        <v>সাংবিধানিক কর্তৃপক্ষের পরিধি</v>
      </c>
    </row>
    <row r="690">
      <c r="A690" s="2" t="s">
        <v>815</v>
      </c>
      <c r="B690" s="3" t="str">
        <f>IFERROR(__xludf.DUMMYFUNCTION("GOOGLETRANSLATE(A690, ""ar"", ""bn"")"),"কূটনৈতিক দায়িত্ব পরিধি")</f>
        <v>কূটনৈতিক দায়িত্ব পরিধি</v>
      </c>
    </row>
    <row r="691">
      <c r="A691" s="2" t="s">
        <v>816</v>
      </c>
      <c r="B691" s="3" t="str">
        <f>IFERROR(__xludf.DUMMYFUNCTION("GOOGLETRANSLATE(A691, ""ar"", ""bn"")"),"রাজনৈতিক দায়িত্ব পরিধি")</f>
        <v>রাজনৈতিক দায়িত্ব পরিধি</v>
      </c>
    </row>
    <row r="692">
      <c r="A692" s="2" t="s">
        <v>307</v>
      </c>
      <c r="B692" s="3" t="str">
        <f>IFERROR(__xludf.DUMMYFUNCTION("GOOGLETRANSLATE(A692, ""ar"", ""bn"")"),"ক্ষমতা পরিসীমা")</f>
        <v>ক্ষমতা পরিসীমা</v>
      </c>
    </row>
    <row r="693">
      <c r="A693" s="2" t="s">
        <v>817</v>
      </c>
      <c r="B693" s="3" t="str">
        <f>IFERROR(__xludf.DUMMYFUNCTION("GOOGLETRANSLATE(A693, ""ar"", ""bn"")"),"নিয়ন্ত্রণ স্তর")</f>
        <v>নিয়ন্ত্রণ স্তর</v>
      </c>
    </row>
    <row r="694">
      <c r="A694" s="2" t="s">
        <v>818</v>
      </c>
      <c r="B694" s="3" t="str">
        <f>IFERROR(__xludf.DUMMYFUNCTION("GOOGLETRANSLATE(A694, ""ar"", ""bn"")"),"নিয়ন্ত্রণ কৌশলগত অবস্থানে")</f>
        <v>নিয়ন্ত্রণ কৌশলগত অবস্থানে</v>
      </c>
    </row>
    <row r="695">
      <c r="A695" s="2" t="s">
        <v>819</v>
      </c>
      <c r="B695" s="3" t="str">
        <f>IFERROR(__xludf.DUMMYFUNCTION("GOOGLETRANSLATE(A695, ""ar"", ""bn"")"),"নিয়ন্ত্রণ")</f>
        <v>নিয়ন্ত্রণ</v>
      </c>
    </row>
    <row r="696">
      <c r="A696" s="2" t="s">
        <v>820</v>
      </c>
      <c r="B696" s="3" t="str">
        <f>IFERROR(__xludf.DUMMYFUNCTION("GOOGLETRANSLATE(A696, ""ar"", ""bn"")"),"নিয়ন্ত্রণ একটা প্রবণতা")</f>
        <v>নিয়ন্ত্রণ একটা প্রবণতা</v>
      </c>
    </row>
    <row r="697">
      <c r="A697" s="2" t="s">
        <v>821</v>
      </c>
      <c r="B697" s="3" t="str">
        <f>IFERROR(__xludf.DUMMYFUNCTION("GOOGLETRANSLATE(A697, ""ar"", ""bn"")"),"শেডে সমস্যা আলো")</f>
        <v>শেডে সমস্যা আলো</v>
      </c>
    </row>
    <row r="698">
      <c r="A698" s="2" t="s">
        <v>822</v>
      </c>
      <c r="B698" s="3" t="str">
        <f>IFERROR(__xludf.DUMMYFUNCTION("GOOGLETRANSLATE(A698, ""ar"", ""bn"")"),"আন্তর্জাতিক রাজনৈতিক")</f>
        <v>আন্তর্জাতিক রাজনৈতিক</v>
      </c>
    </row>
    <row r="699">
      <c r="A699" s="2" t="s">
        <v>823</v>
      </c>
      <c r="B699" s="3" t="str">
        <f>IFERROR(__xludf.DUMMYFUNCTION("GOOGLETRANSLATE(A699, ""ar"", ""bn"")"),"রাজনৈতিক কর্ম পরিকল্পনা রাখে")</f>
        <v>রাজনৈতিক কর্ম পরিকল্পনা রাখে</v>
      </c>
    </row>
    <row r="700">
      <c r="A700" s="2" t="s">
        <v>824</v>
      </c>
      <c r="B700" s="3" t="str">
        <f>IFERROR(__xludf.DUMMYFUNCTION("GOOGLETRANSLATE(A700, ""ar"", ""bn"")"),"দ্বৈত নাগরিকত্ব")</f>
        <v>দ্বৈত নাগরিকত্ব</v>
      </c>
    </row>
    <row r="701">
      <c r="A701" s="2" t="s">
        <v>825</v>
      </c>
      <c r="B701" s="3" t="str">
        <f>IFERROR(__xludf.DUMMYFUNCTION("GOOGLETRANSLATE(A701, ""ar"", ""bn"")"),"আন্তর্জাতিক চুক্তির অনুলিপি")</f>
        <v>আন্তর্জাতিক চুক্তির অনুলিপি</v>
      </c>
    </row>
    <row r="702">
      <c r="A702" s="2" t="s">
        <v>826</v>
      </c>
      <c r="B702" s="3" t="str">
        <f>IFERROR(__xludf.DUMMYFUNCTION("GOOGLETRANSLATE(A702, ""ar"", ""bn"")"),"কূটনৈতিক টান হওয়া সত্ত্বেও")</f>
        <v>কূটনৈতিক টান হওয়া সত্ত্বেও</v>
      </c>
    </row>
    <row r="703">
      <c r="A703" s="2" t="s">
        <v>827</v>
      </c>
      <c r="B703" s="3" t="str">
        <f>IFERROR(__xludf.DUMMYFUNCTION("GOOGLETRANSLATE(A703, ""ar"", ""bn"")"),"অর্থনৈতিক যুদ্ধ")</f>
        <v>অর্থনৈতিক যুদ্ধ</v>
      </c>
    </row>
    <row r="704">
      <c r="A704" s="2" t="s">
        <v>828</v>
      </c>
      <c r="B704" s="3" t="str">
        <f>IFERROR(__xludf.DUMMYFUNCTION("GOOGLETRANSLATE(A704, ""ar"", ""bn"")"),"কূটনৈতিক মিশন কার্যকারিতা")</f>
        <v>কূটনৈতিক মিশন কার্যকারিতা</v>
      </c>
    </row>
    <row r="705">
      <c r="A705" s="2" t="s">
        <v>829</v>
      </c>
      <c r="B705" s="3" t="str">
        <f>IFERROR(__xludf.DUMMYFUNCTION("GOOGLETRANSLATE(A705, ""ar"", ""bn"")"),"রাজনৈতিক কাজের কার্যকারিতা")</f>
        <v>রাজনৈতিক কাজের কার্যকারিতা</v>
      </c>
    </row>
    <row r="706">
      <c r="A706" s="2" t="s">
        <v>830</v>
      </c>
      <c r="B706" s="3" t="str">
        <f>IFERROR(__xludf.DUMMYFUNCTION("GOOGLETRANSLATE(A706, ""ar"", ""bn"")"),"অনেক দ্বারা নির্বাচিত হইবেন")</f>
        <v>অনেক দ্বারা নির্বাচিত হইবেন</v>
      </c>
    </row>
    <row r="707">
      <c r="A707" s="2" t="s">
        <v>831</v>
      </c>
      <c r="B707" s="3" t="str">
        <f>IFERROR(__xludf.DUMMYFUNCTION("GOOGLETRANSLATE(A707, ""ar"", ""bn"")"),"সর্বসম্মতিক্রমে নির্বাচিত")</f>
        <v>সর্বসম্মতিক্রমে নির্বাচিত</v>
      </c>
    </row>
    <row r="708">
      <c r="A708" s="2" t="s">
        <v>832</v>
      </c>
      <c r="B708" s="3" t="str">
        <f>IFERROR(__xludf.DUMMYFUNCTION("GOOGLETRANSLATE(A708, ""ar"", ""bn"")"),"একটি প্রতিনিধি নির্বাচিত")</f>
        <v>একটি প্রতিনিধি নির্বাচিত</v>
      </c>
    </row>
    <row r="709">
      <c r="A709" s="2" t="s">
        <v>833</v>
      </c>
      <c r="B709" s="3" t="str">
        <f>IFERROR(__xludf.DUMMYFUNCTION("GOOGLETRANSLATE(A709, ""ar"", ""bn"")"),"সংখ্যাগরিষ্ঠতা নির্বাচন")</f>
        <v>সংখ্যাগরিষ্ঠতা নির্বাচন</v>
      </c>
    </row>
    <row r="710">
      <c r="A710" s="2" t="s">
        <v>834</v>
      </c>
      <c r="B710" s="3" t="str">
        <f>IFERROR(__xludf.DUMMYFUNCTION("GOOGLETRANSLATE(A710, ""ar"", ""bn"")"),"যিনি প্রার্থী সুবিধার জন্য কাজ করে")</f>
        <v>যিনি প্রার্থী সুবিধার জন্য কাজ করে</v>
      </c>
    </row>
    <row r="711">
      <c r="A711" s="2" t="s">
        <v>835</v>
      </c>
      <c r="B711" s="3" t="str">
        <f>IFERROR(__xludf.DUMMYFUNCTION("GOOGLETRANSLATE(A711, ""ar"", ""bn"")"),"নির্বাচন")</f>
        <v>নির্বাচন</v>
      </c>
    </row>
    <row r="712">
      <c r="A712" s="2" t="s">
        <v>836</v>
      </c>
      <c r="B712" s="3" t="str">
        <f>IFERROR(__xludf.DUMMYFUNCTION("GOOGLETRANSLATE(A712, ""ar"", ""bn"")"),"নির্বাচনে")</f>
        <v>নির্বাচনে</v>
      </c>
    </row>
    <row r="713">
      <c r="A713" s="2" t="s">
        <v>837</v>
      </c>
      <c r="B713" s="3" t="str">
        <f>IFERROR(__xludf.DUMMYFUNCTION("GOOGLETRANSLATE(A713, ""ar"", ""bn"")"),"ভোটার")</f>
        <v>ভোটার</v>
      </c>
    </row>
    <row r="714">
      <c r="A714" s="2" t="s">
        <v>838</v>
      </c>
      <c r="B714" s="3" t="str">
        <f>IFERROR(__xludf.DUMMYFUNCTION("GOOGLETRANSLATE(A714, ""ar"", ""bn"")"),"নির্বাচকমণ্ডলী")</f>
        <v>নির্বাচকমণ্ডলী</v>
      </c>
    </row>
    <row r="715">
      <c r="A715" s="2" t="s">
        <v>839</v>
      </c>
      <c r="B715" s="3" t="str">
        <f>IFERROR(__xludf.DUMMYFUNCTION("GOOGLETRANSLATE(A715, ""ar"", ""bn"")"),"নির্বাচন আইন")</f>
        <v>নির্বাচন আইন</v>
      </c>
    </row>
    <row r="716">
      <c r="A716" s="2" t="s">
        <v>840</v>
      </c>
      <c r="B716" s="3" t="str">
        <f>IFERROR(__xludf.DUMMYFUNCTION("GOOGLETRANSLATE(A716, ""ar"", ""bn"")"),"নির্বাচনী পদ্ধতি")</f>
        <v>নির্বাচনী পদ্ধতি</v>
      </c>
    </row>
    <row r="717">
      <c r="A717" s="2" t="s">
        <v>841</v>
      </c>
      <c r="B717" s="3" t="str">
        <f>IFERROR(__xludf.DUMMYFUNCTION("GOOGLETRANSLATE(A717, ""ar"", ""bn"")"),"নির্বাচন বিজ্ঞাপন")</f>
        <v>নির্বাচন বিজ্ঞাপন</v>
      </c>
    </row>
    <row r="718">
      <c r="A718" s="2" t="s">
        <v>842</v>
      </c>
      <c r="B718" s="3" t="str">
        <f>IFERROR(__xludf.DUMMYFUNCTION("GOOGLETRANSLATE(A718, ""ar"", ""bn"")"),"মনোনয়নের জন্য কোরাম")</f>
        <v>মনোনয়নের জন্য কোরাম</v>
      </c>
    </row>
    <row r="719">
      <c r="A719" s="2" t="s">
        <v>843</v>
      </c>
      <c r="B719" s="3" t="str">
        <f>IFERROR(__xludf.DUMMYFUNCTION("GOOGLETRANSLATE(A719, ""ar"", ""bn"")"),"নির্বাচনী রেকর্ড")</f>
        <v>নির্বাচনী রেকর্ড</v>
      </c>
    </row>
    <row r="720">
      <c r="A720" s="2" t="s">
        <v>844</v>
      </c>
      <c r="B720" s="3" t="str">
        <f>IFERROR(__xludf.DUMMYFUNCTION("GOOGLETRANSLATE(A720, ""ar"", ""bn"")"),"ই-সরকার")</f>
        <v>ই-সরকার</v>
      </c>
    </row>
    <row r="721">
      <c r="A721" s="2" t="s">
        <v>845</v>
      </c>
      <c r="B721" s="3" t="str">
        <f>IFERROR(__xludf.DUMMYFUNCTION("GOOGLETRANSLATE(A721, ""ar"", ""bn"")"),"ইলেকট্রনিক মিডিয়া")</f>
        <v>ইলেকট্রনিক মিডিয়া</v>
      </c>
    </row>
    <row r="722">
      <c r="A722" s="2" t="s">
        <v>846</v>
      </c>
      <c r="B722" s="3" t="str">
        <f>IFERROR(__xludf.DUMMYFUNCTION("GOOGLETRANSLATE(A722, ""ar"", ""bn"")"),"যোগ্যতা নির্বাচনের জন্য দাঁড়ানো")</f>
        <v>যোগ্যতা নির্বাচনের জন্য দাঁড়ানো</v>
      </c>
    </row>
    <row r="723">
      <c r="A723" s="2" t="s">
        <v>847</v>
      </c>
      <c r="B723" s="3" t="str">
        <f>IFERROR(__xludf.DUMMYFUNCTION("GOOGLETRANSLATE(A723, ""ar"", ""bn"")"),"এইচ নির্বাচনের প্রার্থীপদ ডান")</f>
        <v>এইচ নির্বাচনের প্রার্থীপদ ডান</v>
      </c>
    </row>
    <row r="724">
      <c r="A724" s="2" t="s">
        <v>848</v>
      </c>
      <c r="B724" s="3" t="str">
        <f>IFERROR(__xludf.DUMMYFUNCTION("GOOGLETRANSLATE(A724, ""ar"", ""bn"")"),"শারীরিক যন্ত্রণা বিলুপ্তি")</f>
        <v>শারীরিক যন্ত্রণা বিলুপ্তি</v>
      </c>
    </row>
    <row r="725">
      <c r="A725" s="2" t="s">
        <v>849</v>
      </c>
      <c r="B725" s="3" t="str">
        <f>IFERROR(__xludf.DUMMYFUNCTION("GOOGLETRANSLATE(A725, ""ar"", ""bn"")"),"রাজনৈতিক অবমুক্ত সরান")</f>
        <v>রাজনৈতিক অবমুক্ত সরান</v>
      </c>
    </row>
    <row r="726">
      <c r="A726" s="2" t="s">
        <v>850</v>
      </c>
      <c r="B726" s="3" t="str">
        <f>IFERROR(__xludf.DUMMYFUNCTION("GOOGLETRANSLATE(A726, ""ar"", ""bn"")"),"রাজনৈতিক অধিকার এবং সুযোগ বিলুপ্তি")</f>
        <v>রাজনৈতিক অধিকার এবং সুযোগ বিলুপ্তি</v>
      </c>
    </row>
    <row r="727">
      <c r="A727" s="2" t="s">
        <v>851</v>
      </c>
      <c r="B727" s="3" t="str">
        <f>IFERROR(__xludf.DUMMYFUNCTION("GOOGLETRANSLATE(A727, ""ar"", ""bn"")"),"বিশেষাধিকার বিলুপ্তি")</f>
        <v>বিশেষাধিকার বিলুপ্তি</v>
      </c>
    </row>
    <row r="728">
      <c r="A728" s="2" t="s">
        <v>852</v>
      </c>
      <c r="B728" s="3" t="str">
        <f>IFERROR(__xludf.DUMMYFUNCTION("GOOGLETRANSLATE(A728, ""ar"", ""bn"")"),"আন্তর্জাতিক ব্যবস্থার ধারণা নির্মল")</f>
        <v>আন্তর্জাতিক ব্যবস্থার ধারণা নির্মল</v>
      </c>
    </row>
    <row r="729">
      <c r="A729" s="2" t="s">
        <v>853</v>
      </c>
      <c r="B729" s="3" t="str">
        <f>IFERROR(__xludf.DUMMYFUNCTION("GOOGLETRANSLATE(A729, ""ar"", ""bn"")"),"দূতাবাস")</f>
        <v>দূতাবাস</v>
      </c>
    </row>
    <row r="730">
      <c r="A730" s="2" t="s">
        <v>854</v>
      </c>
      <c r="B730" s="3" t="str">
        <f>IFERROR(__xludf.DUMMYFUNCTION("GOOGLETRANSLATE(A730, ""ar"", ""bn"")"),"সভা থেকে নির্গমনের")</f>
        <v>সভা থেকে নির্গমনের</v>
      </c>
    </row>
    <row r="731">
      <c r="A731" s="2" t="s">
        <v>855</v>
      </c>
      <c r="B731" s="3" t="str">
        <f>IFERROR(__xludf.DUMMYFUNCTION("GOOGLETRANSLATE(A731, ""ar"", ""bn"")"),"গু জরুরি অবস্থা ডেটা")</f>
        <v>গু জরুরি অবস্থা ডেটা</v>
      </c>
    </row>
    <row r="732">
      <c r="A732" s="2" t="s">
        <v>856</v>
      </c>
      <c r="B732" s="3" t="str">
        <f>IFERROR(__xludf.DUMMYFUNCTION("GOOGLETRANSLATE(A732, ""ar"", ""bn"")"),"জরুরি অবস্থা সরকারি")</f>
        <v>জরুরি অবস্থা সরকারি</v>
      </c>
    </row>
    <row r="733">
      <c r="A733" s="2" t="s">
        <v>857</v>
      </c>
      <c r="B733" s="3" t="str">
        <f>IFERROR(__xludf.DUMMYFUNCTION("GOOGLETRANSLATE(A733, ""ar"", ""bn"")"),"জরুরি আইন")</f>
        <v>জরুরি আইন</v>
      </c>
    </row>
    <row r="734">
      <c r="A734" s="2" t="s">
        <v>858</v>
      </c>
      <c r="B734" s="3" t="str">
        <f>IFERROR(__xludf.DUMMYFUNCTION("GOOGLETRANSLATE(A734, ""ar"", ""bn"")"),"জরুরী বৈঠক")</f>
        <v>জরুরী বৈঠক</v>
      </c>
    </row>
    <row r="735">
      <c r="A735" s="2" t="s">
        <v>859</v>
      </c>
      <c r="B735" s="3" t="str">
        <f>IFERROR(__xludf.DUMMYFUNCTION("GOOGLETRANSLATE(A735, ""ar"", ""bn"")"),"জরুরি অবস্থা")</f>
        <v>জরুরি অবস্থা</v>
      </c>
    </row>
    <row r="736">
      <c r="A736" s="2" t="s">
        <v>860</v>
      </c>
      <c r="B736" s="3" t="str">
        <f>IFERROR(__xludf.DUMMYFUNCTION("GOOGLETRANSLATE(A736, ""ar"", ""bn"")"),"জরুরি অবস্থা")</f>
        <v>জরুরি অবস্থা</v>
      </c>
    </row>
    <row r="737">
      <c r="A737" s="2" t="s">
        <v>861</v>
      </c>
      <c r="B737" s="3" t="str">
        <f>IFERROR(__xludf.DUMMYFUNCTION("GOOGLETRANSLATE(A737, ""ar"", ""bn"")"),"অভিবাসী")</f>
        <v>অভিবাসী</v>
      </c>
    </row>
    <row r="738">
      <c r="A738" s="2" t="s">
        <v>862</v>
      </c>
      <c r="B738" s="3" t="str">
        <f>IFERROR(__xludf.DUMMYFUNCTION("GOOGLETRANSLATE(A738, ""ar"", ""bn"")"),"অভিপ্রয়াণ")</f>
        <v>অভিপ্রয়াণ</v>
      </c>
    </row>
    <row r="739">
      <c r="A739" s="2" t="s">
        <v>863</v>
      </c>
      <c r="B739" s="3" t="str">
        <f>IFERROR(__xludf.DUMMYFUNCTION("GOOGLETRANSLATE(A739, ""ar"", ""bn"")"),"অভিবাসন অফিস")</f>
        <v>অভিবাসন অফিস</v>
      </c>
    </row>
    <row r="740">
      <c r="A740" s="2" t="s">
        <v>864</v>
      </c>
      <c r="B740" s="3" t="str">
        <f>IFERROR(__xludf.DUMMYFUNCTION("GOOGLETRANSLATE(A740, ""ar"", ""bn"")"),"বিশিষ্ট রাজনৈতিক ব্যক্তিত্ব")</f>
        <v>বিশিষ্ট রাজনৈতিক ব্যক্তিত্ব</v>
      </c>
    </row>
    <row r="741">
      <c r="A741" s="2" t="s">
        <v>865</v>
      </c>
      <c r="B741" s="3" t="str">
        <f>IFERROR(__xludf.DUMMYFUNCTION("GOOGLETRANSLATE(A741, ""ar"", ""bn"")"),"বিশেষ কূটনৈতিক দূত")</f>
        <v>বিশেষ কূটনৈতিক দূত</v>
      </c>
    </row>
    <row r="742">
      <c r="A742" s="2" t="s">
        <v>866</v>
      </c>
      <c r="B742" s="3" t="str">
        <f>IFERROR(__xludf.DUMMYFUNCTION("GOOGLETRANSLATE(A742, ""ar"", ""bn"")"),"প্রণয়ন আন্তর্জাতিক সম্মেলনগুলোতে")</f>
        <v>প্রণয়ন আন্তর্জাতিক সম্মেলনগুলোতে</v>
      </c>
    </row>
    <row r="743">
      <c r="A743" s="2" t="s">
        <v>867</v>
      </c>
      <c r="B743" s="3" t="str">
        <f>IFERROR(__xludf.DUMMYFUNCTION("GOOGLETRANSLATE(A743, ""ar"", ""bn"")"),"Amnhi অবরোধের")</f>
        <v>Amnhi অবরোধের</v>
      </c>
    </row>
    <row r="744">
      <c r="A744" s="2" t="s">
        <v>868</v>
      </c>
      <c r="B744" s="3" t="str">
        <f>IFERROR(__xludf.DUMMYFUNCTION("GOOGLETRANSLATE(A744, ""ar"", ""bn"")"),"একটি যুদ্ধবিরতি imposes")</f>
        <v>একটি যুদ্ধবিরতি imposes</v>
      </c>
    </row>
    <row r="745">
      <c r="A745" s="2" t="s">
        <v>869</v>
      </c>
      <c r="B745" s="3" t="str">
        <f>IFERROR(__xludf.DUMMYFUNCTION("GOOGLETRANSLATE(A745, ""ar"", ""bn"")"),"পাওয়ার জোর করে চাপিয়ে")</f>
        <v>পাওয়ার জোর করে চাপিয়ে</v>
      </c>
    </row>
    <row r="746">
      <c r="A746" s="2" t="s">
        <v>870</v>
      </c>
      <c r="B746" s="3" t="str">
        <f>IFERROR(__xludf.DUMMYFUNCTION("GOOGLETRANSLATE(A746, ""ar"", ""bn"")"),"imposes বিধিনিষেধ")</f>
        <v>imposes বিধিনিষেধ</v>
      </c>
    </row>
    <row r="747">
      <c r="A747" s="2" t="s">
        <v>871</v>
      </c>
      <c r="B747" s="3" t="str">
        <f>IFERROR(__xludf.DUMMYFUNCTION("GOOGLETRANSLATE(A747, ""ar"", ""bn"")"),"জোর করে আইন জোরদার")</f>
        <v>জোর করে আইন জোরদার</v>
      </c>
    </row>
    <row r="748">
      <c r="A748" s="2" t="s">
        <v>872</v>
      </c>
      <c r="B748" s="3" t="str">
        <f>IFERROR(__xludf.DUMMYFUNCTION("GOOGLETRANSLATE(A748, ""ar"", ""bn"")"),"ভিসা কার্ড")</f>
        <v>ভিসা কার্ড</v>
      </c>
    </row>
    <row r="749">
      <c r="A749" s="2" t="s">
        <v>873</v>
      </c>
      <c r="B749" s="3" t="str">
        <f>IFERROR(__xludf.DUMMYFUNCTION("GOOGLETRANSLATE(A749, ""ar"", ""bn"")"),"দূত")</f>
        <v>দূত</v>
      </c>
    </row>
    <row r="750">
      <c r="A750" s="2" t="s">
        <v>874</v>
      </c>
      <c r="B750" s="3" t="str">
        <f>IFERROR(__xludf.DUMMYFUNCTION("GOOGLETRANSLATE(A750, ""ar"", ""bn"")"),"সম অধিকার")</f>
        <v>সম অধিকার</v>
      </c>
    </row>
    <row r="751">
      <c r="A751" s="2" t="s">
        <v>875</v>
      </c>
      <c r="B751" s="3" t="str">
        <f>IFERROR(__xludf.DUMMYFUNCTION("GOOGLETRANSLATE(A751, ""ar"", ""bn"")"),"সমতা")</f>
        <v>সমতা</v>
      </c>
    </row>
    <row r="752">
      <c r="A752" s="2" t="s">
        <v>876</v>
      </c>
      <c r="B752" s="3" t="str">
        <f>IFERROR(__xludf.DUMMYFUNCTION("GOOGLETRANSLATE(A752, ""ar"", ""bn"")"),"জাতিগত সমতা")</f>
        <v>জাতিগত সমতা</v>
      </c>
    </row>
    <row r="753">
      <c r="A753" s="2" t="s">
        <v>877</v>
      </c>
      <c r="B753" s="3" t="str">
        <f>IFERROR(__xludf.DUMMYFUNCTION("GOOGLETRANSLATE(A753, ""ar"", ""bn"")"),"সমান অধিকার ও কর্তব্য")</f>
        <v>সমান অধিকার ও কর্তব্য</v>
      </c>
    </row>
    <row r="754">
      <c r="A754" s="2" t="s">
        <v>878</v>
      </c>
      <c r="B754" s="3" t="str">
        <f>IFERROR(__xludf.DUMMYFUNCTION("GOOGLETRANSLATE(A754, ""ar"", ""bn"")"),"ব্যক্তিবিশেষের মধ্যে সমতা")</f>
        <v>ব্যক্তিবিশেষের মধ্যে সমতা</v>
      </c>
    </row>
    <row r="755">
      <c r="A755" s="2" t="s">
        <v>879</v>
      </c>
      <c r="B755" s="3" t="str">
        <f>IFERROR(__xludf.DUMMYFUNCTION("GOOGLETRANSLATE(A755, ""ar"", ""bn"")"),"সমান সুযোগ")</f>
        <v>সমান সুযোগ</v>
      </c>
    </row>
    <row r="756">
      <c r="A756" s="2" t="s">
        <v>880</v>
      </c>
      <c r="B756" s="3" t="str">
        <f>IFERROR(__xludf.DUMMYFUNCTION("GOOGLETRANSLATE(A756, ""ar"", ""bn"")"),"sexes মধ্যে সমতা")</f>
        <v>sexes মধ্যে সমতা</v>
      </c>
    </row>
    <row r="757">
      <c r="A757" s="2" t="s">
        <v>881</v>
      </c>
      <c r="B757" s="3" t="str">
        <f>IFERROR(__xludf.DUMMYFUNCTION("GOOGLETRANSLATE(A757, ""ar"", ""bn"")"),"আইনের দৃষ্টিতে সমতা")</f>
        <v>আইনের দৃষ্টিতে সমতা</v>
      </c>
    </row>
    <row r="758">
      <c r="A758" s="2" t="s">
        <v>882</v>
      </c>
      <c r="B758" s="3" t="str">
        <f>IFERROR(__xludf.DUMMYFUNCTION("GOOGLETRANSLATE(A758, ""ar"", ""bn"")"),"আন্তর্জাতিক সম্পদের সুষম বন্টন")</f>
        <v>আন্তর্জাতিক সম্পদের সুষম বন্টন</v>
      </c>
    </row>
    <row r="759">
      <c r="A759" s="2" t="s">
        <v>883</v>
      </c>
      <c r="B759" s="3" t="str">
        <f>IFERROR(__xludf.DUMMYFUNCTION("GOOGLETRANSLATE(A759, ""ar"", ""bn"")"),"জাতীয় আয় ও সুযোগের সুষম বন্টন")</f>
        <v>জাতীয় আয় ও সুযোগের সুষম বন্টন</v>
      </c>
    </row>
    <row r="760">
      <c r="A760" s="2" t="s">
        <v>884</v>
      </c>
      <c r="B760" s="3" t="str">
        <f>IFERROR(__xludf.DUMMYFUNCTION("GOOGLETRANSLATE(A760, ""ar"", ""bn"")"),"শুধু শান্তি")</f>
        <v>শুধু শান্তি</v>
      </c>
    </row>
    <row r="761">
      <c r="A761" s="2" t="s">
        <v>885</v>
      </c>
      <c r="B761" s="3" t="str">
        <f>IFERROR(__xludf.DUMMYFUNCTION("GOOGLETRANSLATE(A761, ""ar"", ""bn"")"),"বিচারপতি ধারণা")</f>
        <v>বিচারপতি ধারণা</v>
      </c>
    </row>
    <row r="762">
      <c r="A762" s="2" t="s">
        <v>886</v>
      </c>
      <c r="B762" s="3" t="str">
        <f>IFERROR(__xludf.DUMMYFUNCTION("GOOGLETRANSLATE(A762, ""ar"", ""bn"")"),"ইকুইটি আদালত")</f>
        <v>ইকুইটি আদালত</v>
      </c>
    </row>
    <row r="763">
      <c r="A763" s="2" t="s">
        <v>887</v>
      </c>
      <c r="B763" s="3" t="str">
        <f>IFERROR(__xludf.DUMMYFUNCTION("GOOGLETRANSLATE(A763, ""ar"", ""bn"")"),"টাই নির্বাচন")</f>
        <v>টাই নির্বাচন</v>
      </c>
    </row>
    <row r="764">
      <c r="A764" s="2" t="s">
        <v>888</v>
      </c>
      <c r="B764" s="3" t="str">
        <f>IFERROR(__xludf.DUMMYFUNCTION("GOOGLETRANSLATE(A764, ""ar"", ""bn"")"),"সহিংসতা থেকে অব্যাহতি")</f>
        <v>সহিংসতা থেকে অব্যাহতি</v>
      </c>
    </row>
    <row r="765">
      <c r="A765" s="2" t="s">
        <v>889</v>
      </c>
      <c r="B765" s="3" t="str">
        <f>IFERROR(__xludf.DUMMYFUNCTION("GOOGLETRANSLATE(A765, ""ar"", ""bn"")"),"গুপ্তচরবৃত্তি")</f>
        <v>গুপ্তচরবৃত্তি</v>
      </c>
    </row>
    <row r="766">
      <c r="A766" s="2" t="s">
        <v>890</v>
      </c>
      <c r="B766" s="3" t="str">
        <f>IFERROR(__xludf.DUMMYFUNCTION("GOOGLETRANSLATE(A766, ""ar"", ""bn"")"),"কূটনৈতিক সম্পর্ক ব্রিজ নির্ণয়")</f>
        <v>কূটনৈতিক সম্পর্ক ব্রিজ নির্ণয়</v>
      </c>
    </row>
    <row r="767">
      <c r="A767" s="2" t="s">
        <v>891</v>
      </c>
      <c r="B767" s="3" t="str">
        <f>IFERROR(__xludf.DUMMYFUNCTION("GOOGLETRANSLATE(A767, ""ar"", ""bn"")"),"সংহতি এবং ইকুইটি একটি বিশ্বের নির্ণয়")</f>
        <v>সংহতি এবং ইকুইটি একটি বিশ্বের নির্ণয়</v>
      </c>
    </row>
    <row r="768">
      <c r="A768" s="2" t="s">
        <v>892</v>
      </c>
      <c r="B768" s="3" t="str">
        <f>IFERROR(__xludf.DUMMYFUNCTION("GOOGLETRANSLATE(A768, ""ar"", ""bn"")"),"একটি নতুন রাজনৈতিক ব্যবস্থা নির্ণয়")</f>
        <v>একটি নতুন রাজনৈতিক ব্যবস্থা নির্ণয়</v>
      </c>
    </row>
    <row r="769">
      <c r="A769" s="2" t="s">
        <v>893</v>
      </c>
      <c r="B769" s="3" t="str">
        <f>IFERROR(__xludf.DUMMYFUNCTION("GOOGLETRANSLATE(A769, ""ar"", ""bn"")"),"দেশের মধ্যে গঠনমূলক সংলাপ নির্ণয়")</f>
        <v>দেশের মধ্যে গঠনমূলক সংলাপ নির্ণয়</v>
      </c>
    </row>
    <row r="770">
      <c r="A770" s="2" t="s">
        <v>894</v>
      </c>
      <c r="B770" s="3" t="str">
        <f>IFERROR(__xludf.DUMMYFUNCTION("GOOGLETRANSLATE(A770, ""ar"", ""bn"")"),"শান্তি বসবাস দীর্ঘস্থায়ী")</f>
        <v>শান্তি বসবাস দীর্ঘস্থায়ী</v>
      </c>
    </row>
    <row r="771">
      <c r="A771" s="2" t="s">
        <v>895</v>
      </c>
      <c r="B771" s="3" t="str">
        <f>IFERROR(__xludf.DUMMYFUNCTION("GOOGLETRANSLATE(A771, ""ar"", ""bn"")"),"রাজনৈতিক ভারসাম্য নির্ণয়")</f>
        <v>রাজনৈতিক ভারসাম্য নির্ণয়</v>
      </c>
    </row>
    <row r="772">
      <c r="A772" s="2" t="s">
        <v>896</v>
      </c>
      <c r="B772" s="3" t="str">
        <f>IFERROR(__xludf.DUMMYFUNCTION("GOOGLETRANSLATE(A772, ""ar"", ""bn"")"),"সাফ শহর")</f>
        <v>সাফ শহর</v>
      </c>
    </row>
    <row r="773">
      <c r="A773" s="2" t="s">
        <v>897</v>
      </c>
      <c r="B773" s="3" t="str">
        <f>IFERROR(__xludf.DUMMYFUNCTION("GOOGLETRANSLATE(A773, ""ar"", ""bn"")"),"খালি বেসামরিক")</f>
        <v>খালি বেসামরিক</v>
      </c>
    </row>
    <row r="774">
      <c r="A774" s="2" t="s">
        <v>898</v>
      </c>
      <c r="B774" s="3" t="str">
        <f>IFERROR(__xludf.DUMMYFUNCTION("GOOGLETRANSLATE(A774, ""ar"", ""bn"")"),"বিদেশী বাহিনীর প্রত্যাহার")</f>
        <v>বিদেশী বাহিনীর প্রত্যাহার</v>
      </c>
    </row>
    <row r="775">
      <c r="A775" s="2" t="s">
        <v>899</v>
      </c>
      <c r="B775" s="3" t="str">
        <f>IFERROR(__xludf.DUMMYFUNCTION("GOOGLETRANSLATE(A775, ""ar"", ""bn"")"),"মূল্যনির্ধারণ এবং সাংস্কৃতিক ঐতিহ্য এর মূল্যায়ন")</f>
        <v>মূল্যনির্ধারণ এবং সাংস্কৃতিক ঐতিহ্য এর মূল্যায়ন</v>
      </c>
    </row>
    <row r="776">
      <c r="A776" s="2" t="s">
        <v>900</v>
      </c>
      <c r="B776" s="3" t="str">
        <f>IFERROR(__xludf.DUMMYFUNCTION("GOOGLETRANSLATE(A776, ""ar"", ""bn"")"),"ঘটনা রাজনৈতিক মূল্যায়ন")</f>
        <v>ঘটনা রাজনৈতিক মূল্যায়ন</v>
      </c>
    </row>
    <row r="777">
      <c r="A777" s="2" t="s">
        <v>901</v>
      </c>
      <c r="B777" s="3" t="str">
        <f>IFERROR(__xludf.DUMMYFUNCTION("GOOGLETRANSLATE(A777, ""ar"", ""bn"")"),"সম্পত্তি থেকে বহিষ্কৃত")</f>
        <v>সম্পত্তি থেকে বহিষ্কৃত</v>
      </c>
    </row>
    <row r="778">
      <c r="A778" s="2" t="s">
        <v>902</v>
      </c>
      <c r="B778" s="3" t="str">
        <f>IFERROR(__xludf.DUMMYFUNCTION("GOOGLETRANSLATE(A778, ""ar"", ""bn"")"),"রাজনৈতিক সম্পর্কের উন্নয়ন")</f>
        <v>রাজনৈতিক সম্পর্কের উন্নয়ন</v>
      </c>
    </row>
    <row r="779">
      <c r="A779" s="2" t="s">
        <v>903</v>
      </c>
      <c r="B779" s="3" t="str">
        <f>IFERROR(__xludf.DUMMYFUNCTION("GOOGLETRANSLATE(A779, ""ar"", ""bn"")"),"তথ্য পরীক্ষা করুন")</f>
        <v>তথ্য পরীক্ষা করুন</v>
      </c>
    </row>
    <row r="780">
      <c r="A780" s="2" t="s">
        <v>904</v>
      </c>
      <c r="B780" s="3" t="str">
        <f>IFERROR(__xludf.DUMMYFUNCTION("GOOGLETRANSLATE(A780, ""ar"", ""bn"")"),"কূটনৈতিক রিপোর্ট পরীক্ষা করে")</f>
        <v>কূটনৈতিক রিপোর্ট পরীক্ষা করে</v>
      </c>
    </row>
    <row r="781">
      <c r="A781" s="2" t="s">
        <v>905</v>
      </c>
      <c r="B781" s="3" t="str">
        <f>IFERROR(__xludf.DUMMYFUNCTION("GOOGLETRANSLATE(A781, ""ar"", ""bn"")"),"অভ মিটিং")</f>
        <v>অভ মিটিং</v>
      </c>
    </row>
    <row r="782">
      <c r="A782" s="2" t="s">
        <v>906</v>
      </c>
      <c r="B782" s="3" t="str">
        <f>IFERROR(__xludf.DUMMYFUNCTION("GOOGLETRANSLATE(A782, ""ar"", ""bn"")"),"অনুসমর্থন যন্ত্র এক্সচেঞ্জ")</f>
        <v>অনুসমর্থন যন্ত্র এক্সচেঞ্জ</v>
      </c>
    </row>
    <row r="783">
      <c r="A783" s="2" t="s">
        <v>907</v>
      </c>
      <c r="B783" s="3" t="str">
        <f>IFERROR(__xludf.DUMMYFUNCTION("GOOGLETRANSLATE(A783, ""ar"", ""bn"")"),"দূত বিনিময়")</f>
        <v>দূত বিনিময়</v>
      </c>
    </row>
    <row r="784">
      <c r="A784" s="2" t="s">
        <v>908</v>
      </c>
      <c r="B784" s="3" t="str">
        <f>IFERROR(__xludf.DUMMYFUNCTION("GOOGLETRANSLATE(A784, ""ar"", ""bn"")"),"কূটনৈতিক কাগজপত্র অ্যাক্রেডিটেশন বিনিময়")</f>
        <v>কূটনৈতিক কাগজপত্র অ্যাক্রেডিটেশন বিনিময়</v>
      </c>
    </row>
    <row r="785">
      <c r="A785" s="2" t="s">
        <v>909</v>
      </c>
      <c r="B785" s="3" t="str">
        <f>IFERROR(__xludf.DUMMYFUNCTION("GOOGLETRANSLATE(A785, ""ar"", ""bn"")"),"কূটনীতিকদের বিনিময়")</f>
        <v>কূটনীতিকদের বিনিময়</v>
      </c>
    </row>
    <row r="786">
      <c r="A786" s="2" t="s">
        <v>910</v>
      </c>
      <c r="B786" s="3" t="str">
        <f>IFERROR(__xludf.DUMMYFUNCTION("GOOGLETRANSLATE(A786, ""ar"", ""bn"")"),"যুক্তরাষ্ট্র মধ্যে তথ্য বিনিময়")</f>
        <v>যুক্তরাষ্ট্র মধ্যে তথ্য বিনিময়</v>
      </c>
    </row>
    <row r="787">
      <c r="A787" s="2" t="s">
        <v>911</v>
      </c>
      <c r="B787" s="3" t="str">
        <f>IFERROR(__xludf.DUMMYFUNCTION("GOOGLETRANSLATE(A787, ""ar"", ""bn"")"),"রাজনৈতিক মতামত বিনিময়")</f>
        <v>রাজনৈতিক মতামত বিনিময়</v>
      </c>
    </row>
    <row r="788">
      <c r="A788" s="2" t="s">
        <v>912</v>
      </c>
      <c r="B788" s="3" t="str">
        <f>IFERROR(__xludf.DUMMYFUNCTION("GOOGLETRANSLATE(A788, ""ar"", ""bn"")"),"রাজনৈতিক বন্দীদের বিনিময়")</f>
        <v>রাজনৈতিক বন্দীদের বিনিময়</v>
      </c>
    </row>
    <row r="789">
      <c r="A789" s="2" t="s">
        <v>913</v>
      </c>
      <c r="B789" s="3" t="str">
        <f>IFERROR(__xludf.DUMMYFUNCTION("GOOGLETRANSLATE(A789, ""ar"", ""bn"")"),"নির্বাহী কমিটির")</f>
        <v>নির্বাহী কমিটির</v>
      </c>
    </row>
    <row r="790">
      <c r="A790" s="2" t="s">
        <v>914</v>
      </c>
      <c r="B790" s="3" t="str">
        <f>IFERROR(__xludf.DUMMYFUNCTION("GOOGLETRANSLATE(A790, ""ar"", ""bn"")"),"নির্বাহী কর্তৃপক্ষ")</f>
        <v>নির্বাহী কর্তৃপক্ষ</v>
      </c>
    </row>
    <row r="791">
      <c r="A791" s="2" t="s">
        <v>915</v>
      </c>
      <c r="B791" s="3" t="str">
        <f>IFERROR(__xludf.DUMMYFUNCTION("GOOGLETRANSLATE(A791, ""ar"", ""bn"")"),"সাংবিধানিক অধিকারের এম ব্যায়াম")</f>
        <v>সাংবিধানিক অধিকারের এম ব্যায়াম</v>
      </c>
    </row>
    <row r="792">
      <c r="A792" s="2" t="s">
        <v>916</v>
      </c>
      <c r="B792" s="3" t="str">
        <f>IFERROR(__xludf.DUMMYFUNCTION("GOOGLETRANSLATE(A792, ""ar"", ""bn"")"),"ক্ষমতার এম ব্যায়াম")</f>
        <v>ক্ষমতার এম ব্যায়াম</v>
      </c>
    </row>
    <row r="793">
      <c r="A793" s="2" t="s">
        <v>917</v>
      </c>
      <c r="B793" s="3" t="str">
        <f>IFERROR(__xludf.DUMMYFUNCTION("GOOGLETRANSLATE(A793, ""ar"", ""bn"")"),"এম অফিস প্রয়োজনীয়তা")</f>
        <v>এম অফিস প্রয়োজনীয়তা</v>
      </c>
    </row>
    <row r="794">
      <c r="A794" s="2" t="s">
        <v>918</v>
      </c>
      <c r="B794" s="3" t="str">
        <f>IFERROR(__xludf.DUMMYFUNCTION("GOOGLETRANSLATE(A794, ""ar"", ""bn"")"),"এম থেকে বঞ্চিত")</f>
        <v>এম থেকে বঞ্চিত</v>
      </c>
    </row>
    <row r="795">
      <c r="A795" s="2" t="s">
        <v>919</v>
      </c>
      <c r="B795" s="3" t="str">
        <f>IFERROR(__xludf.DUMMYFUNCTION("GOOGLETRANSLATE(A795, ""ar"", ""bn"")"),"এম থেকে বঞ্চিত")</f>
        <v>এম থেকে বঞ্চিত</v>
      </c>
    </row>
    <row r="796">
      <c r="A796" s="2" t="s">
        <v>920</v>
      </c>
      <c r="B796" s="3" t="str">
        <f>IFERROR(__xludf.DUMMYFUNCTION("GOOGLETRANSLATE(A796, ""ar"", ""bn"")"),"বিদ্যমান ব্যবস্থার")</f>
        <v>বিদ্যমান ব্যবস্থার</v>
      </c>
    </row>
    <row r="797">
      <c r="A797" s="2" t="s">
        <v>921</v>
      </c>
      <c r="B797" s="3" t="str">
        <f>IFERROR(__xludf.DUMMYFUNCTION("GOOGLETRANSLATE(A797, ""ar"", ""bn"")"),"অসহ্য হামলার প্রসার")</f>
        <v>অসহ্য হামলার প্রসার</v>
      </c>
    </row>
    <row r="798">
      <c r="A798" s="2" t="s">
        <v>922</v>
      </c>
      <c r="B798" s="3" t="str">
        <f>IFERROR(__xludf.DUMMYFUNCTION("GOOGLETRANSLATE(A798, ""ar"", ""bn"")"),"অকপট রাজনৈতিক")</f>
        <v>অকপট রাজনৈতিক</v>
      </c>
    </row>
    <row r="799">
      <c r="A799" s="2" t="s">
        <v>923</v>
      </c>
      <c r="B799" s="3" t="str">
        <f>IFERROR(__xludf.DUMMYFUNCTION("GOOGLETRANSLATE(A799, ""ar"", ""bn"")"),"সম্প্রসারণবাদী প্রবণতার")</f>
        <v>সম্প্রসারণবাদী প্রবণতার</v>
      </c>
    </row>
    <row r="800">
      <c r="A800" s="2" t="s">
        <v>924</v>
      </c>
      <c r="B800" s="3" t="str">
        <f>IFERROR(__xludf.DUMMYFUNCTION("GOOGLETRANSLATE(A800, ""ar"", ""bn"")"),"এটা দেশের অস্বীকার")</f>
        <v>এটা দেশের অস্বীকার</v>
      </c>
    </row>
    <row r="801">
      <c r="A801" s="2" t="s">
        <v>925</v>
      </c>
      <c r="B801" s="3" t="str">
        <f>IFERROR(__xludf.DUMMYFUNCTION("GOOGLETRANSLATE(A801, ""ar"", ""bn"")"),"প্রবাসী আইন")</f>
        <v>প্রবাসী আইন</v>
      </c>
    </row>
    <row r="802">
      <c r="A802" s="2" t="s">
        <v>926</v>
      </c>
      <c r="B802" s="3" t="str">
        <f>IFERROR(__xludf.DUMMYFUNCTION("GOOGLETRANSLATE(A802, ""ar"", ""bn"")"),"মজাদার স্বদেশ থেকে বহিষ্কার করা")</f>
        <v>মজাদার স্বদেশ থেকে বহিষ্কার করা</v>
      </c>
    </row>
    <row r="803">
      <c r="A803" s="2" t="s">
        <v>927</v>
      </c>
      <c r="B803" s="3" t="str">
        <f>IFERROR(__xludf.DUMMYFUNCTION("GOOGLETRANSLATE(A803, ""ar"", ""bn"")"),"পার্টি থেকে বহিষ্কৃত আলাদা")</f>
        <v>পার্টি থেকে বহিষ্কৃত আলাদা</v>
      </c>
    </row>
    <row r="804">
      <c r="A804" s="2" t="s">
        <v>928</v>
      </c>
      <c r="B804" s="3" t="str">
        <f>IFERROR(__xludf.DUMMYFUNCTION("GOOGLETRANSLATE(A804, ""ar"", ""bn"")"),"এক্সপেরিমেন্টাল বিপদাশঙ্কা")</f>
        <v>এক্সপেরিমেন্টাল বিপদাশঙ্কা</v>
      </c>
    </row>
    <row r="805">
      <c r="A805" s="2" t="s">
        <v>755</v>
      </c>
      <c r="B805" s="3" t="str">
        <f>IFERROR(__xludf.DUMMYFUNCTION("GOOGLETRANSLATE(A805, ""ar"", ""bn"")"),"বোঝাপড়া কূটনীতি স্মারক")</f>
        <v>বোঝাপড়া কূটনীতি স্মারক</v>
      </c>
    </row>
    <row r="806">
      <c r="A806" s="2" t="s">
        <v>929</v>
      </c>
      <c r="B806" s="3" t="str">
        <f>IFERROR(__xludf.DUMMYFUNCTION("GOOGLETRANSLATE(A806, ""ar"", ""bn"")"),"ক্যাপশন")</f>
        <v>ক্যাপশন</v>
      </c>
    </row>
    <row r="807">
      <c r="A807" s="2" t="s">
        <v>930</v>
      </c>
      <c r="B807" s="3" t="str">
        <f>IFERROR(__xludf.DUMMYFUNCTION("GOOGLETRANSLATE(A807, ""ar"", ""bn"")"),"বোঝাপড়া রাজনৈতিক স্মারক")</f>
        <v>বোঝাপড়া রাজনৈতিক স্মারক</v>
      </c>
    </row>
    <row r="808">
      <c r="A808" s="2" t="s">
        <v>929</v>
      </c>
      <c r="B808" s="3" t="str">
        <f>IFERROR(__xludf.DUMMYFUNCTION("GOOGLETRANSLATE(A808, ""ar"", ""bn"")"),"ক্যাপশন")</f>
        <v>ক্যাপশন</v>
      </c>
    </row>
    <row r="809">
      <c r="A809" s="2" t="s">
        <v>931</v>
      </c>
      <c r="B809" s="3" t="str">
        <f>IFERROR(__xludf.DUMMYFUNCTION("GOOGLETRANSLATE(A809, ""ar"", ""bn"")"),"একটি অনুসন্ধানমূলক মিশন")</f>
        <v>একটি অনুসন্ধানমূলক মিশন</v>
      </c>
    </row>
    <row r="810">
      <c r="A810" s="2" t="s">
        <v>932</v>
      </c>
      <c r="B810" s="3" t="str">
        <f>IFERROR(__xludf.DUMMYFUNCTION("GOOGLETRANSLATE(A810, ""ar"", ""bn"")"),"অনুসন্ধানমূলক নীতি")</f>
        <v>অনুসন্ধানমূলক নীতি</v>
      </c>
    </row>
    <row r="811">
      <c r="A811" s="2" t="s">
        <v>933</v>
      </c>
      <c r="B811" s="3" t="str">
        <f>IFERROR(__xludf.DUMMYFUNCTION("GOOGLETRANSLATE(A811, ""ar"", ""bn"")"),"এম অনুসন্ধানমূলক আলোচনা")</f>
        <v>এম অনুসন্ধানমূলক আলোচনা</v>
      </c>
    </row>
    <row r="812">
      <c r="A812" s="2" t="s">
        <v>934</v>
      </c>
      <c r="B812" s="3" t="str">
        <f>IFERROR(__xludf.DUMMYFUNCTION("GOOGLETRANSLATE(A812, ""ar"", ""bn"")"),"বিস্ফোরক পদার্থ")</f>
        <v>বিস্ফোরক পদার্থ</v>
      </c>
    </row>
    <row r="813">
      <c r="A813" s="2" t="s">
        <v>935</v>
      </c>
      <c r="B813" s="3" t="str">
        <f>IFERROR(__xludf.DUMMYFUNCTION("GOOGLETRANSLATE(A813, ""ar"", ""bn"")"),"জনগণের ইচ্ছার জন্য Amab টি")</f>
        <v>জনগণের ইচ্ছার জন্য Amab টি</v>
      </c>
    </row>
    <row r="814">
      <c r="A814" s="2" t="s">
        <v>936</v>
      </c>
      <c r="B814" s="3" t="str">
        <f>IFERROR(__xludf.DUMMYFUNCTION("GOOGLETRANSLATE(A814, ""ar"", ""bn"")"),"রাজ্য ইচ্ছার জন্য Amabbar")</f>
        <v>রাজ্য ইচ্ছার জন্য Amabbar</v>
      </c>
    </row>
    <row r="815">
      <c r="A815" s="2" t="s">
        <v>937</v>
      </c>
      <c r="B815" s="3" t="str">
        <f>IFERROR(__xludf.DUMMYFUNCTION("GOOGLETRANSLATE(A815, ""ar"", ""bn"")"),"মতামত প্রকাশ")</f>
        <v>মতামত প্রকাশ</v>
      </c>
    </row>
    <row r="816">
      <c r="A816" s="2" t="s">
        <v>938</v>
      </c>
      <c r="B816" s="3" t="str">
        <f>IFERROR(__xludf.DUMMYFUNCTION("GOOGLETRANSLATE(A816, ""ar"", ""bn"")"),"বাহ্যিক আগ্রাসন")</f>
        <v>বাহ্যিক আগ্রাসন</v>
      </c>
    </row>
    <row r="817">
      <c r="A817" s="2" t="s">
        <v>939</v>
      </c>
      <c r="B817" s="3" t="str">
        <f>IFERROR(__xludf.DUMMYFUNCTION("GOOGLETRANSLATE(A817, ""ar"", ""bn"")"),"বাহ্যিক হস্তক্ষেপ")</f>
        <v>বাহ্যিক হস্তক্ষেপ</v>
      </c>
    </row>
    <row r="818">
      <c r="A818" s="2" t="s">
        <v>940</v>
      </c>
      <c r="B818" s="3" t="str">
        <f>IFERROR(__xludf.DUMMYFUNCTION("GOOGLETRANSLATE(A818, ""ar"", ""bn"")"),"বাহ্যিক চাপ")</f>
        <v>বাহ্যিক চাপ</v>
      </c>
    </row>
    <row r="819">
      <c r="A819" s="2" t="s">
        <v>941</v>
      </c>
      <c r="B819" s="3" t="str">
        <f>IFERROR(__xludf.DUMMYFUNCTION("GOOGLETRANSLATE(A819, ""ar"", ""bn"")"),"বিদেশী সম্পর্ক")</f>
        <v>বিদেশী সম্পর্ক</v>
      </c>
    </row>
    <row r="820">
      <c r="A820" s="2" t="s">
        <v>942</v>
      </c>
      <c r="B820" s="3" t="str">
        <f>IFERROR(__xludf.DUMMYFUNCTION("GOOGLETRANSLATE(A820, ""ar"", ""bn"")"),"বাহ্যিক হুমকি")</f>
        <v>বাহ্যিক হুমকি</v>
      </c>
    </row>
    <row r="821">
      <c r="A821" s="2" t="s">
        <v>943</v>
      </c>
      <c r="B821" s="3" t="str">
        <f>IFERROR(__xludf.DUMMYFUNCTION("GOOGLETRANSLATE(A821, ""ar"", ""bn"")"),"দখল জমি")</f>
        <v>দখল জমি</v>
      </c>
    </row>
    <row r="822">
      <c r="A822" s="2" t="s">
        <v>944</v>
      </c>
      <c r="B822" s="3" t="str">
        <f>IFERROR(__xludf.DUMMYFUNCTION("GOOGLETRANSLATE(A822, ""ar"", ""bn"")"),"ক্ষমতাচ্যুত স্বাধীনতার নীতি")</f>
        <v>ক্ষমতাচ্যুত স্বাধীনতার নীতি</v>
      </c>
    </row>
    <row r="823">
      <c r="A823" s="2" t="s">
        <v>945</v>
      </c>
      <c r="B823" s="3" t="str">
        <f>IFERROR(__xludf.DUMMYFUNCTION("GOOGLETRANSLATE(A823, ""ar"", ""bn"")"),"বিলি আন্তর্জাতিক চুক্তি")</f>
        <v>বিলি আন্তর্জাতিক চুক্তি</v>
      </c>
    </row>
    <row r="824">
      <c r="A824" s="2" t="s">
        <v>946</v>
      </c>
      <c r="B824" s="3" t="str">
        <f>IFERROR(__xludf.DUMMYFUNCTION("GOOGLETRANSLATE(A824, ""ar"", ""bn"")"),"যুদ্ধাপরাধীদের")</f>
        <v>যুদ্ধাপরাধীদের</v>
      </c>
    </row>
    <row r="825">
      <c r="A825" s="2" t="s">
        <v>947</v>
      </c>
      <c r="B825" s="3" t="str">
        <f>IFERROR(__xludf.DUMMYFUNCTION("GOOGLETRANSLATE(A825, ""ar"", ""bn"")"),"অভ রাষ্ট্রদূত")</f>
        <v>অভ রাষ্ট্রদূত</v>
      </c>
    </row>
    <row r="826">
      <c r="A826" s="2" t="s">
        <v>948</v>
      </c>
      <c r="B826" s="3" t="str">
        <f>IFERROR(__xludf.DUMMYFUNCTION("GOOGLETRANSLATE(A826, ""ar"", ""bn"")"),"দূত")</f>
        <v>দূত</v>
      </c>
    </row>
    <row r="827">
      <c r="A827" s="2" t="s">
        <v>949</v>
      </c>
      <c r="B827" s="3" t="str">
        <f>IFERROR(__xludf.DUMMYFUNCTION("GOOGLETRANSLATE(A827, ""ar"", ""bn"")"),"মতামত Mmttr পি")</f>
        <v>মতামত Mmttr পি</v>
      </c>
    </row>
    <row r="828">
      <c r="A828" s="2" t="s">
        <v>950</v>
      </c>
      <c r="B828" s="3" t="str">
        <f>IFERROR(__xludf.DUMMYFUNCTION("GOOGLETRANSLATE(A828, ""ar"", ""bn"")"),"পি-ডান Mttr")</f>
        <v>পি-ডান Mttr</v>
      </c>
    </row>
    <row r="829">
      <c r="A829" s="2" t="s">
        <v>951</v>
      </c>
      <c r="B829" s="3" t="str">
        <f>IFERROR(__xludf.DUMMYFUNCTION("GOOGLETRANSLATE(A829, ""ar"", ""bn"")"),"tt আলনা")</f>
        <v>tt আলনা</v>
      </c>
    </row>
    <row r="830">
      <c r="A830" s="2" t="s">
        <v>952</v>
      </c>
      <c r="B830" s="3" t="str">
        <f>IFERROR(__xludf.DUMMYFUNCTION("GOOGLETRANSLATE(A830, ""ar"", ""bn"")"),"এম Mttr পি")</f>
        <v>এম Mttr পি</v>
      </c>
    </row>
    <row r="831">
      <c r="A831" s="2" t="s">
        <v>953</v>
      </c>
      <c r="B831" s="3" t="str">
        <f>IFERROR(__xludf.DUMMYFUNCTION("GOOGLETRANSLATE(A831, ""ar"", ""bn"")"),"MTT পার্টি আলনা")</f>
        <v>MTT পার্টি আলনা</v>
      </c>
    </row>
    <row r="832">
      <c r="A832" s="2" t="s">
        <v>954</v>
      </c>
      <c r="B832" s="3" t="str">
        <f>IFERROR(__xludf.DUMMYFUNCTION("GOOGLETRANSLATE(A832, ""ar"", ""bn"")"),"এটা তোলে যুদ্ধের হুমকির মুখোমুখি")</f>
        <v>এটা তোলে যুদ্ধের হুমকির মুখোমুখি</v>
      </c>
    </row>
    <row r="833">
      <c r="A833" s="2" t="s">
        <v>955</v>
      </c>
      <c r="B833" s="3" t="str">
        <f>IFERROR(__xludf.DUMMYFUNCTION("GOOGLETRANSLATE(A833, ""ar"", ""bn"")"),"যুদ্ধের হুমকির মুখে")</f>
        <v>যুদ্ধের হুমকির মুখে</v>
      </c>
    </row>
    <row r="834">
      <c r="A834" s="2" t="s">
        <v>956</v>
      </c>
      <c r="B834" s="3" t="str">
        <f>IFERROR(__xludf.DUMMYFUNCTION("GOOGLETRANSLATE(A834, ""ar"", ""bn"")"),"যুদ্ধের প্রথম কটিবন্ধ")</f>
        <v>যুদ্ধের প্রথম কটিবন্ধ</v>
      </c>
    </row>
    <row r="835">
      <c r="A835" s="2" t="s">
        <v>957</v>
      </c>
      <c r="B835" s="3" t="str">
        <f>IFERROR(__xludf.DUMMYFUNCTION("GOOGLETRANSLATE(A835, ""ar"", ""bn"")"),"তদন্ত ঘটনা কমিশন")</f>
        <v>তদন্ত ঘটনা কমিশন</v>
      </c>
    </row>
    <row r="836">
      <c r="A836" s="2" t="s">
        <v>958</v>
      </c>
      <c r="B836" s="3" t="str">
        <f>IFERROR(__xludf.DUMMYFUNCTION("GOOGLETRANSLATE(A836, ""ar"", ""bn"")"),"প্রতিবেদন তথ্য উপস্থাপন")</f>
        <v>প্রতিবেদন তথ্য উপস্থাপন</v>
      </c>
    </row>
    <row r="837">
      <c r="A837" s="2" t="s">
        <v>959</v>
      </c>
      <c r="B837" s="3" t="str">
        <f>IFERROR(__xludf.DUMMYFUNCTION("GOOGLETRANSLATE(A837, ""ar"", ""bn"")"),"শুধু একটি কূটনৈতিক অবস্থান")</f>
        <v>শুধু একটি কূটনৈতিক অবস্থান</v>
      </c>
    </row>
    <row r="838">
      <c r="A838" s="2" t="s">
        <v>960</v>
      </c>
      <c r="B838" s="3" t="str">
        <f>IFERROR(__xludf.DUMMYFUNCTION("GOOGLETRANSLATE(A838, ""ar"", ""bn"")"),"কূটনীতিক শুধু সমাধান")</f>
        <v>কূটনীতিক শুধু সমাধান</v>
      </c>
    </row>
    <row r="839">
      <c r="A839" s="2" t="s">
        <v>961</v>
      </c>
      <c r="B839" s="3" t="str">
        <f>IFERROR(__xludf.DUMMYFUNCTION("GOOGLETRANSLATE(A839, ""ar"", ""bn"")"),"মিথ্যা ঘোষণা")</f>
        <v>মিথ্যা ঘোষণা</v>
      </c>
    </row>
    <row r="840">
      <c r="A840" s="2" t="s">
        <v>962</v>
      </c>
      <c r="B840" s="3" t="str">
        <f>IFERROR(__xludf.DUMMYFUNCTION("GOOGLETRANSLATE(A840, ""ar"", ""bn"")"),"মিথ্যা সংকেত")</f>
        <v>মিথ্যা সংকেত</v>
      </c>
    </row>
    <row r="841">
      <c r="A841" s="2" t="s">
        <v>963</v>
      </c>
      <c r="B841" s="3" t="str">
        <f>IFERROR(__xludf.DUMMYFUNCTION("GOOGLETRANSLATE(A841, ""ar"", ""bn"")"),"ভুল বিবৃতি")</f>
        <v>ভুল বিবৃতি</v>
      </c>
    </row>
    <row r="842">
      <c r="A842" s="2" t="s">
        <v>964</v>
      </c>
      <c r="B842" s="3" t="str">
        <f>IFERROR(__xludf.DUMMYFUNCTION("GOOGLETRANSLATE(A842, ""ar"", ""bn"")"),"নির্বাচন জালিয়াতি")</f>
        <v>নির্বাচন জালিয়াতি</v>
      </c>
    </row>
    <row r="843">
      <c r="A843" s="2" t="s">
        <v>965</v>
      </c>
      <c r="B843" s="3" t="str">
        <f>IFERROR(__xludf.DUMMYFUNCTION("GOOGLETRANSLATE(A843, ""ar"", ""bn"")"),"টি Amzo তথ্য")</f>
        <v>টি Amzo তথ্য</v>
      </c>
    </row>
    <row r="844">
      <c r="A844" s="2" t="s">
        <v>966</v>
      </c>
      <c r="B844" s="3" t="str">
        <f>IFERROR(__xludf.DUMMYFUNCTION("GOOGLETRANSLATE(A844, ""ar"", ""bn"")"),"টি Amzo রাজনৈতিক বাস্তবতার")</f>
        <v>টি Amzo রাজনৈতিক বাস্তবতার</v>
      </c>
    </row>
    <row r="845">
      <c r="A845" s="2" t="s">
        <v>967</v>
      </c>
      <c r="B845" s="3" t="str">
        <f>IFERROR(__xludf.DUMMYFUNCTION("GOOGLETRANSLATE(A845, ""ar"", ""bn"")"),"Amzo নির্বাচন টন")</f>
        <v>Amzo নির্বাচন টন</v>
      </c>
    </row>
    <row r="846">
      <c r="A846" s="2" t="s">
        <v>968</v>
      </c>
      <c r="B846" s="3" t="str">
        <f>IFERROR(__xludf.DUMMYFUNCTION("GOOGLETRANSLATE(A846, ""ar"", ""bn"")"),"একটি রাজনৈতিক সিদ্ধান্ত দূরদর্শী")</f>
        <v>একটি রাজনৈতিক সিদ্ধান্ত দূরদর্শী</v>
      </c>
    </row>
    <row r="847">
      <c r="A847" s="2" t="s">
        <v>969</v>
      </c>
      <c r="B847" s="3" t="str">
        <f>IFERROR(__xludf.DUMMYFUNCTION("GOOGLETRANSLATE(A847, ""ar"", ""bn"")"),"ফ্যাসিবাদ")</f>
        <v>ফ্যাসিবাদ</v>
      </c>
    </row>
    <row r="848">
      <c r="A848" s="2" t="s">
        <v>970</v>
      </c>
      <c r="B848" s="3" t="str">
        <f>IFERROR(__xludf.DUMMYFUNCTION("GOOGLETRANSLATE(A848, ""ar"", ""bn"")"),"বিশেষ সুবিধাপ্রাপ্ত জাতীয় পতাকার সঙ্গে")</f>
        <v>বিশেষ সুবিধাপ্রাপ্ত জাতীয় পতাকার সঙ্গে</v>
      </c>
    </row>
    <row r="849">
      <c r="A849" s="2" t="s">
        <v>971</v>
      </c>
      <c r="B849" s="3" t="str">
        <f>IFERROR(__xludf.DUMMYFUNCTION("GOOGLETRANSLATE(A849, ""ar"", ""bn"")"),"একটি যুক্তরাষ্ট্রীয় সরকার")</f>
        <v>একটি যুক্তরাষ্ট্রীয় সরকার</v>
      </c>
    </row>
    <row r="850">
      <c r="A850" s="2" t="s">
        <v>972</v>
      </c>
      <c r="B850" s="3" t="str">
        <f>IFERROR(__xludf.DUMMYFUNCTION("GOOGLETRANSLATE(A850, ""ar"", ""bn"")"),"ফেডারেল ব্যুরো অফ ইনভেস্টিগেশন")</f>
        <v>ফেডারেল ব্যুরো অফ ইনভেস্টিগেশন</v>
      </c>
    </row>
    <row r="851">
      <c r="A851" s="2" t="s">
        <v>973</v>
      </c>
      <c r="B851" s="3" t="str">
        <f>IFERROR(__xludf.DUMMYFUNCTION("GOOGLETRANSLATE(A851, ""ar"", ""bn"")"),"একটি ফেডারেল রাষ্ট্র")</f>
        <v>একটি ফেডারেল রাষ্ট্র</v>
      </c>
    </row>
    <row r="852">
      <c r="A852" s="2" t="s">
        <v>974</v>
      </c>
      <c r="B852" s="3" t="str">
        <f>IFERROR(__xludf.DUMMYFUNCTION("GOOGLETRANSLATE(A852, ""ar"", ""bn"")"),"একটি ফেডারেল সিস্টেম শাসন")</f>
        <v>একটি ফেডারেল সিস্টেম শাসন</v>
      </c>
    </row>
    <row r="853">
      <c r="A853" s="2" t="s">
        <v>975</v>
      </c>
      <c r="B853" s="3" t="str">
        <f>IFERROR(__xludf.DUMMYFUNCTION("GOOGLETRANSLATE(A853, ""ar"", ""bn"")"),"মার্কিন আদালত")</f>
        <v>মার্কিন আদালত</v>
      </c>
    </row>
    <row r="854">
      <c r="A854" s="2" t="s">
        <v>976</v>
      </c>
      <c r="B854" s="3" t="str">
        <f>IFERROR(__xludf.DUMMYFUNCTION("GOOGLETRANSLATE(A854, ""ar"", ""bn"")"),"একটি গ্রুপ মধ্যে একটি ইউনিয়ন")</f>
        <v>একটি গ্রুপ মধ্যে একটি ইউনিয়ন</v>
      </c>
    </row>
    <row r="855">
      <c r="A855" s="2" t="s">
        <v>977</v>
      </c>
      <c r="B855" s="3" t="str">
        <f>IFERROR(__xludf.DUMMYFUNCTION("GOOGLETRANSLATE(A855, ""ar"", ""bn"")"),"ফেডারেল রাজ্যের")</f>
        <v>ফেডারেল রাজ্যের</v>
      </c>
    </row>
    <row r="856">
      <c r="A856" s="2" t="s">
        <v>978</v>
      </c>
      <c r="B856" s="3" t="str">
        <f>IFERROR(__xludf.DUMMYFUNCTION("GOOGLETRANSLATE(A856, ""ar"", ""bn"")"),"ক্ষমতার দুর্বলতা")</f>
        <v>ক্ষমতার দুর্বলতা</v>
      </c>
    </row>
    <row r="857">
      <c r="A857" s="2" t="s">
        <v>979</v>
      </c>
      <c r="B857" s="3" t="str">
        <f>IFERROR(__xludf.DUMMYFUNCTION("GOOGLETRANSLATE(A857, ""ar"", ""bn"")"),"রাষ্ট্রের বিরুদ্ধে ষড়যন্ত্র")</f>
        <v>রাষ্ট্রের বিরুদ্ধে ষড়যন্ত্র</v>
      </c>
    </row>
    <row r="858">
      <c r="A858" s="2" t="s">
        <v>980</v>
      </c>
      <c r="B858" s="3" t="str">
        <f>IFERROR(__xludf.DUMMYFUNCTION("GOOGLETRANSLATE(A858, ""ar"", ""bn"")"),"সামন্ততন্ত্রের সিস্টেম")</f>
        <v>সামন্ততন্ত্রের সিস্টেম</v>
      </c>
    </row>
    <row r="859">
      <c r="A859" s="2" t="s">
        <v>981</v>
      </c>
      <c r="B859" s="3" t="str">
        <f>IFERROR(__xludf.DUMMYFUNCTION("GOOGLETRANSLATE(A859, ""ar"", ""bn"")"),"পঞ্চম কলাম")</f>
        <v>পঞ্চম কলাম</v>
      </c>
    </row>
    <row r="860">
      <c r="A860" s="2" t="s">
        <v>982</v>
      </c>
      <c r="B860" s="3" t="str">
        <f>IFERROR(__xludf.DUMMYFUNCTION("GOOGLETRANSLATE(A860, ""ar"", ""bn"")"),"ছদ্মবেশ নীতি")</f>
        <v>ছদ্মবেশ নীতি</v>
      </c>
    </row>
    <row r="861">
      <c r="A861" s="2" t="s">
        <v>983</v>
      </c>
      <c r="B861" s="3" t="str">
        <f>IFERROR(__xludf.DUMMYFUNCTION("GOOGLETRANSLATE(A861, ""ar"", ""bn"")"),"ফোর্সেস যুদ্ধ")</f>
        <v>ফোর্সেস যুদ্ধ</v>
      </c>
    </row>
    <row r="862">
      <c r="A862" s="2" t="s">
        <v>984</v>
      </c>
      <c r="B862" s="3" t="str">
        <f>IFERROR(__xludf.DUMMYFUNCTION("GOOGLETRANSLATE(A862, ""ar"", ""bn"")"),"শেষ অবলম্বন বিজ্ঞপ্তি")</f>
        <v>শেষ অবলম্বন বিজ্ঞপ্তি</v>
      </c>
    </row>
    <row r="863">
      <c r="A863" s="2" t="s">
        <v>985</v>
      </c>
      <c r="B863" s="3" t="str">
        <f>IFERROR(__xludf.DUMMYFUNCTION("GOOGLETRANSLATE(A863, ""ar"", ""bn"")"),"চূড়ান্ত সতর্কবার্তা")</f>
        <v>চূড়ান্ত সতর্কবার্তা</v>
      </c>
    </row>
    <row r="864">
      <c r="A864" s="2" t="s">
        <v>986</v>
      </c>
      <c r="B864" s="3" t="str">
        <f>IFERROR(__xludf.DUMMYFUNCTION("GOOGLETRANSLATE(A864, ""ar"", ""bn"")"),"আর্থিক অনাক্রম্যতা")</f>
        <v>আর্থিক অনাক্রম্যতা</v>
      </c>
    </row>
    <row r="865">
      <c r="A865" s="2" t="s">
        <v>987</v>
      </c>
      <c r="B865" s="3" t="str">
        <f>IFERROR(__xludf.DUMMYFUNCTION("GOOGLETRANSLATE(A865, ""ar"", ""bn"")"),"সপ্রশংস স্বীকৃতি প্রদান পতাকা অভিবাদন জানিয়ে বলতে")</f>
        <v>সপ্রশংস স্বীকৃতি প্রদান পতাকা অভিবাদন জানিয়ে বলতে</v>
      </c>
    </row>
    <row r="866">
      <c r="A866" s="2" t="s">
        <v>988</v>
      </c>
      <c r="B866" s="3" t="str">
        <f>IFERROR(__xludf.DUMMYFUNCTION("GOOGLETRANSLATE(A866, ""ar"", ""bn"")"),"পতাকা অভিবাদন")</f>
        <v>পতাকা অভিবাদন</v>
      </c>
    </row>
    <row r="867">
      <c r="A867" s="2" t="s">
        <v>989</v>
      </c>
      <c r="B867" s="3" t="str">
        <f>IFERROR(__xludf.DUMMYFUNCTION("GOOGLETRANSLATE(A867, ""ar"", ""bn"")"),"Amtaba রাজনৈতিক ঘটনা")</f>
        <v>Amtaba রাজনৈতিক ঘটনা</v>
      </c>
    </row>
    <row r="868">
      <c r="A868" s="2" t="s">
        <v>990</v>
      </c>
      <c r="B868" s="3" t="str">
        <f>IFERROR(__xludf.DUMMYFUNCTION("GOOGLETRANSLATE(A868, ""ar"", ""bn"")"),"ফের রাজনৈতিক বিবেচনায়")</f>
        <v>ফের রাজনৈতিক বিবেচনায়</v>
      </c>
    </row>
    <row r="869">
      <c r="A869" s="2" t="s">
        <v>991</v>
      </c>
      <c r="B869" s="3" t="str">
        <f>IFERROR(__xludf.DUMMYFUNCTION("GOOGLETRANSLATE(A869, ""ar"", ""bn"")"),"নিষিদ্ধ এলাকায় তাদের সমীপবর্তী")</f>
        <v>নিষিদ্ধ এলাকায় তাদের সমীপবর্তী</v>
      </c>
    </row>
    <row r="870">
      <c r="A870" s="2" t="s">
        <v>992</v>
      </c>
      <c r="B870" s="3" t="str">
        <f>IFERROR(__xludf.DUMMYFUNCTION("GOOGLETRANSLATE(A870, ""ar"", ""bn"")"),"মিডিয়া ডেটা Hzawrh ফোকাস")</f>
        <v>মিডিয়া ডেটা Hzawrh ফোকাস</v>
      </c>
    </row>
    <row r="871">
      <c r="A871" s="2" t="s">
        <v>993</v>
      </c>
      <c r="B871" s="3" t="str">
        <f>IFERROR(__xludf.DUMMYFUNCTION("GOOGLETRANSLATE(A871, ""ar"", ""bn"")"),"এম বৈদেশিক সাহায্য")</f>
        <v>এম বৈদেশিক সাহায্য</v>
      </c>
    </row>
    <row r="872">
      <c r="A872" s="2" t="s">
        <v>994</v>
      </c>
      <c r="B872" s="3" t="str">
        <f>IFERROR(__xludf.DUMMYFUNCTION("GOOGLETRANSLATE(A872, ""ar"", ""bn"")"),"পররাষ্ট্র সালিসি")</f>
        <v>পররাষ্ট্র সালিসি</v>
      </c>
    </row>
    <row r="873">
      <c r="A873" s="2" t="s">
        <v>995</v>
      </c>
      <c r="B873" s="3" t="str">
        <f>IFERROR(__xludf.DUMMYFUNCTION("GOOGLETRANSLATE(A873, ""ar"", ""bn"")"),"পররাষ্ট্র সম্প্রচার")</f>
        <v>পররাষ্ট্র সম্প্রচার</v>
      </c>
    </row>
    <row r="874">
      <c r="A874" s="2" t="s">
        <v>996</v>
      </c>
      <c r="B874" s="3" t="str">
        <f>IFERROR(__xludf.DUMMYFUNCTION("GOOGLETRANSLATE(A874, ""ar"", ""bn"")"),"বিদেশী ডেটা লিখুন ফোকাস")</f>
        <v>বিদেশী ডেটা লিখুন ফোকাস</v>
      </c>
    </row>
    <row r="875">
      <c r="A875" s="2" t="s">
        <v>997</v>
      </c>
      <c r="B875" s="3" t="str">
        <f>IFERROR(__xludf.DUMMYFUNCTION("GOOGLETRANSLATE(A875, ""ar"", ""bn"")"),"পররাষ্ট্র সম্প্রদায়ের")</f>
        <v>পররাষ্ট্র সম্প্রদায়ের</v>
      </c>
    </row>
    <row r="876">
      <c r="A876" s="2" t="s">
        <v>998</v>
      </c>
      <c r="B876" s="3" t="str">
        <f>IFERROR(__xludf.DUMMYFUNCTION("GOOGLETRANSLATE(A876, ""ar"", ""bn"")"),"পররাষ্ট্র বিশেষাধিকার")</f>
        <v>পররাষ্ট্র বিশেষাধিকার</v>
      </c>
    </row>
    <row r="877">
      <c r="A877" s="2" t="s">
        <v>999</v>
      </c>
      <c r="B877" s="3" t="str">
        <f>IFERROR(__xludf.DUMMYFUNCTION("GOOGLETRANSLATE(A877, ""ar"", ""bn"")"),"পররাষ্ট্র সনদ")</f>
        <v>পররাষ্ট্র সনদ</v>
      </c>
    </row>
    <row r="878">
      <c r="A878" s="2" t="s">
        <v>1000</v>
      </c>
      <c r="B878" s="3" t="str">
        <f>IFERROR(__xludf.DUMMYFUNCTION("GOOGLETRANSLATE(A878, ""ar"", ""bn"")"),"পররাষ্ট্র আধিপত্য")</f>
        <v>পররাষ্ট্র আধিপত্য</v>
      </c>
    </row>
    <row r="879">
      <c r="A879" s="2" t="s">
        <v>1001</v>
      </c>
      <c r="B879" s="3" t="str">
        <f>IFERROR(__xludf.DUMMYFUNCTION("GOOGLETRANSLATE(A879, ""ar"", ""bn"")"),"গু গুলি বিদেশী দখলদারিত্বের")</f>
        <v>গু গুলি বিদেশী দখলদারিত্বের</v>
      </c>
    </row>
    <row r="880">
      <c r="A880" s="2" t="s">
        <v>1002</v>
      </c>
      <c r="B880" s="3" t="str">
        <f>IFERROR(__xludf.DUMMYFUNCTION("GOOGLETRANSLATE(A880, ""ar"", ""bn"")"),"পররাষ্ট্র প্রভাব")</f>
        <v>পররাষ্ট্র প্রভাব</v>
      </c>
    </row>
    <row r="881">
      <c r="A881" s="2" t="s">
        <v>1003</v>
      </c>
      <c r="B881" s="3" t="str">
        <f>IFERROR(__xludf.DUMMYFUNCTION("GOOGLETRANSLATE(A881, ""ar"", ""bn"")"),"টেড বিদেশী ভিনেগার")</f>
        <v>টেড বিদেশী ভিনেগার</v>
      </c>
    </row>
    <row r="882">
      <c r="A882" s="2" t="s">
        <v>1004</v>
      </c>
      <c r="B882" s="3" t="str">
        <f>IFERROR(__xludf.DUMMYFUNCTION("GOOGLETRANSLATE(A882, ""ar"", ""bn"")"),"গু বিদেশী সামরিক তথ্য")</f>
        <v>গু বিদেশী সামরিক তথ্য</v>
      </c>
    </row>
    <row r="883">
      <c r="A883" s="2" t="s">
        <v>1005</v>
      </c>
      <c r="B883" s="3" t="str">
        <f>IFERROR(__xludf.DUMMYFUNCTION("GOOGLETRANSLATE(A883, ""ar"", ""bn"")"),"পররাষ্ট্র মন্ত্রী")</f>
        <v>পররাষ্ট্র মন্ত্রী</v>
      </c>
    </row>
    <row r="884">
      <c r="A884" s="2" t="s">
        <v>1006</v>
      </c>
      <c r="B884" s="3" t="str">
        <f>IFERROR(__xludf.DUMMYFUNCTION("GOOGLETRANSLATE(A884, ""ar"", ""bn"")"),"পররাষ্ট্র মন্ত্রণালয়")</f>
        <v>পররাষ্ট্র মন্ত্রণালয়</v>
      </c>
    </row>
    <row r="885">
      <c r="A885" s="2" t="s">
        <v>1007</v>
      </c>
      <c r="B885" s="3" t="str">
        <f>IFERROR(__xludf.DUMMYFUNCTION("GOOGLETRANSLATE(A885, ""ar"", ""bn"")"),"পররাষ্ট্র রাজনৈতিক চাপ")</f>
        <v>পররাষ্ট্র রাজনৈতিক চাপ</v>
      </c>
    </row>
    <row r="886">
      <c r="A886" s="2" t="s">
        <v>1008</v>
      </c>
      <c r="B886" s="3" t="str">
        <f>IFERROR(__xludf.DUMMYFUNCTION("GOOGLETRANSLATE(A886, ""ar"", ""bn"")"),"পররাষ্ট্র চাপ")</f>
        <v>পররাষ্ট্র চাপ</v>
      </c>
    </row>
    <row r="887">
      <c r="A887" s="2" t="s">
        <v>1009</v>
      </c>
      <c r="B887" s="3" t="str">
        <f>IFERROR(__xludf.DUMMYFUNCTION("GOOGLETRANSLATE(A887, ""ar"", ""bn"")"),"এম আবাসিক পরক")</f>
        <v>এম আবাসিক পরক</v>
      </c>
    </row>
    <row r="888">
      <c r="A888" s="2" t="s">
        <v>1010</v>
      </c>
      <c r="B888" s="3" t="str">
        <f>IFERROR(__xludf.DUMMYFUNCTION("GOOGLETRANSLATE(A888, ""ar"", ""bn"")"),"এম বিদেশী প্রতিযোগিতা")</f>
        <v>এম বিদেশী প্রতিযোগিতা</v>
      </c>
    </row>
    <row r="889">
      <c r="A889" s="2" t="s">
        <v>1011</v>
      </c>
      <c r="B889" s="3" t="str">
        <f>IFERROR(__xludf.DUMMYFUNCTION("GOOGLETRANSLATE(A889, ""ar"", ""bn"")"),"পররাষ্ট্র সমর্থন")</f>
        <v>পররাষ্ট্র সমর্থন</v>
      </c>
    </row>
    <row r="890">
      <c r="A890" s="2" t="s">
        <v>1012</v>
      </c>
      <c r="B890" s="3" t="str">
        <f>IFERROR(__xludf.DUMMYFUNCTION("GOOGLETRANSLATE(A890, ""ar"", ""bn"")"),"পররাষ্ট্র হুমকি")</f>
        <v>পররাষ্ট্র হুমকি</v>
      </c>
    </row>
    <row r="891">
      <c r="A891" s="2" t="s">
        <v>1013</v>
      </c>
      <c r="B891" s="3" t="str">
        <f>IFERROR(__xludf.DUMMYFUNCTION("GOOGLETRANSLATE(A891, ""ar"", ""bn"")"),"পররাষ্ট্র সেনাদলের")</f>
        <v>পররাষ্ট্র সেনাদলের</v>
      </c>
    </row>
    <row r="892">
      <c r="A892" s="2" t="s">
        <v>1014</v>
      </c>
      <c r="B892" s="3" t="str">
        <f>IFERROR(__xludf.DUMMYFUNCTION("GOOGLETRANSLATE(A892, ""ar"", ""bn"")"),"aliens আইনের")</f>
        <v>aliens আইনের</v>
      </c>
    </row>
    <row r="893">
      <c r="A893" s="2" t="s">
        <v>1015</v>
      </c>
      <c r="B893" s="3" t="str">
        <f>IFERROR(__xludf.DUMMYFUNCTION("GOOGLETRANSLATE(A893, ""ar"", ""bn"")"),"রাজ্য ফর্ম")</f>
        <v>রাজ্য ফর্ম</v>
      </c>
    </row>
    <row r="894">
      <c r="A894" s="2" t="s">
        <v>1016</v>
      </c>
      <c r="B894" s="3" t="str">
        <f>IFERROR(__xludf.DUMMYFUNCTION("GOOGLETRANSLATE(A894, ""ar"", ""bn"")"),"আনুষ্ঠানিক সমর্থন")</f>
        <v>আনুষ্ঠানিক সমর্থন</v>
      </c>
    </row>
    <row r="895">
      <c r="A895" s="2" t="s">
        <v>1017</v>
      </c>
      <c r="B895" s="3" t="str">
        <f>IFERROR(__xludf.DUMMYFUNCTION("GOOGLETRANSLATE(A895, ""ar"", ""bn"")"),"আনুষ্ঠানিক অনুমোদন")</f>
        <v>আনুষ্ঠানিক অনুমোদন</v>
      </c>
    </row>
    <row r="896">
      <c r="A896" s="2" t="s">
        <v>1018</v>
      </c>
      <c r="B896" s="3" t="str">
        <f>IFERROR(__xludf.DUMMYFUNCTION("GOOGLETRANSLATE(A896, ""ar"", ""bn"")"),"আনুষ্ঠানিক কূটনৈতিক প্রতিবাদ")</f>
        <v>আনুষ্ঠানিক কূটনৈতিক প্রতিবাদ</v>
      </c>
    </row>
    <row r="897">
      <c r="A897" s="2" t="s">
        <v>1019</v>
      </c>
      <c r="B897" s="3" t="str">
        <f>IFERROR(__xludf.DUMMYFUNCTION("GOOGLETRANSLATE(A897, ""ar"", ""bn"")"),"অধিবেশন অফিসিয়াল খোলার")</f>
        <v>অধিবেশন অফিসিয়াল খোলার</v>
      </c>
    </row>
    <row r="898">
      <c r="A898" s="2" t="s">
        <v>1020</v>
      </c>
      <c r="B898" s="3" t="str">
        <f>IFERROR(__xludf.DUMMYFUNCTION("GOOGLETRANSLATE(A898, ""ar"", ""bn"")"),"আনুষ্ঠানিক প্রতিবাদ")</f>
        <v>আনুষ্ঠানিক প্রতিবাদ</v>
      </c>
    </row>
    <row r="899">
      <c r="A899" s="2" t="s">
        <v>1021</v>
      </c>
      <c r="B899" s="3" t="str">
        <f>IFERROR(__xludf.DUMMYFUNCTION("GOOGLETRANSLATE(A899, ""ar"", ""bn"")"),"এক কর্মকর্তা সতর্কবার্তা")</f>
        <v>এক কর্মকর্তা সতর্কবার্তা</v>
      </c>
    </row>
    <row r="900">
      <c r="A900" s="2" t="s">
        <v>1022</v>
      </c>
      <c r="B900" s="3" t="str">
        <f>IFERROR(__xludf.DUMMYFUNCTION("GOOGLETRANSLATE(A900, ""ar"", ""bn"")"),"সাবেক মন্ত্রী")</f>
        <v>সাবেক মন্ত্রী</v>
      </c>
    </row>
    <row r="901">
      <c r="A901" s="2" t="s">
        <v>1023</v>
      </c>
      <c r="B901" s="3" t="str">
        <f>IFERROR(__xludf.DUMMYFUNCTION("GOOGLETRANSLATE(A901, ""ar"", ""bn"")"),"রাজনৈতিক সিদ্ধান্তের সূত্র")</f>
        <v>রাজনৈতিক সিদ্ধান্তের সূত্র</v>
      </c>
    </row>
    <row r="902">
      <c r="A902" s="2" t="s">
        <v>1024</v>
      </c>
      <c r="B902" s="3" t="str">
        <f>IFERROR(__xludf.DUMMYFUNCTION("GOOGLETRANSLATE(A902, ""ar"", ""bn"")"),"টি দেয়াল-ঘেরা শহরগুলো")</f>
        <v>টি দেয়াল-ঘেরা শহরগুলো</v>
      </c>
    </row>
    <row r="903">
      <c r="A903" s="2" t="s">
        <v>1025</v>
      </c>
      <c r="B903" s="3" t="str">
        <f>IFERROR(__xludf.DUMMYFUNCTION("GOOGLETRANSLATE(A903, ""ar"", ""bn"")"),"NH, এর পরিমার্জিত শহর")</f>
        <v>NH, এর পরিমার্জিত শহর</v>
      </c>
    </row>
    <row r="904">
      <c r="A904" s="2" t="s">
        <v>1026</v>
      </c>
      <c r="B904" s="3" t="str">
        <f>IFERROR(__xludf.DUMMYFUNCTION("GOOGLETRANSLATE(A904, ""ar"", ""bn"")"),"Mzo রহঃ নির্বাচনে")</f>
        <v>Mzo রহঃ নির্বাচনে</v>
      </c>
    </row>
    <row r="905">
      <c r="A905" s="2" t="s">
        <v>1027</v>
      </c>
      <c r="B905" s="3" t="str">
        <f>IFERROR(__xludf.DUMMYFUNCTION("GOOGLETRANSLATE(A905, ""ar"", ""bn"")"),"ফ্রি ইলেকশনস")</f>
        <v>ফ্রি ইলেকশনস</v>
      </c>
    </row>
    <row r="906">
      <c r="A906" s="2" t="s">
        <v>1028</v>
      </c>
      <c r="B906" s="3" t="str">
        <f>IFERROR(__xludf.DUMMYFUNCTION("GOOGLETRANSLATE(A906, ""ar"", ""bn"")"),"স্বাধীনতা")</f>
        <v>স্বাধীনতা</v>
      </c>
    </row>
    <row r="907">
      <c r="A907" s="2" t="s">
        <v>1029</v>
      </c>
      <c r="B907" s="3" t="str">
        <f>IFERROR(__xludf.DUMMYFUNCTION("GOOGLETRANSLATE(A907, ""ar"", ""bn"")"),"ফ্রিডম ও ব্যক্তি মঙ্গল")</f>
        <v>ফ্রিডম ও ব্যক্তি মঙ্গল</v>
      </c>
    </row>
    <row r="908">
      <c r="A908" s="2" t="s">
        <v>1030</v>
      </c>
      <c r="B908" s="3" t="str">
        <f>IFERROR(__xludf.DUMMYFUNCTION("GOOGLETRANSLATE(A908, ""ar"", ""bn"")"),"কূটনৈতিক এবং বন্ধুত্বপূর্ণ সমাধান")</f>
        <v>কূটনৈতিক এবং বন্ধুত্বপূর্ণ সমাধান</v>
      </c>
    </row>
    <row r="909">
      <c r="A909" s="2" t="s">
        <v>1031</v>
      </c>
      <c r="B909" s="3" t="str">
        <f>IFERROR(__xludf.DUMMYFUNCTION("GOOGLETRANSLATE(A909, ""ar"", ""bn"")"),"আন্তর্জাতিক বন্ধুত্বপূর্ণ অঙ্গভঙ্গি")</f>
        <v>আন্তর্জাতিক বন্ধুত্বপূর্ণ অঙ্গভঙ্গি</v>
      </c>
    </row>
    <row r="910">
      <c r="A910" s="2" t="s">
        <v>1032</v>
      </c>
      <c r="B910" s="3" t="str">
        <f>IFERROR(__xludf.DUMMYFUNCTION("GOOGLETRANSLATE(A910, ""ar"", ""bn"")"),"বন্ধুত্বপূর্ণ বন্দোবস্ত")</f>
        <v>বন্ধুত্বপূর্ণ বন্দোবস্ত</v>
      </c>
    </row>
    <row r="911">
      <c r="A911" s="2" t="s">
        <v>1033</v>
      </c>
      <c r="B911" s="3" t="str">
        <f>IFERROR(__xludf.DUMMYFUNCTION("GOOGLETRANSLATE(A911, ""ar"", ""bn"")"),"Amvzaa বেসামরিক")</f>
        <v>Amvzaa বেসামরিক</v>
      </c>
    </row>
    <row r="912">
      <c r="A912" s="2" t="s">
        <v>1034</v>
      </c>
      <c r="B912" s="3" t="str">
        <f>IFERROR(__xludf.DUMMYFUNCTION("GOOGLETRANSLATE(A912, ""ar"", ""bn"")"),"সামনে লাইন সংগ্রাম")</f>
        <v>সামনে লাইন সংগ্রাম</v>
      </c>
    </row>
    <row r="913">
      <c r="A913" s="2" t="s">
        <v>1035</v>
      </c>
      <c r="B913" s="3" t="str">
        <f>IFERROR(__xludf.DUMMYFUNCTION("GOOGLETRANSLATE(A913, ""ar"", ""bn"")"),"সীমান্তে মতানৈক্যের")</f>
        <v>সীমান্তে মতানৈক্যের</v>
      </c>
    </row>
    <row r="914">
      <c r="A914" s="2" t="s">
        <v>1036</v>
      </c>
      <c r="B914" s="3" t="str">
        <f>IFERROR(__xludf.DUMMYFUNCTION("GOOGLETRANSLATE(A914, ""ar"", ""bn"")"),"বর্ডার এলাকায়")</f>
        <v>বর্ডার এলাকায়</v>
      </c>
    </row>
    <row r="915">
      <c r="A915" s="2" t="s">
        <v>1037</v>
      </c>
      <c r="B915" s="3" t="str">
        <f>IFERROR(__xludf.DUMMYFUNCTION("GOOGLETRANSLATE(A915, ""ar"", ""bn"")"),"Amhakq বিচারপতি")</f>
        <v>Amhakq বিচারপতি</v>
      </c>
    </row>
    <row r="916">
      <c r="A916" s="2" t="s">
        <v>1038</v>
      </c>
      <c r="B916" s="3" t="str">
        <f>IFERROR(__xludf.DUMMYFUNCTION("GOOGLETRANSLATE(A916, ""ar"", ""bn"")"),"কম্প্রিহেনসিভ যুদ্ধবিরতি")</f>
        <v>কম্প্রিহেনসিভ যুদ্ধবিরতি</v>
      </c>
    </row>
    <row r="917">
      <c r="A917" s="2" t="s">
        <v>1039</v>
      </c>
      <c r="B917" s="3" t="str">
        <f>IFERROR(__xludf.DUMMYFUNCTION("GOOGLETRANSLATE(A917, ""ar"", ""bn"")"),"সম্পূর্ণ নিরপেক্ষতা")</f>
        <v>সম্পূর্ণ নিরপেক্ষতা</v>
      </c>
    </row>
    <row r="918">
      <c r="A918" s="2" t="s">
        <v>1040</v>
      </c>
      <c r="B918" s="3" t="str">
        <f>IFERROR(__xludf.DUMMYFUNCTION("GOOGLETRANSLATE(A918, ""ar"", ""bn"")"),"স্বেচ্ছামত কাজ করিবার অধিকার")</f>
        <v>স্বেচ্ছামত কাজ করিবার অধিকার</v>
      </c>
    </row>
    <row r="919">
      <c r="A919" s="2" t="s">
        <v>1041</v>
      </c>
      <c r="B919" s="3" t="str">
        <f>IFERROR(__xludf.DUMMYFUNCTION("GOOGLETRANSLATE(A919, ""ar"", ""bn"")"),"সমঝোতা প্রধান ফোকাস")</f>
        <v>সমঝোতা প্রধান ফোকাস</v>
      </c>
    </row>
    <row r="920">
      <c r="A920" s="2" t="s">
        <v>1042</v>
      </c>
      <c r="B920" s="3" t="str">
        <f>IFERROR(__xludf.DUMMYFUNCTION("GOOGLETRANSLATE(A920, ""ar"", ""bn"")"),"বেসিক রাজনৈতিক নীতির")</f>
        <v>বেসিক রাজনৈতিক নীতির</v>
      </c>
    </row>
    <row r="921">
      <c r="A921" s="2" t="s">
        <v>1043</v>
      </c>
      <c r="B921" s="3" t="str">
        <f>IFERROR(__xludf.DUMMYFUNCTION("GOOGLETRANSLATE(A921, ""ar"", ""bn"")"),"যুক্তরাষ্ট্রের ভবিষ্যত আকাঙ্খার")</f>
        <v>যুক্তরাষ্ট্রের ভবিষ্যত আকাঙ্খার</v>
      </c>
    </row>
    <row r="922">
      <c r="A922" s="2" t="s">
        <v>1044</v>
      </c>
      <c r="B922" s="3" t="str">
        <f>IFERROR(__xludf.DUMMYFUNCTION("GOOGLETRANSLATE(A922, ""ar"", ""bn"")"),"খেলা নেশনস")</f>
        <v>খেলা নেশনস</v>
      </c>
    </row>
    <row r="923">
      <c r="A923" s="2" t="s">
        <v>1045</v>
      </c>
      <c r="B923" s="3" t="str">
        <f>IFERROR(__xludf.DUMMYFUNCTION("GOOGLETRANSLATE(A923, ""ar"", ""bn"")"),"সাধারন সভা")</f>
        <v>সাধারন সভা</v>
      </c>
    </row>
    <row r="924">
      <c r="A924" s="2" t="s">
        <v>1046</v>
      </c>
      <c r="B924" s="3" t="str">
        <f>IFERROR(__xludf.DUMMYFUNCTION("GOOGLETRANSLATE(A924, ""ar"", ""bn"")"),"দল সাধারণ সম্মেলন")</f>
        <v>দল সাধারণ সম্মেলন</v>
      </c>
    </row>
    <row r="925">
      <c r="A925" s="2" t="s">
        <v>468</v>
      </c>
      <c r="B925" s="3" t="str">
        <f>IFERROR(__xludf.DUMMYFUNCTION("GOOGLETRANSLATE(A925, ""ar"", ""bn"")"),"রাজনৈতিক")</f>
        <v>রাজনৈতিক</v>
      </c>
    </row>
    <row r="926">
      <c r="A926" s="2" t="s">
        <v>1047</v>
      </c>
      <c r="B926" s="3" t="str">
        <f>IFERROR(__xludf.DUMMYFUNCTION("GOOGLETRANSLATE(A926, ""ar"", ""bn"")"),"কন্সাল")</f>
        <v>কন্সাল</v>
      </c>
    </row>
    <row r="927">
      <c r="A927" s="2" t="s">
        <v>1048</v>
      </c>
      <c r="B927" s="3" t="str">
        <f>IFERROR(__xludf.DUMMYFUNCTION("GOOGLETRANSLATE(A927, ""ar"", ""bn"")"),"কম্প্রিহেনসিভ মূল্যায়ন প্রতিবেদন")</f>
        <v>কম্প্রিহেনসিভ মূল্যায়ন প্রতিবেদন</v>
      </c>
    </row>
    <row r="928">
      <c r="A928" s="2" t="s">
        <v>644</v>
      </c>
      <c r="B928" s="3" t="str">
        <f>IFERROR(__xludf.DUMMYFUNCTION("GOOGLETRANSLATE(A928, ""ar"", ""bn"")"),"রাজনীতিজ্ঞ")</f>
        <v>রাজনীতিজ্ঞ</v>
      </c>
    </row>
    <row r="929">
      <c r="A929" s="2" t="s">
        <v>1049</v>
      </c>
      <c r="B929" s="3" t="str">
        <f>IFERROR(__xludf.DUMMYFUNCTION("GOOGLETRANSLATE(A929, ""ar"", ""bn"")"),"স্মরণ করাইয়া দেত্তয়া")</f>
        <v>স্মরণ করাইয়া দেত্তয়া</v>
      </c>
    </row>
    <row r="930">
      <c r="A930" s="2" t="s">
        <v>1050</v>
      </c>
      <c r="B930" s="3" t="str">
        <f>IFERROR(__xludf.DUMMYFUNCTION("GOOGLETRANSLATE(A930, ""ar"", ""bn"")"),"হরতাল")</f>
        <v>হরতাল</v>
      </c>
    </row>
    <row r="931">
      <c r="A931" s="2" t="s">
        <v>1051</v>
      </c>
      <c r="B931" s="3" t="str">
        <f>IFERROR(__xludf.DUMMYFUNCTION("GOOGLETRANSLATE(A931, ""ar"", ""bn"")"),"উত্পাদনশীল দ্বন্দ্ব")</f>
        <v>উত্পাদনশীল দ্বন্দ্ব</v>
      </c>
    </row>
    <row r="932">
      <c r="A932" s="2" t="s">
        <v>1052</v>
      </c>
      <c r="B932" s="3" t="str">
        <f>IFERROR(__xludf.DUMMYFUNCTION("GOOGLETRANSLATE(A932, ""ar"", ""bn"")"),"গণহত্যা")</f>
        <v>গণহত্যা</v>
      </c>
    </row>
    <row r="933">
      <c r="A933" s="2" t="s">
        <v>1053</v>
      </c>
      <c r="B933" s="3" t="str">
        <f>IFERROR(__xludf.DUMMYFUNCTION("GOOGLETRANSLATE(A933, ""ar"", ""bn"")"),"ঘটনা নোট নিন")</f>
        <v>ঘটনা নোট নিন</v>
      </c>
    </row>
    <row r="934">
      <c r="A934" s="2" t="s">
        <v>468</v>
      </c>
      <c r="B934" s="3" t="str">
        <f>IFERROR(__xludf.DUMMYFUNCTION("GOOGLETRANSLATE(A934, ""ar"", ""bn"")"),"রাজনৈতিক")</f>
        <v>রাজনৈতিক</v>
      </c>
    </row>
    <row r="935">
      <c r="A935" s="2" t="s">
        <v>1054</v>
      </c>
      <c r="B935" s="3" t="str">
        <f>IFERROR(__xludf.DUMMYFUNCTION("GOOGLETRANSLATE(A935, ""ar"", ""bn"")"),"Amudalla পয়েন্ট আনুষ্ঠানিকভাবে Ih")</f>
        <v>Amudalla পয়েন্ট আনুষ্ঠানিকভাবে Ih</v>
      </c>
    </row>
    <row r="936">
      <c r="A936" s="2" t="s">
        <v>1055</v>
      </c>
      <c r="B936" s="3" t="str">
        <f>IFERROR(__xludf.DUMMYFUNCTION("GOOGLETRANSLATE(A936, ""ar"", ""bn"")"),"Amudalla মতামত")</f>
        <v>Amudalla মতামত</v>
      </c>
    </row>
    <row r="937">
      <c r="A937" s="2" t="s">
        <v>1056</v>
      </c>
      <c r="B937" s="3" t="str">
        <f>IFERROR(__xludf.DUMMYFUNCTION("GOOGLETRANSLATE(A937, ""ar"", ""bn"")"),"Amattiy অগ্রাধিকার")</f>
        <v>Amattiy অগ্রাধিকার</v>
      </c>
    </row>
    <row r="938">
      <c r="A938" s="2" t="s">
        <v>1057</v>
      </c>
      <c r="B938" s="3" t="str">
        <f>IFERROR(__xludf.DUMMYFUNCTION("GOOGLETRANSLATE(A938, ""ar"", ""bn"")"),"শুভেচ্ছা দূত")</f>
        <v>শুভেচ্ছা দূত</v>
      </c>
    </row>
    <row r="939">
      <c r="A939" s="2" t="s">
        <v>1058</v>
      </c>
      <c r="B939" s="3" t="str">
        <f>IFERROR(__xludf.DUMMYFUNCTION("GOOGLETRANSLATE(A939, ""ar"", ""bn"")"),"গুড অফিসের")</f>
        <v>গুড অফিসের</v>
      </c>
    </row>
    <row r="940">
      <c r="A940" s="2" t="s">
        <v>1059</v>
      </c>
      <c r="B940" s="3" t="str">
        <f>IFERROR(__xludf.DUMMYFUNCTION("GOOGLETRANSLATE(A940, ""ar"", ""bn"")"),"গুড অফিসের কমিটি")</f>
        <v>গুড অফিসের কমিটি</v>
      </c>
    </row>
    <row r="941">
      <c r="A941" s="2" t="s">
        <v>1060</v>
      </c>
      <c r="B941" s="3" t="str">
        <f>IFERROR(__xludf.DUMMYFUNCTION("GOOGLETRANSLATE(A941, ""ar"", ""bn"")"),"বিচার")</f>
        <v>বিচার</v>
      </c>
    </row>
    <row r="942">
      <c r="A942" s="2" t="s">
        <v>1061</v>
      </c>
      <c r="B942" s="3" t="str">
        <f>IFERROR(__xludf.DUMMYFUNCTION("GOOGLETRANSLATE(A942, ""ar"", ""bn"")"),"বিধান কর্তৃপক্ষ")</f>
        <v>বিধান কর্তৃপক্ষ</v>
      </c>
    </row>
    <row r="943">
      <c r="A943" s="2" t="s">
        <v>1062</v>
      </c>
      <c r="B943" s="3" t="str">
        <f>IFERROR(__xludf.DUMMYFUNCTION("GOOGLETRANSLATE(A943, ""ar"", ""bn"")"),"পরিচালনা পর্ষদ")</f>
        <v>পরিচালনা পর্ষদ</v>
      </c>
    </row>
    <row r="944">
      <c r="A944" s="2" t="s">
        <v>1063</v>
      </c>
      <c r="B944" s="3" t="str">
        <f>IFERROR(__xludf.DUMMYFUNCTION("GOOGLETRANSLATE(A944, ""ar"", ""bn"")"),"আইন বিরাজ")</f>
        <v>আইন বিরাজ</v>
      </c>
    </row>
    <row r="945">
      <c r="A945" s="2" t="s">
        <v>1064</v>
      </c>
      <c r="B945" s="3" t="str">
        <f>IFERROR(__xludf.DUMMYFUNCTION("GOOGLETRANSLATE(A945, ""ar"", ""bn"")"),"একজন সরকারি কমিটি")</f>
        <v>একজন সরকারি কমিটি</v>
      </c>
    </row>
    <row r="946">
      <c r="A946" s="2" t="s">
        <v>1065</v>
      </c>
      <c r="B946" s="3" t="str">
        <f>IFERROR(__xludf.DUMMYFUNCTION("GOOGLETRANSLATE(A946, ""ar"", ""bn"")"),"দুর্নীতি ক্ষমতাসীন")</f>
        <v>দুর্নীতি ক্ষমতাসীন</v>
      </c>
    </row>
    <row r="947">
      <c r="A947" s="2" t="s">
        <v>1066</v>
      </c>
      <c r="B947" s="3" t="str">
        <f>IFERROR(__xludf.DUMMYFUNCTION("GOOGLETRANSLATE(A947, ""ar"", ""bn"")"),"সরকারী হস্তক্ষেপের জন্য")</f>
        <v>সরকারী হস্তক্ষেপের জন্য</v>
      </c>
    </row>
    <row r="948">
      <c r="A948" s="2" t="s">
        <v>1067</v>
      </c>
      <c r="B948" s="3" t="str">
        <f>IFERROR(__xludf.DUMMYFUNCTION("GOOGLETRANSLATE(A948, ""ar"", ""bn"")"),"একটি সরকার দেখুন")</f>
        <v>একটি সরকার দেখুন</v>
      </c>
    </row>
    <row r="949">
      <c r="A949" s="2" t="s">
        <v>1068</v>
      </c>
      <c r="B949" s="3" t="str">
        <f>IFERROR(__xludf.DUMMYFUNCTION("GOOGLETRANSLATE(A949, ""ar"", ""bn"")"),"সরকারি নিষেধাজ্ঞা")</f>
        <v>সরকারি নিষেধাজ্ঞা</v>
      </c>
    </row>
    <row r="950">
      <c r="A950" s="2" t="s">
        <v>1069</v>
      </c>
      <c r="B950" s="3" t="str">
        <f>IFERROR(__xludf.DUMMYFUNCTION("GOOGLETRANSLATE(A950, ""ar"", ""bn"")"),"সরকারি প্রতিষ্ঠান")</f>
        <v>সরকারি প্রতিষ্ঠান</v>
      </c>
    </row>
    <row r="951">
      <c r="A951" s="2" t="s">
        <v>1070</v>
      </c>
      <c r="B951" s="3" t="str">
        <f>IFERROR(__xludf.DUMMYFUNCTION("GOOGLETRANSLATE(A951, ""ar"", ""bn"")"),"শাসক বা গভর্নর")</f>
        <v>শাসক বা গভর্নর</v>
      </c>
    </row>
    <row r="952">
      <c r="A952" s="2" t="s">
        <v>1071</v>
      </c>
      <c r="B952" s="3" t="str">
        <f>IFERROR(__xludf.DUMMYFUNCTION("GOOGLETRANSLATE(A952, ""ar"", ""bn"")"),"রক্ষনশীল সভা")</f>
        <v>রক্ষনশীল সভা</v>
      </c>
    </row>
    <row r="953">
      <c r="A953" s="2" t="s">
        <v>1072</v>
      </c>
      <c r="B953" s="3" t="str">
        <f>IFERROR(__xludf.DUMMYFUNCTION("GOOGLETRANSLATE(A953, ""ar"", ""bn"")"),"মঞ্জুর শক্তিগুলি Imko")</f>
        <v>মঞ্জুর শক্তিগুলি Imko</v>
      </c>
    </row>
    <row r="954">
      <c r="A954" s="2" t="s">
        <v>1073</v>
      </c>
      <c r="B954" s="3" t="str">
        <f>IFERROR(__xludf.DUMMYFUNCTION("GOOGLETRANSLATE(A954, ""ar"", ""bn"")"),"দায়মুক্তি অনুমোদন দিলে তা")</f>
        <v>দায়মুক্তি অনুমোদন দিলে তা</v>
      </c>
    </row>
    <row r="955">
      <c r="A955" s="2" t="s">
        <v>1074</v>
      </c>
      <c r="B955" s="3" t="str">
        <f>IFERROR(__xludf.DUMMYFUNCTION("GOOGLETRANSLATE(A955, ""ar"", ""bn"")"),"মঞ্জুর নাগরিকত্ব")</f>
        <v>মঞ্জুর নাগরিকত্ব</v>
      </c>
    </row>
    <row r="956">
      <c r="A956" s="2" t="s">
        <v>1075</v>
      </c>
      <c r="B956" s="3" t="str">
        <f>IFERROR(__xludf.DUMMYFUNCTION("GOOGLETRANSLATE(A956, ""ar"", ""bn"")"),"বিশেষাধিকার অনুমোদন দিলে তা")</f>
        <v>বিশেষাধিকার অনুমোদন দিলে তা</v>
      </c>
    </row>
    <row r="957">
      <c r="A957" s="2" t="s">
        <v>1076</v>
      </c>
      <c r="B957" s="3" t="str">
        <f>IFERROR(__xludf.DUMMYFUNCTION("GOOGLETRANSLATE(A957, ""ar"", ""bn"")"),"এটা তোলে ভাবতে সময় পাবেন,")</f>
        <v>এটা তোলে ভাবতে সময় পাবেন,</v>
      </c>
    </row>
    <row r="958">
      <c r="A958" s="2" t="s">
        <v>1077</v>
      </c>
      <c r="B958" s="3" t="str">
        <f>IFERROR(__xludf.DUMMYFUNCTION("GOOGLETRANSLATE(A958, ""ar"", ""bn"")"),"কূটনৈতিক অবস্থার বিপজ্জনক")</f>
        <v>কূটনৈতিক অবস্থার বিপজ্জনক</v>
      </c>
    </row>
    <row r="959">
      <c r="A959" s="2" t="s">
        <v>1078</v>
      </c>
      <c r="B959" s="3" t="str">
        <f>IFERROR(__xludf.DUMMYFUNCTION("GOOGLETRANSLATE(A959, ""ar"", ""bn"")"),"গুরুতর মানবিক অবস্থা")</f>
        <v>গুরুতর মানবিক অবস্থা</v>
      </c>
    </row>
    <row r="960">
      <c r="A960" s="2" t="s">
        <v>1079</v>
      </c>
      <c r="B960" s="3" t="str">
        <f>IFERROR(__xludf.DUMMYFUNCTION("GOOGLETRANSLATE(A960, ""ar"", ""bn"")"),"রাজনৈতিক পরিস্থিতির গুরুত্ব")</f>
        <v>রাজনৈতিক পরিস্থিতির গুরুত্ব</v>
      </c>
    </row>
    <row r="961">
      <c r="A961" s="2" t="s">
        <v>1080</v>
      </c>
      <c r="B961" s="3" t="str">
        <f>IFERROR(__xludf.DUMMYFUNCTION("GOOGLETRANSLATE(A961, ""ar"", ""bn"")"),"বৃহত্তর মধ্যপ্রাচ্যে")</f>
        <v>বৃহত্তর মধ্যপ্রাচ্যে</v>
      </c>
    </row>
    <row r="962">
      <c r="A962" s="2" t="s">
        <v>1081</v>
      </c>
      <c r="B962" s="3" t="str">
        <f>IFERROR(__xludf.DUMMYFUNCTION("GOOGLETRANSLATE(A962, ""ar"", ""bn"")"),"মানব সম্প্রদায়ের")</f>
        <v>মানব সম্প্রদায়ের</v>
      </c>
    </row>
    <row r="963">
      <c r="A963" s="2" t="s">
        <v>1082</v>
      </c>
      <c r="B963" s="3" t="str">
        <f>IFERROR(__xludf.DUMMYFUNCTION("GOOGLETRANSLATE(A963, ""ar"", ""bn"")"),"ব্যক্তিগত অধিকারের প্রতিশ্রুতি")</f>
        <v>ব্যক্তিগত অধিকারের প্রতিশ্রুতি</v>
      </c>
    </row>
    <row r="964">
      <c r="A964" s="2" t="s">
        <v>1083</v>
      </c>
      <c r="B964" s="3" t="str">
        <f>IFERROR(__xludf.DUMMYFUNCTION("GOOGLETRANSLATE(A964, ""ar"", ""bn"")"),"নিশ্চিত স্বাধীনতা")</f>
        <v>নিশ্চিত স্বাধীনতা</v>
      </c>
    </row>
    <row r="965">
      <c r="A965" s="2" t="s">
        <v>1084</v>
      </c>
      <c r="B965" s="3" t="str">
        <f>IFERROR(__xludf.DUMMYFUNCTION("GOOGLETRANSLATE(A965, ""ar"", ""bn"")"),"গেরিলা")</f>
        <v>গেরিলা</v>
      </c>
    </row>
    <row r="966">
      <c r="A966" s="2" t="s">
        <v>1085</v>
      </c>
      <c r="B966" s="3" t="str">
        <f>IFERROR(__xludf.DUMMYFUNCTION("GOOGLETRANSLATE(A966, ""ar"", ""bn"")"),"Amenk প্রশ্ন পতাকা")</f>
        <v>Amenk প্রশ্ন পতাকা</v>
      </c>
    </row>
    <row r="967">
      <c r="A967" s="2" t="s">
        <v>1086</v>
      </c>
      <c r="B967" s="3" t="str">
        <f>IFERROR(__xludf.DUMMYFUNCTION("GOOGLETRANSLATE(A967, ""ar"", ""bn"")"),"হাফ-সমাধান")</f>
        <v>হাফ-সমাধান</v>
      </c>
    </row>
    <row r="968">
      <c r="A968" s="2" t="s">
        <v>1087</v>
      </c>
      <c r="B968" s="3" t="str">
        <f>IFERROR(__xludf.DUMMYFUNCTION("GOOGLETRANSLATE(A968, ""ar"", ""bn"")"),"Amsl চেয়ার")</f>
        <v>Amsl চেয়ার</v>
      </c>
    </row>
    <row r="969">
      <c r="A969" s="2" t="s">
        <v>1088</v>
      </c>
      <c r="B969" s="3" t="str">
        <f>IFERROR(__xludf.DUMMYFUNCTION("GOOGLETRANSLATE(A969, ""ar"", ""bn"")"),"রাজনৈতিক বক্তৃতা কঠোর ভাষায়")</f>
        <v>রাজনৈতিক বক্তৃতা কঠোর ভাষায়</v>
      </c>
    </row>
    <row r="970">
      <c r="A970" s="2" t="s">
        <v>1089</v>
      </c>
      <c r="B970" s="3" t="str">
        <f>IFERROR(__xludf.DUMMYFUNCTION("GOOGLETRANSLATE(A970, ""ar"", ""bn"")"),"হারমনিক রাজনৈতিক উন্নয়ন")</f>
        <v>হারমনিক রাজনৈতিক উন্নয়ন</v>
      </c>
    </row>
    <row r="971">
      <c r="A971" s="2" t="s">
        <v>1090</v>
      </c>
      <c r="B971" s="3" t="str">
        <f>IFERROR(__xludf.DUMMYFUNCTION("GOOGLETRANSLATE(A971, ""ar"", ""bn"")"),"ভী Nasag আন্তর্জাতিক মতামত")</f>
        <v>ভী Nasag আন্তর্জাতিক মতামত</v>
      </c>
    </row>
    <row r="972">
      <c r="A972" s="2" t="s">
        <v>1091</v>
      </c>
      <c r="B972" s="3" t="str">
        <f>IFERROR(__xludf.DUMMYFUNCTION("GOOGLETRANSLATE(A972, ""ar"", ""bn"")"),"আন্তর্জাতিক আইন দরুন")</f>
        <v>আন্তর্জাতিক আইন দরুন</v>
      </c>
    </row>
    <row r="973">
      <c r="A973" s="2" t="s">
        <v>1092</v>
      </c>
      <c r="B973" s="3" t="str">
        <f>IFERROR(__xludf.DUMMYFUNCTION("GOOGLETRANSLATE(A973, ""ar"", ""bn"")"),"যুদ্ধে অবলম্বন")</f>
        <v>যুদ্ধে অবলম্বন</v>
      </c>
    </row>
    <row r="974">
      <c r="A974" s="2" t="s">
        <v>1093</v>
      </c>
      <c r="B974" s="3" t="str">
        <f>IFERROR(__xludf.DUMMYFUNCTION("GOOGLETRANSLATE(A974, ""ar"", ""bn"")"),"প্রতিনিধি দলের প্রধান")</f>
        <v>প্রতিনিধি দলের প্রধান</v>
      </c>
    </row>
    <row r="975">
      <c r="A975" s="2" t="s">
        <v>1094</v>
      </c>
      <c r="B975" s="3" t="str">
        <f>IFERROR(__xludf.DUMMYFUNCTION("GOOGLETRANSLATE(A975, ""ar"", ""bn"")"),"শুনানি উপর ভিত্তি করে সার্টিফিকেট")</f>
        <v>শুনানি উপর ভিত্তি করে সার্টিফিকেট</v>
      </c>
    </row>
    <row r="976">
      <c r="A976" s="2" t="s">
        <v>1095</v>
      </c>
      <c r="B976" s="3" t="str">
        <f>IFERROR(__xludf.DUMMYFUNCTION("GOOGLETRANSLATE(A976, ""ar"", ""bn"")"),"বিবৃতি")</f>
        <v>বিবৃতি</v>
      </c>
    </row>
    <row r="977">
      <c r="A977" s="2" t="s">
        <v>1096</v>
      </c>
      <c r="B977" s="3" t="str">
        <f>IFERROR(__xludf.DUMMYFUNCTION("GOOGLETRANSLATE(A977, ""ar"", ""bn"")"),"গ্রেট ক্ষমতা নীতি")</f>
        <v>গ্রেট ক্ষমতা নীতি</v>
      </c>
    </row>
    <row r="978">
      <c r="A978" s="2" t="s">
        <v>1097</v>
      </c>
      <c r="B978" s="3" t="str">
        <f>IFERROR(__xludf.DUMMYFUNCTION("GOOGLETRANSLATE(A978, ""ar"", ""bn"")"),"রাজ্য একাত্মতার না")</f>
        <v>রাজ্য একাত্মতার না</v>
      </c>
    </row>
    <row r="979">
      <c r="A979" s="2" t="s">
        <v>1098</v>
      </c>
      <c r="B979" s="3" t="str">
        <f>IFERROR(__xludf.DUMMYFUNCTION("GOOGLETRANSLATE(A979, ""ar"", ""bn"")"),"অথবা ক্রম অন্তর্ভুক্ত গোল")</f>
        <v>অথবা ক্রম অন্তর্ভুক্ত গোল</v>
      </c>
    </row>
    <row r="980">
      <c r="A980" s="2" t="s">
        <v>1099</v>
      </c>
      <c r="B980" s="3" t="str">
        <f>IFERROR(__xludf.DUMMYFUNCTION("GOOGLETRANSLATE(A980, ""ar"", ""bn"")"),"রাজনৈতিক অবস্থানের ক্রম")</f>
        <v>রাজনৈতিক অবস্থানের ক্রম</v>
      </c>
    </row>
    <row r="981">
      <c r="A981" s="2" t="s">
        <v>1100</v>
      </c>
      <c r="B981" s="3" t="str">
        <f>IFERROR(__xludf.DUMMYFUNCTION("GOOGLETRANSLATE(A981, ""ar"", ""bn"")"),"সিকোয়েন্স কর্তৃপক্ষ")</f>
        <v>সিকোয়েন্স কর্তৃপক্ষ</v>
      </c>
    </row>
    <row r="982">
      <c r="A982" s="2" t="s">
        <v>1101</v>
      </c>
      <c r="B982" s="3" t="str">
        <f>IFERROR(__xludf.DUMMYFUNCTION("GOOGLETRANSLATE(A982, ""ar"", ""bn"")"),"রাজ্য বিভাগে সিকোয়েন্স")</f>
        <v>রাজ্য বিভাগে সিকোয়েন্স</v>
      </c>
    </row>
    <row r="983">
      <c r="A983" s="2" t="s">
        <v>1102</v>
      </c>
      <c r="B983" s="3" t="str">
        <f>IFERROR(__xludf.DUMMYFUNCTION("GOOGLETRANSLATE(A983, ""ar"", ""bn"")"),"প্রতিনিধি সামি")</f>
        <v>প্রতিনিধি সামি</v>
      </c>
    </row>
    <row r="984">
      <c r="A984" s="2" t="s">
        <v>1103</v>
      </c>
      <c r="B984" s="3" t="str">
        <f>IFERROR(__xludf.DUMMYFUNCTION("GOOGLETRANSLATE(A984, ""ar"", ""bn"")"),"একটি উচ্চতর কমিটি")</f>
        <v>একটি উচ্চতর কমিটি</v>
      </c>
    </row>
    <row r="985">
      <c r="A985" s="2" t="s">
        <v>1104</v>
      </c>
      <c r="B985" s="3" t="str">
        <f>IFERROR(__xludf.DUMMYFUNCTION("GOOGLETRANSLATE(A985, ""ar"", ""bn"")"),"সুপ্রিম সাংবিধানিক আদালত")</f>
        <v>সুপ্রিম সাংবিধানিক আদালত</v>
      </c>
    </row>
    <row r="986">
      <c r="A986" s="2" t="s">
        <v>1105</v>
      </c>
      <c r="B986" s="3" t="str">
        <f>IFERROR(__xludf.DUMMYFUNCTION("GOOGLETRANSLATE(A986, ""ar"", ""bn"")"),"একটি উচ্চ পর্যায়ে এম আলোচনার")</f>
        <v>একটি উচ্চ পর্যায়ে এম আলোচনার</v>
      </c>
    </row>
    <row r="987">
      <c r="A987" s="2" t="s">
        <v>1106</v>
      </c>
      <c r="B987" s="3" t="str">
        <f>IFERROR(__xludf.DUMMYFUNCTION("GOOGLETRANSLATE(A987, ""ar"", ""bn"")"),"বিশ্বাসঘাতকতা")</f>
        <v>বিশ্বাসঘাতকতা</v>
      </c>
    </row>
    <row r="988">
      <c r="A988" s="2" t="s">
        <v>1107</v>
      </c>
      <c r="B988" s="3" t="str">
        <f>IFERROR(__xludf.DUMMYFUNCTION("GOOGLETRANSLATE(A988, ""ar"", ""bn"")"),"সুপ্রীম আন্তর্জাতিক ট্রাইব্যুনাল")</f>
        <v>সুপ্রীম আন্তর্জাতিক ট্রাইব্যুনাল</v>
      </c>
    </row>
    <row r="989">
      <c r="A989" s="2" t="s">
        <v>1108</v>
      </c>
      <c r="B989" s="3" t="str">
        <f>IFERROR(__xludf.DUMMYFUNCTION("GOOGLETRANSLATE(A989, ""ar"", ""bn"")"),"বৈঠক অনুষ্ঠিত হয়")</f>
        <v>বৈঠক অনুষ্ঠিত হয়</v>
      </c>
    </row>
    <row r="990">
      <c r="A990" s="2" t="s">
        <v>1109</v>
      </c>
      <c r="B990" s="3" t="str">
        <f>IFERROR(__xludf.DUMMYFUNCTION("GOOGLETRANSLATE(A990, ""ar"", ""bn"")"),"ডি Atql অস্ত্র")</f>
        <v>ডি Atql অস্ত্র</v>
      </c>
    </row>
    <row r="991">
      <c r="A991" s="2" t="s">
        <v>1110</v>
      </c>
      <c r="B991" s="3" t="str">
        <f>IFERROR(__xludf.DUMMYFUNCTION("GOOGLETRANSLATE(A991, ""ar"", ""bn"")"),"ন্যাটো ভূমিকা প্রশ্ন")</f>
        <v>ন্যাটো ভূমিকা প্রশ্ন</v>
      </c>
    </row>
    <row r="992">
      <c r="A992" s="2" t="s">
        <v>1111</v>
      </c>
      <c r="B992" s="3" t="str">
        <f>IFERROR(__xludf.DUMMYFUNCTION("GOOGLETRANSLATE(A992, ""ar"", ""bn"")"),"অবৈতনিক কমিটি")</f>
        <v>অবৈতনিক কমিটি</v>
      </c>
    </row>
    <row r="993">
      <c r="A993" s="2" t="s">
        <v>1112</v>
      </c>
      <c r="B993" s="3" t="str">
        <f>IFERROR(__xludf.DUMMYFUNCTION("GOOGLETRANSLATE(A993, ""ar"", ""bn"")"),"অনার কমিটি")</f>
        <v>অনার কমিটি</v>
      </c>
    </row>
    <row r="994">
      <c r="A994" s="2" t="s">
        <v>1113</v>
      </c>
      <c r="B994" s="3" t="str">
        <f>IFERROR(__xludf.DUMMYFUNCTION("GOOGLETRANSLATE(A994, ""ar"", ""bn"")"),"অনারারি কনসাল")</f>
        <v>অনারারি কনসাল</v>
      </c>
    </row>
    <row r="995">
      <c r="A995" s="2" t="s">
        <v>1114</v>
      </c>
      <c r="B995" s="3" t="str">
        <f>IFERROR(__xludf.DUMMYFUNCTION("GOOGLETRANSLATE(A995, ""ar"", ""bn"")"),"অবৈতনিক কাউন্সিল")</f>
        <v>অবৈতনিক কাউন্সিল</v>
      </c>
    </row>
    <row r="996">
      <c r="A996" s="2" t="s">
        <v>1115</v>
      </c>
      <c r="B996" s="3" t="str">
        <f>IFERROR(__xludf.DUMMYFUNCTION("GOOGLETRANSLATE(A996, ""ar"", ""bn"")"),"অবৈতনিক সদস্য")</f>
        <v>অবৈতনিক সদস্য</v>
      </c>
    </row>
    <row r="997">
      <c r="A997" s="2" t="s">
        <v>1116</v>
      </c>
      <c r="B997" s="3" t="str">
        <f>IFERROR(__xludf.DUMMYFUNCTION("GOOGLETRANSLATE(A997, ""ar"", ""bn"")"),"শরাফ মিশন")</f>
        <v>শরাফ মিশন</v>
      </c>
    </row>
    <row r="998">
      <c r="A998" s="2" t="s">
        <v>1117</v>
      </c>
      <c r="B998" s="3" t="str">
        <f>IFERROR(__xludf.DUMMYFUNCTION("GOOGLETRANSLATE(A998, ""ar"", ""bn"")"),"সম্মানের অবস্থানে")</f>
        <v>সম্মানের অবস্থানে</v>
      </c>
    </row>
    <row r="999">
      <c r="A999" s="2" t="s">
        <v>1118</v>
      </c>
      <c r="B999" s="3" t="str">
        <f>IFERROR(__xludf.DUMMYFUNCTION("GOOGLETRANSLATE(A999, ""ar"", ""bn"")"),"এইচ সামরিক ধর্ম ম্রো আহ")</f>
        <v>এইচ সামরিক ধর্ম ম্রো আহ</v>
      </c>
    </row>
    <row r="1000">
      <c r="A1000" s="2" t="s">
        <v>1119</v>
      </c>
      <c r="B1000" s="3" t="str">
        <f>IFERROR(__xludf.DUMMYFUNCTION("GOOGLETRANSLATE(A1000, ""ar"", ""bn"")"),"দেশ Almamadev")</f>
        <v>দেশ Almamadev</v>
      </c>
    </row>
    <row r="1001">
      <c r="A1001" s="2" t="s">
        <v>1120</v>
      </c>
      <c r="B1001" s="3" t="str">
        <f>IFERROR(__xludf.DUMMYFUNCTION("GOOGLETRANSLATE(A1001, ""ar"", ""bn"")"),"বন্দীদের")</f>
        <v>বন্দীদের</v>
      </c>
    </row>
    <row r="1002">
      <c r="A1002" s="2" t="s">
        <v>1121</v>
      </c>
      <c r="B1002" s="3" t="str">
        <f>IFERROR(__xludf.DUMMYFUNCTION("GOOGLETRANSLATE(A1002, ""ar"", ""bn"")"),"ভ্রমণ আক্রমনাত্মক")</f>
        <v>ভ্রমণ আক্রমনাত্মক</v>
      </c>
    </row>
    <row r="1003">
      <c r="A1003" s="2" t="s">
        <v>1122</v>
      </c>
      <c r="B1003" s="3" t="str">
        <f>IFERROR(__xludf.DUMMYFUNCTION("GOOGLETRANSLATE(A1003, ""ar"", ""bn"")"),"এম প্রতিকূল বিক্ষোভের")</f>
        <v>এম প্রতিকূল বিক্ষোভের</v>
      </c>
    </row>
    <row r="1004">
      <c r="A1004" s="2" t="s">
        <v>1123</v>
      </c>
      <c r="B1004" s="3" t="str">
        <f>IFERROR(__xludf.DUMMYFUNCTION("GOOGLETRANSLATE(A1004, ""ar"", ""bn"")"),"বৈরী পার্টি")</f>
        <v>বৈরী পার্টি</v>
      </c>
    </row>
    <row r="1005">
      <c r="A1005" s="2" t="s">
        <v>1124</v>
      </c>
      <c r="B1005" s="3" t="str">
        <f>IFERROR(__xludf.DUMMYFUNCTION("GOOGLETRANSLATE(A1005, ""ar"", ""bn"")"),"প্রতিকূল রাজনৈতিক")</f>
        <v>প্রতিকূল রাজনৈতিক</v>
      </c>
    </row>
    <row r="1006">
      <c r="A1006" s="2" t="s">
        <v>1125</v>
      </c>
      <c r="B1006" s="3" t="str">
        <f>IFERROR(__xludf.DUMMYFUNCTION("GOOGLETRANSLATE(A1006, ""ar"", ""bn"")"),"মানব বধ")</f>
        <v>মানব বধ</v>
      </c>
    </row>
    <row r="1007">
      <c r="A1007" s="2" t="s">
        <v>1126</v>
      </c>
      <c r="B1007" s="3" t="str">
        <f>IFERROR(__xludf.DUMMYFUNCTION("GOOGLETRANSLATE(A1007, ""ar"", ""bn"")"),"মানুষের জনতার")</f>
        <v>মানুষের জনতার</v>
      </c>
    </row>
    <row r="1008">
      <c r="A1008" s="2" t="s">
        <v>1127</v>
      </c>
      <c r="B1008" s="3" t="str">
        <f>IFERROR(__xludf.DUMMYFUNCTION("GOOGLETRANSLATE(A1008, ""ar"", ""bn"")"),"যুক্তরাষ্ট্র মধ্যে মানুষের সম্পর্ক")</f>
        <v>যুক্তরাষ্ট্র মধ্যে মানুষের সম্পর্ক</v>
      </c>
    </row>
    <row r="1009">
      <c r="A1009" s="2" t="s">
        <v>1128</v>
      </c>
      <c r="B1009" s="3" t="str">
        <f>IFERROR(__xludf.DUMMYFUNCTION("GOOGLETRANSLATE(A1009, ""ar"", ""bn"")"),"মানবাধিকার")</f>
        <v>মানবাধিকার</v>
      </c>
    </row>
    <row r="1010">
      <c r="A1010" s="2" t="s">
        <v>1129</v>
      </c>
      <c r="B1010" s="3" t="str">
        <f>IFERROR(__xludf.DUMMYFUNCTION("GOOGLETRANSLATE(A1010, ""ar"", ""bn"")"),"মানবাধিকার কমিশন")</f>
        <v>মানবাধিকার কমিশন</v>
      </c>
    </row>
    <row r="1011">
      <c r="A1011" s="2" t="s">
        <v>1130</v>
      </c>
      <c r="B1011" s="3" t="str">
        <f>IFERROR(__xludf.DUMMYFUNCTION("GOOGLETRANSLATE(A1011, ""ar"", ""bn"")"),"প্রতিবাদকারী হিউম্যান তরঙ্গ")</f>
        <v>প্রতিবাদকারী হিউম্যান তরঙ্গ</v>
      </c>
    </row>
    <row r="1012">
      <c r="A1012" s="2" t="s">
        <v>1131</v>
      </c>
      <c r="B1012" s="3" t="str">
        <f>IFERROR(__xludf.DUMMYFUNCTION("GOOGLETRANSLATE(A1012, ""ar"", ""bn"")"),"মানবিক সাহায্যের")</f>
        <v>মানবিক সাহায্যের</v>
      </c>
    </row>
    <row r="1013">
      <c r="A1013" s="2" t="s">
        <v>1132</v>
      </c>
      <c r="B1013" s="3" t="str">
        <f>IFERROR(__xludf.DUMMYFUNCTION("GOOGLETRANSLATE(A1013, ""ar"", ""bn"")"),"এম মানবিক সমন্বয়কারী জিনিষ")</f>
        <v>এম মানবিক সমন্বয়কারী জিনিষ</v>
      </c>
    </row>
    <row r="1014">
      <c r="A1014" s="2" t="s">
        <v>1133</v>
      </c>
      <c r="B1014" s="3" t="str">
        <f>IFERROR(__xludf.DUMMYFUNCTION("GOOGLETRANSLATE(A1014, ""ar"", ""bn"")"),"মানুষের পালনের মনিটর")</f>
        <v>মানুষের পালনের মনিটর</v>
      </c>
    </row>
    <row r="1015">
      <c r="A1015" s="2" t="s">
        <v>1134</v>
      </c>
      <c r="B1015" s="3" t="str">
        <f>IFERROR(__xludf.DUMMYFUNCTION("GOOGLETRANSLATE(A1015, ""ar"", ""bn"")"),"মানব জাতি")</f>
        <v>মানব জাতি</v>
      </c>
    </row>
    <row r="1016">
      <c r="A1016" s="2" t="s">
        <v>1135</v>
      </c>
      <c r="B1016" s="3" t="str">
        <f>IFERROR(__xludf.DUMMYFUNCTION("GOOGLETRANSLATE(A1016, ""ar"", ""bn"")"),"বন্দীদের মানবিক অবস্থা")</f>
        <v>বন্দীদের মানবিক অবস্থা</v>
      </c>
    </row>
    <row r="1017">
      <c r="A1017" s="2" t="s">
        <v>1136</v>
      </c>
      <c r="B1017" s="3" t="str">
        <f>IFERROR(__xludf.DUMMYFUNCTION("GOOGLETRANSLATE(A1017, ""ar"", ""bn"")"),"বন্দীদের টি ডান")</f>
        <v>বন্দীদের টি ডান</v>
      </c>
    </row>
    <row r="1018">
      <c r="A1018" s="2" t="s">
        <v>1137</v>
      </c>
      <c r="B1018" s="3" t="str">
        <f>IFERROR(__xludf.DUMMYFUNCTION("GOOGLETRANSLATE(A1018, ""ar"", ""bn"")"),"প্রতিসম কূটনৈতিক চুক্তি")</f>
        <v>প্রতিসম কূটনৈতিক চুক্তি</v>
      </c>
    </row>
    <row r="1019">
      <c r="A1019" s="2" t="s">
        <v>1138</v>
      </c>
      <c r="B1019" s="3" t="str">
        <f>IFERROR(__xludf.DUMMYFUNCTION("GOOGLETRANSLATE(A1019, ""ar"", ""bn"")"),"একটি মতাদর্শগত সেনা")</f>
        <v>একটি মতাদর্শগত সেনা</v>
      </c>
    </row>
    <row r="1020">
      <c r="A1020" s="2" t="s">
        <v>1139</v>
      </c>
      <c r="B1020" s="3" t="str">
        <f>IFERROR(__xludf.DUMMYFUNCTION("GOOGLETRANSLATE(A1020, ""ar"", ""bn"")"),"এন মতাদর্শগত বিতরণ")</f>
        <v>এন মতাদর্শগত বিতরণ</v>
      </c>
    </row>
    <row r="1021">
      <c r="A1021" s="2" t="s">
        <v>1140</v>
      </c>
      <c r="B1021" s="3" t="str">
        <f>IFERROR(__xludf.DUMMYFUNCTION("GOOGLETRANSLATE(A1021, ""ar"", ""bn"")"),"নীতি বা মতবাদ")</f>
        <v>নীতি বা মতবাদ</v>
      </c>
    </row>
    <row r="1022">
      <c r="A1022" s="2" t="s">
        <v>1141</v>
      </c>
      <c r="B1022" s="3" t="str">
        <f>IFERROR(__xludf.DUMMYFUNCTION("GOOGLETRANSLATE(A1022, ""ar"", ""bn"")"),"অবৈধ অভিবাসন")</f>
        <v>অবৈধ অভিবাসন</v>
      </c>
    </row>
    <row r="1023">
      <c r="A1023" s="2" t="s">
        <v>1142</v>
      </c>
      <c r="B1023" s="3" t="str">
        <f>IFERROR(__xludf.DUMMYFUNCTION("GOOGLETRANSLATE(A1023, ""ar"", ""bn"")"),"ওয়ার বেআইনি")</f>
        <v>ওয়ার বেআইনি</v>
      </c>
    </row>
    <row r="1024">
      <c r="A1024" s="2" t="s">
        <v>1143</v>
      </c>
      <c r="B1024" s="3" t="str">
        <f>IFERROR(__xludf.DUMMYFUNCTION("GOOGLETRANSLATE(A1024, ""ar"", ""bn"")"),"তাৎক্ষণিক যুদ্ধবিরতি")</f>
        <v>তাৎক্ষণিক যুদ্ধবিরতি</v>
      </c>
    </row>
    <row r="1025">
      <c r="A1025" s="2" t="s">
        <v>1144</v>
      </c>
      <c r="B1025" s="3" t="str">
        <f>IFERROR(__xludf.DUMMYFUNCTION("GOOGLETRANSLATE(A1025, ""ar"", ""bn"")"),"স্বাধীনতা")</f>
        <v>স্বাধীনতা</v>
      </c>
    </row>
    <row r="1026">
      <c r="A1026" s="2" t="s">
        <v>1145</v>
      </c>
      <c r="B1026" s="3" t="str">
        <f>IFERROR(__xludf.DUMMYFUNCTION("GOOGLETRANSLATE(A1026, ""ar"", ""bn"")"),"কমিশন কূটনীতি গাজা মুছে দেওয়ার")</f>
        <v>কমিশন কূটনীতি গাজা মুছে দেওয়ার</v>
      </c>
    </row>
    <row r="1027">
      <c r="A1027" s="2" t="s">
        <v>1146</v>
      </c>
      <c r="B1027" s="3" t="str">
        <f>IFERROR(__xludf.DUMMYFUNCTION("GOOGLETRANSLATE(A1027, ""ar"", ""bn"")"),"অ পক্ষপাত মতামত")</f>
        <v>অ পক্ষপাত মতামত</v>
      </c>
    </row>
    <row r="1028">
      <c r="A1028" s="2" t="s">
        <v>1147</v>
      </c>
      <c r="B1028" s="3" t="str">
        <f>IFERROR(__xludf.DUMMYFUNCTION("GOOGLETRANSLATE(A1028, ""ar"", ""bn"")"),"ঔপনিবেশিক সুলভ আচরণ")</f>
        <v>ঔপনিবেশিক সুলভ আচরণ</v>
      </c>
    </row>
    <row r="1029">
      <c r="A1029" s="2" t="s">
        <v>1148</v>
      </c>
      <c r="B1029" s="3" t="str">
        <f>IFERROR(__xludf.DUMMYFUNCTION("GOOGLETRANSLATE(A1029, ""ar"", ""bn"")"),"এম ঔপনিবেশিক")</f>
        <v>এম ঔপনিবেশিক</v>
      </c>
    </row>
    <row r="1030">
      <c r="A1030" s="2" t="s">
        <v>1149</v>
      </c>
      <c r="B1030" s="3" t="str">
        <f>IFERROR(__xludf.DUMMYFUNCTION("GOOGLETRANSLATE(A1030, ""ar"", ""bn"")"),"ঔপনিবেশিক আধিপত্য")</f>
        <v>ঔপনিবেশিক আধিপত্য</v>
      </c>
    </row>
    <row r="1031">
      <c r="A1031" s="2" t="s">
        <v>1150</v>
      </c>
      <c r="B1031" s="3" t="str">
        <f>IFERROR(__xludf.DUMMYFUNCTION("GOOGLETRANSLATE(A1031, ""ar"", ""bn"")"),"ঔপনিবেশিক সম্প্রসারণ")</f>
        <v>ঔপনিবেশিক সম্প্রসারণ</v>
      </c>
    </row>
    <row r="1032">
      <c r="A1032" s="2" t="s">
        <v>1151</v>
      </c>
      <c r="B1032" s="3" t="str">
        <f>IFERROR(__xludf.DUMMYFUNCTION("GOOGLETRANSLATE(A1032, ""ar"", ""bn"")"),"পি Kulaih ঔপনিবেশিক")</f>
        <v>পি Kulaih ঔপনিবেশিক</v>
      </c>
    </row>
    <row r="1033">
      <c r="A1033" s="2" t="s">
        <v>1152</v>
      </c>
      <c r="B1033" s="3" t="str">
        <f>IFERROR(__xludf.DUMMYFUNCTION("GOOGLETRANSLATE(A1033, ""ar"", ""bn"")"),"এন বিতরণ ঔপনিবেশিক")</f>
        <v>এন বিতরণ ঔপনিবেশিক</v>
      </c>
    </row>
    <row r="1034">
      <c r="A1034" s="2" t="s">
        <v>1153</v>
      </c>
      <c r="B1034" s="3" t="str">
        <f>IFERROR(__xludf.DUMMYFUNCTION("GOOGLETRANSLATE(A1034, ""ar"", ""bn"")"),"ফরেন পলিসি বাস্তবায়নের")</f>
        <v>ফরেন পলিসি বাস্তবায়নের</v>
      </c>
    </row>
    <row r="1035">
      <c r="A1035" s="2" t="s">
        <v>1154</v>
      </c>
      <c r="B1035" s="3" t="str">
        <f>IFERROR(__xludf.DUMMYFUNCTION("GOOGLETRANSLATE(A1035, ""ar"", ""bn"")"),"উহ্য কর্তৃপক্ষ")</f>
        <v>উহ্য কর্তৃপক্ষ</v>
      </c>
    </row>
    <row r="1036">
      <c r="A1036" s="2" t="s">
        <v>1155</v>
      </c>
      <c r="B1036" s="3" t="str">
        <f>IFERROR(__xludf.DUMMYFUNCTION("GOOGLETRANSLATE(A1036, ""ar"", ""bn"")"),"রাজনৈতিক দায়িত্ব আরোপ")</f>
        <v>রাজনৈতিক দায়িত্ব আরোপ</v>
      </c>
    </row>
    <row r="1037">
      <c r="A1037" s="2" t="s">
        <v>1156</v>
      </c>
      <c r="B1037" s="3" t="str">
        <f>IFERROR(__xludf.DUMMYFUNCTION("GOOGLETRANSLATE(A1037, ""ar"", ""bn"")"),"রাজনৈতিক ক্ষমতা আরোপ")</f>
        <v>রাজনৈতিক ক্ষমতা আরোপ</v>
      </c>
    </row>
    <row r="1038">
      <c r="A1038" s="2" t="s">
        <v>1157</v>
      </c>
      <c r="B1038" s="3" t="str">
        <f>IFERROR(__xludf.DUMMYFUNCTION("GOOGLETRANSLATE(A1038, ""ar"", ""bn"")"),"কর্তৃপক্ষ আরোপ")</f>
        <v>কর্তৃপক্ষ আরোপ</v>
      </c>
    </row>
    <row r="1039">
      <c r="A1039" s="2" t="s">
        <v>1158</v>
      </c>
      <c r="B1039" s="3" t="str">
        <f>IFERROR(__xludf.DUMMYFUNCTION("GOOGLETRANSLATE(A1039, ""ar"", ""bn"")"),"বাধ্যবাধকতা আরোপ")</f>
        <v>বাধ্যবাধকতা আরোপ</v>
      </c>
    </row>
    <row r="1040">
      <c r="A1040" s="2" t="s">
        <v>1159</v>
      </c>
      <c r="B1040" s="3" t="str">
        <f>IFERROR(__xludf.DUMMYFUNCTION("GOOGLETRANSLATE(A1040, ""ar"", ""bn"")"),"দেশ")</f>
        <v>দেশ</v>
      </c>
    </row>
    <row r="1041">
      <c r="A1041" s="2" t="s">
        <v>1160</v>
      </c>
      <c r="B1041" s="3" t="str">
        <f>IFERROR(__xludf.DUMMYFUNCTION("GOOGLETRANSLATE(A1041, ""ar"", ""bn"")"),"আবশ্যিক বিধিনিষেধ")</f>
        <v>আবশ্যিক বিধিনিষেধ</v>
      </c>
    </row>
    <row r="1042">
      <c r="A1042" s="2" t="s">
        <v>1161</v>
      </c>
      <c r="B1042" s="3" t="str">
        <f>IFERROR(__xludf.DUMMYFUNCTION("GOOGLETRANSLATE(A1042, ""ar"", ""bn"")"),"কূটনৈতিক এক্সপ্রেশন অশালীন")</f>
        <v>কূটনৈতিক এক্সপ্রেশন অশালীন</v>
      </c>
    </row>
    <row r="1043">
      <c r="A1043" s="2" t="s">
        <v>1162</v>
      </c>
      <c r="B1043" s="3" t="str">
        <f>IFERROR(__xludf.DUMMYFUNCTION("GOOGLETRANSLATE(A1043, ""ar"", ""bn"")"),"প্রচলন")</f>
        <v>প্রচলন</v>
      </c>
    </row>
    <row r="1044">
      <c r="A1044" s="2" t="s">
        <v>1163</v>
      </c>
      <c r="B1044" s="3" t="str">
        <f>IFERROR(__xludf.DUMMYFUNCTION("GOOGLETRANSLATE(A1044, ""ar"", ""bn"")"),"উদ্বোধনী অনুষ্ঠানে")</f>
        <v>উদ্বোধনী অনুষ্ঠানে</v>
      </c>
    </row>
    <row r="1045">
      <c r="A1045" s="2" t="s">
        <v>1164</v>
      </c>
      <c r="B1045" s="3" t="str">
        <f>IFERROR(__xludf.DUMMYFUNCTION("GOOGLETRANSLATE(A1045, ""ar"", ""bn"")"),"উদ্বোধনী বক্তব্যে")</f>
        <v>উদ্বোধনী বক্তব্যে</v>
      </c>
    </row>
    <row r="1046">
      <c r="A1046" s="2" t="s">
        <v>1165</v>
      </c>
      <c r="B1046" s="3" t="str">
        <f>IFERROR(__xludf.DUMMYFUNCTION("GOOGLETRANSLATE(A1046, ""ar"", ""bn"")"),"সিস্টেমের একটি ভঙ্গ জেড Amahr")</f>
        <v>সিস্টেমের একটি ভঙ্গ জেড Amahr</v>
      </c>
    </row>
    <row r="1047">
      <c r="A1047" s="2" t="s">
        <v>1166</v>
      </c>
      <c r="B1047" s="3" t="str">
        <f>IFERROR(__xludf.DUMMYFUNCTION("GOOGLETRANSLATE(A1047, ""ar"", ""bn"")"),"Amahr জেড যুদ্ধ")</f>
        <v>Amahr জেড যুদ্ধ</v>
      </c>
    </row>
    <row r="1048">
      <c r="A1048" s="2" t="s">
        <v>1167</v>
      </c>
      <c r="B1048" s="3" t="str">
        <f>IFERROR(__xludf.DUMMYFUNCTION("GOOGLETRANSLATE(A1048, ""ar"", ""bn"")"),"স্বাধীনতা")</f>
        <v>স্বাধীনতা</v>
      </c>
    </row>
    <row r="1049">
      <c r="A1049" s="2" t="s">
        <v>1168</v>
      </c>
      <c r="B1049" s="3" t="str">
        <f>IFERROR(__xludf.DUMMYFUNCTION("GOOGLETRANSLATE(A1049, ""ar"", ""bn"")"),"স্বাধীন শহর")</f>
        <v>স্বাধীন শহর</v>
      </c>
    </row>
    <row r="1050">
      <c r="A1050" s="2" t="s">
        <v>1169</v>
      </c>
      <c r="B1050" s="3" t="str">
        <f>IFERROR(__xludf.DUMMYFUNCTION("GOOGLETRANSLATE(A1050, ""ar"", ""bn"")"),"ট্রিবিউন প্রেস")</f>
        <v>ট্রিবিউন প্রেস</v>
      </c>
    </row>
    <row r="1051">
      <c r="A1051" s="2" t="s">
        <v>1170</v>
      </c>
      <c r="B1051" s="3" t="str">
        <f>IFERROR(__xludf.DUMMYFUNCTION("GOOGLETRANSLATE(A1051, ""ar"", ""bn"")"),"স্বাধীন দেশ")</f>
        <v>স্বাধীন দেশ</v>
      </c>
    </row>
    <row r="1052">
      <c r="A1052" s="2" t="s">
        <v>1171</v>
      </c>
      <c r="B1052" s="3" t="str">
        <f>IFERROR(__xludf.DUMMYFUNCTION("GOOGLETRANSLATE(A1052, ""ar"", ""bn"")"),"জন অসন্তোষ")</f>
        <v>জন অসন্তোষ</v>
      </c>
    </row>
    <row r="1053">
      <c r="A1053" s="2" t="s">
        <v>1172</v>
      </c>
      <c r="B1053" s="3" t="str">
        <f>IFERROR(__xludf.DUMMYFUNCTION("GOOGLETRANSLATE(A1053, ""ar"", ""bn"")"),"পৃথক তথ্য স্বাধীনতা")</f>
        <v>পৃথক তথ্য স্বাধীনতা</v>
      </c>
    </row>
    <row r="1054">
      <c r="A1054" s="2" t="s">
        <v>1173</v>
      </c>
      <c r="B1054" s="3" t="str">
        <f>IFERROR(__xludf.DUMMYFUNCTION("GOOGLETRANSLATE(A1054, ""ar"", ""bn"")"),"বেলিফের অধিকারভুক্ত এলাকা")</f>
        <v>বেলিফের অধিকারভুক্ত এলাকা</v>
      </c>
    </row>
    <row r="1055">
      <c r="A1055" s="2" t="s">
        <v>1174</v>
      </c>
      <c r="B1055" s="3" t="str">
        <f>IFERROR(__xludf.DUMMYFUNCTION("GOOGLETRANSLATE(A1055, ""ar"", ""bn"")"),"অনানুষ্ঠানিক বৈঠক")</f>
        <v>অনানুষ্ঠানিক বৈঠক</v>
      </c>
    </row>
    <row r="1056">
      <c r="A1056" s="2" t="s">
        <v>1175</v>
      </c>
      <c r="B1056" s="3" t="str">
        <f>IFERROR(__xludf.DUMMYFUNCTION("GOOGLETRANSLATE(A1056, ""ar"", ""bn"")"),"ওয়াকিবহাল চেনাশোনা")</f>
        <v>ওয়াকিবহাল চেনাশোনা</v>
      </c>
    </row>
    <row r="1057">
      <c r="A1057" s="2" t="s">
        <v>1176</v>
      </c>
      <c r="B1057" s="3" t="str">
        <f>IFERROR(__xludf.DUMMYFUNCTION("GOOGLETRANSLATE(A1057, ""ar"", ""bn"")"),"প্রত্যাহার করা চুক্তির")</f>
        <v>প্রত্যাহার করা চুক্তির</v>
      </c>
    </row>
    <row r="1058">
      <c r="A1058" s="2" t="s">
        <v>1177</v>
      </c>
      <c r="B1058" s="3" t="str">
        <f>IFERROR(__xludf.DUMMYFUNCTION("GOOGLETRANSLATE(A1058, ""ar"", ""bn"")"),"নিরপেক্ষতার শর্তাবলী লঙ্ঘন করে")</f>
        <v>নিরপেক্ষতার শর্তাবলী লঙ্ঘন করে</v>
      </c>
    </row>
    <row r="1059">
      <c r="A1059" s="2" t="s">
        <v>1178</v>
      </c>
      <c r="B1059" s="3" t="str">
        <f>IFERROR(__xludf.DUMMYFUNCTION("GOOGLETRANSLATE(A1059, ""ar"", ""bn"")"),"জে পবিত্রতা লঙ্ঘন")</f>
        <v>জে পবিত্রতা লঙ্ঘন</v>
      </c>
    </row>
    <row r="1060">
      <c r="A1060" s="2" t="s">
        <v>1179</v>
      </c>
      <c r="B1060" s="3" t="str">
        <f>IFERROR(__xludf.DUMMYFUNCTION("GOOGLETRANSLATE(A1060, ""ar"", ""bn"")"),"Imkhalv সিস্টেম")</f>
        <v>Imkhalv সিস্টেম</v>
      </c>
    </row>
    <row r="1061">
      <c r="A1061" s="2" t="s">
        <v>1180</v>
      </c>
      <c r="B1061" s="3" t="str">
        <f>IFERROR(__xludf.DUMMYFUNCTION("GOOGLETRANSLATE(A1061, ""ar"", ""bn"")"),"চুক্তি অভিশাপ")</f>
        <v>চুক্তি অভিশাপ</v>
      </c>
    </row>
    <row r="1062">
      <c r="A1062" s="2" t="s">
        <v>1181</v>
      </c>
      <c r="B1062" s="3" t="str">
        <f>IFERROR(__xludf.DUMMYFUNCTION("GOOGLETRANSLATE(A1062, ""ar"", ""bn"")"),"জি আই মানুষের বন্দীদের চিকিত্সা")</f>
        <v>জি আই মানুষের বন্দীদের চিকিত্সা</v>
      </c>
    </row>
    <row r="1063">
      <c r="A1063" s="2" t="s">
        <v>229</v>
      </c>
      <c r="B1063" s="3" t="str">
        <f>IFERROR(__xludf.DUMMYFUNCTION("GOOGLETRANSLATE(A1063, ""ar"", ""bn"")"),"রাজনীতিবিদরা")</f>
        <v>রাজনীতিবিদরা</v>
      </c>
    </row>
    <row r="1064">
      <c r="A1064" s="2" t="s">
        <v>1182</v>
      </c>
      <c r="B1064" s="3" t="str">
        <f>IFERROR(__xludf.DUMMYFUNCTION("GOOGLETRANSLATE(A1064, ""ar"", ""bn"")"),"এম শান্তি উদ্যোগ")</f>
        <v>এম শান্তি উদ্যোগ</v>
      </c>
    </row>
    <row r="1065">
      <c r="A1065" s="2" t="s">
        <v>1183</v>
      </c>
      <c r="B1065" s="3" t="str">
        <f>IFERROR(__xludf.DUMMYFUNCTION("GOOGLETRANSLATE(A1065, ""ar"", ""bn"")"),"রাজনৈতিক ঘটনা ইন্টিগ্রেশন")</f>
        <v>রাজনৈতিক ঘটনা ইন্টিগ্রেশন</v>
      </c>
    </row>
    <row r="1066">
      <c r="A1066" s="2" t="s">
        <v>1184</v>
      </c>
      <c r="B1066" s="3" t="str">
        <f>IFERROR(__xludf.DUMMYFUNCTION("GOOGLETRANSLATE(A1066, ""ar"", ""bn"")"),"রাজনৈতিক সম্প্রদায়ের ইন্টিগ্রেশন")</f>
        <v>রাজনৈতিক সম্প্রদায়ের ইন্টিগ্রেশন</v>
      </c>
    </row>
    <row r="1067">
      <c r="A1067" s="2" t="s">
        <v>1185</v>
      </c>
      <c r="B1067" s="3" t="str">
        <f>IFERROR(__xludf.DUMMYFUNCTION("GOOGLETRANSLATE(A1067, ""ar"", ""bn"")"),"গোয়েন্দা বিভাগের")</f>
        <v>গোয়েন্দা বিভাগের</v>
      </c>
    </row>
    <row r="1068">
      <c r="A1068" s="2" t="s">
        <v>1186</v>
      </c>
      <c r="B1068" s="3" t="str">
        <f>IFERROR(__xludf.DUMMYFUNCTION("GOOGLETRANSLATE(A1068, ""ar"", ""bn"")"),"সিক্রেট নিরাপত্তা বাহিনীকে")</f>
        <v>সিক্রেট নিরাপত্তা বাহিনীকে</v>
      </c>
    </row>
    <row r="1069">
      <c r="A1069" s="2" t="s">
        <v>1187</v>
      </c>
      <c r="B1069" s="3" t="str">
        <f>IFERROR(__xludf.DUMMYFUNCTION("GOOGLETRANSLATE(A1069, ""ar"", ""bn"")"),"বুদ্ধিমত্তা")</f>
        <v>বুদ্ধিমত্তা</v>
      </c>
    </row>
    <row r="1070">
      <c r="A1070" s="2" t="s">
        <v>1188</v>
      </c>
      <c r="B1070" s="3" t="str">
        <f>IFERROR(__xludf.DUMMYFUNCTION("GOOGLETRANSLATE(A1070, ""ar"", ""bn"")"),"এম নিবিড় আলোচনার")</f>
        <v>এম নিবিড় আলোচনার</v>
      </c>
    </row>
    <row r="1071">
      <c r="A1071" s="2" t="s">
        <v>1189</v>
      </c>
      <c r="B1071" s="3" t="str">
        <f>IFERROR(__xludf.DUMMYFUNCTION("GOOGLETRANSLATE(A1071, ""ar"", ""bn"")"),"মানুষের মধ্যে যোগাযোগ")</f>
        <v>মানুষের মধ্যে যোগাযোগ</v>
      </c>
    </row>
    <row r="1072">
      <c r="A1072" s="2" t="s">
        <v>1190</v>
      </c>
      <c r="B1072" s="3" t="str">
        <f>IFERROR(__xludf.DUMMYFUNCTION("GOOGLETRANSLATE(A1072, ""ar"", ""bn"")"),"কৌশলগত সঙ্গতি")</f>
        <v>কৌশলগত সঙ্গতি</v>
      </c>
    </row>
    <row r="1073">
      <c r="A1073" s="2" t="s">
        <v>1191</v>
      </c>
      <c r="B1073" s="3" t="str">
        <f>IFERROR(__xludf.DUMMYFUNCTION("GOOGLETRANSLATE(A1073, ""ar"", ""bn"")"),"যুগ্ম সম্মেলন")</f>
        <v>যুগ্ম সম্মেলন</v>
      </c>
    </row>
    <row r="1074">
      <c r="A1074" s="2" t="s">
        <v>1192</v>
      </c>
      <c r="B1074" s="3" t="str">
        <f>IFERROR(__xludf.DUMMYFUNCTION("GOOGLETRANSLATE(A1074, ""ar"", ""bn"")"),"সরকার")</f>
        <v>সরকার</v>
      </c>
    </row>
    <row r="1075">
      <c r="A1075" s="2" t="s">
        <v>1193</v>
      </c>
      <c r="B1075" s="3" t="str">
        <f>IFERROR(__xludf.DUMMYFUNCTION("GOOGLETRANSLATE(A1075, ""ar"", ""bn"")"),"এম প্রাথমিক আলোচনা")</f>
        <v>এম প্রাথমিক আলোচনা</v>
      </c>
    </row>
    <row r="1076">
      <c r="A1076" s="2" t="s">
        <v>1194</v>
      </c>
      <c r="B1076" s="3" t="str">
        <f>IFERROR(__xludf.DUMMYFUNCTION("GOOGLETRANSLATE(A1076, ""ar"", ""bn"")"),"অভ্যন্তরীণ নির্দেশনা")</f>
        <v>অভ্যন্তরীণ নির্দেশনা</v>
      </c>
    </row>
    <row r="1077">
      <c r="A1077" s="2" t="s">
        <v>1195</v>
      </c>
      <c r="B1077" s="3" t="str">
        <f>IFERROR(__xludf.DUMMYFUNCTION("GOOGLETRANSLATE(A1077, ""ar"", ""bn"")"),"অভ্যন্তরীণ সার্বভৌমত্বের")</f>
        <v>অভ্যন্তরীণ সার্বভৌমত্বের</v>
      </c>
    </row>
    <row r="1078">
      <c r="A1078" s="2" t="s">
        <v>1196</v>
      </c>
      <c r="B1078" s="3" t="str">
        <f>IFERROR(__xludf.DUMMYFUNCTION("GOOGLETRANSLATE(A1078, ""ar"", ""bn"")"),"বিচারপতি সুপ্রিম আন্তর্জাতিক আদালত")</f>
        <v>বিচারপতি সুপ্রিম আন্তর্জাতিক আদালত</v>
      </c>
    </row>
    <row r="1079">
      <c r="A1079" s="2" t="s">
        <v>1197</v>
      </c>
      <c r="B1079" s="3" t="str">
        <f>IFERROR(__xludf.DUMMYFUNCTION("GOOGLETRANSLATE(A1079, ""ar"", ""bn"")"),"আন্তর্জাতিক বিষয়াবলি")</f>
        <v>আন্তর্জাতিক বিষয়াবলি</v>
      </c>
    </row>
    <row r="1080">
      <c r="A1080" s="2" t="s">
        <v>1198</v>
      </c>
      <c r="B1080" s="3" t="str">
        <f>IFERROR(__xludf.DUMMYFUNCTION("GOOGLETRANSLATE(A1080, ""ar"", ""bn"")"),"আন্তর্জাতিক ত্রাণ বাহিনীর")</f>
        <v>আন্তর্জাতিক ত্রাণ বাহিনীর</v>
      </c>
    </row>
    <row r="1081">
      <c r="A1081" s="2" t="s">
        <v>1199</v>
      </c>
      <c r="B1081" s="3" t="str">
        <f>IFERROR(__xludf.DUMMYFUNCTION("GOOGLETRANSLATE(A1081, ""ar"", ""bn"")"),"ত্রাণ ইন্টারন্যাশনাল কমিটি")</f>
        <v>ত্রাণ ইন্টারন্যাশনাল কমিটি</v>
      </c>
    </row>
    <row r="1082">
      <c r="A1082" s="2" t="s">
        <v>1200</v>
      </c>
      <c r="B1082" s="3" t="str">
        <f>IFERROR(__xludf.DUMMYFUNCTION("GOOGLETRANSLATE(A1082, ""ar"", ""bn"")"),"এ্যামনেস্টি ইন্টারন্যাশনালের")</f>
        <v>এ্যামনেস্টি ইন্টারন্যাশনালের</v>
      </c>
    </row>
    <row r="1083">
      <c r="A1083" s="2" t="s">
        <v>1201</v>
      </c>
      <c r="B1083" s="3" t="str">
        <f>IFERROR(__xludf.DUMMYFUNCTION("GOOGLETRANSLATE(A1083, ""ar"", ""bn"")"),"আন্তর্জাতিক শীতলতা")</f>
        <v>আন্তর্জাতিক শীতলতা</v>
      </c>
    </row>
    <row r="1084">
      <c r="A1084" s="2" t="s">
        <v>1202</v>
      </c>
      <c r="B1084" s="3" t="str">
        <f>IFERROR(__xludf.DUMMYFUNCTION("GOOGLETRANSLATE(A1084, ""ar"", ""bn"")"),"আন্তর্জাতিক জ কিমি")</f>
        <v>আন্তর্জাতিক জ কিমি</v>
      </c>
    </row>
    <row r="1085">
      <c r="A1085" s="2" t="s">
        <v>1203</v>
      </c>
      <c r="B1085" s="3" t="str">
        <f>IFERROR(__xludf.DUMMYFUNCTION("GOOGLETRANSLATE(A1085, ""ar"", ""bn"")"),"আন্তর্জাতিক সালিসি")</f>
        <v>আন্তর্জাতিক সালিসি</v>
      </c>
    </row>
    <row r="1086">
      <c r="A1086" s="2" t="s">
        <v>1204</v>
      </c>
      <c r="B1086" s="3" t="str">
        <f>IFERROR(__xludf.DUMMYFUNCTION("GOOGLETRANSLATE(A1086, ""ar"", ""bn"")"),"আন্তর্জাতিক সালিসি মামলা")</f>
        <v>আন্তর্জাতিক সালিসি মামলা</v>
      </c>
    </row>
    <row r="1087">
      <c r="A1087" s="2" t="s">
        <v>1205</v>
      </c>
      <c r="B1087" s="3" t="str">
        <f>IFERROR(__xludf.DUMMYFUNCTION("GOOGLETRANSLATE(A1087, ""ar"", ""bn"")"),"আন্তর্জাতিক সালিসি আদালতের")</f>
        <v>আন্তর্জাতিক সালিসি আদালতের</v>
      </c>
    </row>
    <row r="1088">
      <c r="A1088" s="2" t="s">
        <v>1206</v>
      </c>
      <c r="B1088" s="3" t="str">
        <f>IFERROR(__xludf.DUMMYFUNCTION("GOOGLETRANSLATE(A1088, ""ar"", ""bn"")"),"আন্তর্জাতিক কর্ম")</f>
        <v>আন্তর্জাতিক কর্ম</v>
      </c>
    </row>
    <row r="1089">
      <c r="A1089" s="2" t="s">
        <v>1207</v>
      </c>
      <c r="B1089" s="3" t="str">
        <f>IFERROR(__xludf.DUMMYFUNCTION("GOOGLETRANSLATE(A1089, ""ar"", ""bn"")"),"ইন্টারন্যাশনাল এনার্জি এজেন্সির পিষিয়া মিহি গুঁড়া ইয়ে")</f>
        <v>ইন্টারন্যাশনাল এনার্জি এজেন্সির পিষিয়া মিহি গুঁড়া ইয়ে</v>
      </c>
    </row>
    <row r="1090">
      <c r="A1090" s="2" t="s">
        <v>1208</v>
      </c>
      <c r="B1090" s="3" t="str">
        <f>IFERROR(__xludf.DUMMYFUNCTION("GOOGLETRANSLATE(A1090, ""ar"", ""bn"")"),"আন্তর্জাতিক আণবিক শক্তি কমিশনের")</f>
        <v>আন্তর্জাতিক আণবিক শক্তি কমিশনের</v>
      </c>
    </row>
    <row r="1091">
      <c r="A1091" s="2" t="s">
        <v>1209</v>
      </c>
      <c r="B1091" s="3" t="str">
        <f>IFERROR(__xludf.DUMMYFUNCTION("GOOGLETRANSLATE(A1091, ""ar"", ""bn"")"),"একটি আন্তর্জাতিক হামলা")</f>
        <v>একটি আন্তর্জাতিক হামলা</v>
      </c>
    </row>
    <row r="1092">
      <c r="A1092" s="2" t="s">
        <v>1210</v>
      </c>
      <c r="B1092" s="3" t="str">
        <f>IFERROR(__xludf.DUMMYFUNCTION("GOOGLETRANSLATE(A1092, ""ar"", ""bn"")"),"আন্তর্জাতিক কেন্দ্র কার্যাবলী")</f>
        <v>আন্তর্জাতিক কেন্দ্র কার্যাবলী</v>
      </c>
    </row>
    <row r="1093">
      <c r="A1093" s="2" t="s">
        <v>1211</v>
      </c>
      <c r="B1093" s="3" t="str">
        <f>IFERROR(__xludf.DUMMYFUNCTION("GOOGLETRANSLATE(A1093, ""ar"", ""bn"")"),"আন্তর্জাতিক সম্প্রদায়")</f>
        <v>আন্তর্জাতিক সম্প্রদায়</v>
      </c>
    </row>
    <row r="1094">
      <c r="A1094" s="2" t="s">
        <v>1212</v>
      </c>
      <c r="B1094" s="3" t="str">
        <f>IFERROR(__xludf.DUMMYFUNCTION("GOOGLETRANSLATE(A1094, ""ar"", ""bn"")"),"আন্তর্জাতিক আদেশ")</f>
        <v>আন্তর্জাতিক আদেশ</v>
      </c>
    </row>
    <row r="1095">
      <c r="A1095" s="2" t="s">
        <v>1213</v>
      </c>
      <c r="B1095" s="3" t="str">
        <f>IFERROR(__xludf.DUMMYFUNCTION("GOOGLETRANSLATE(A1095, ""ar"", ""bn"")"),"আন্তর্জাতিক ঘ অঙ্গীকার")</f>
        <v>আন্তর্জাতিক ঘ অঙ্গীকার</v>
      </c>
    </row>
    <row r="1096">
      <c r="A1096" s="2" t="s">
        <v>1214</v>
      </c>
      <c r="B1096" s="3" t="str">
        <f>IFERROR(__xludf.DUMMYFUNCTION("GOOGLETRANSLATE(A1096, ""ar"", ""bn"")"),"ইন্টারন্যাশনাল কমিশন")</f>
        <v>ইন্টারন্যাশনাল কমিশন</v>
      </c>
    </row>
    <row r="1097">
      <c r="A1097" s="2" t="s">
        <v>1215</v>
      </c>
      <c r="B1097" s="3" t="str">
        <f>IFERROR(__xludf.DUMMYFUNCTION("GOOGLETRANSLATE(A1097, ""ar"", ""bn"")"),"আন্তর্জাতিক সম্প্রদায় বা পরিবারের")</f>
        <v>আন্তর্জাতিক সম্প্রদায় বা পরিবারের</v>
      </c>
    </row>
    <row r="1098">
      <c r="A1098" s="2" t="s">
        <v>579</v>
      </c>
      <c r="B1098" s="3" t="str">
        <f>IFERROR(__xludf.DUMMYFUNCTION("GOOGLETRANSLATE(A1098, ""ar"", ""bn"")"),"আন্তর্জাতিক")</f>
        <v>আন্তর্জাতিক</v>
      </c>
    </row>
    <row r="1099">
      <c r="A1099" s="2" t="s">
        <v>1216</v>
      </c>
      <c r="B1099" s="3" t="str">
        <f>IFERROR(__xludf.DUMMYFUNCTION("GOOGLETRANSLATE(A1099, ""ar"", ""bn"")"),"আমি আন্তর্জাতিক ঘটনা তোর")</f>
        <v>আমি আন্তর্জাতিক ঘটনা তোর</v>
      </c>
    </row>
    <row r="1100">
      <c r="A1100" s="2" t="s">
        <v>468</v>
      </c>
      <c r="B1100" s="3" t="str">
        <f>IFERROR(__xludf.DUMMYFUNCTION("GOOGLETRANSLATE(A1100, ""ar"", ""bn"")"),"রাজনৈতিক")</f>
        <v>রাজনৈতিক</v>
      </c>
    </row>
    <row r="1101">
      <c r="A1101" s="2" t="s">
        <v>1217</v>
      </c>
      <c r="B1101" s="3" t="str">
        <f>IFERROR(__xludf.DUMMYFUNCTION("GOOGLETRANSLATE(A1101, ""ar"", ""bn"")"),"আন্তর্জাতিক উদ্বেগ")</f>
        <v>আন্তর্জাতিক উদ্বেগ</v>
      </c>
    </row>
    <row r="1102">
      <c r="A1102" s="2" t="s">
        <v>1218</v>
      </c>
      <c r="B1102" s="3" t="str">
        <f>IFERROR(__xludf.DUMMYFUNCTION("GOOGLETRANSLATE(A1102, ""ar"", ""bn"")"),"আন্তর্জাতিক ছাড়")</f>
        <v>আন্তর্জাতিক ছাড়</v>
      </c>
    </row>
    <row r="1103">
      <c r="A1103" s="2" t="s">
        <v>1219</v>
      </c>
      <c r="B1103" s="3" t="str">
        <f>IFERROR(__xludf.DUMMYFUNCTION("GOOGLETRANSLATE(A1103, ""ar"", ""bn"")"),"আন্তর্জাতিক নিন্দা")</f>
        <v>আন্তর্জাতিক নিন্দা</v>
      </c>
    </row>
    <row r="1104">
      <c r="A1104" s="2" t="s">
        <v>1220</v>
      </c>
      <c r="B1104" s="3" t="str">
        <f>IFERROR(__xludf.DUMMYFUNCTION("GOOGLETRANSLATE(A1104, ""ar"", ""bn"")"),"আন্তর্জাতিক সম্মেলন")</f>
        <v>আন্তর্জাতিক সম্মেলন</v>
      </c>
    </row>
    <row r="1105">
      <c r="A1105" s="2" t="s">
        <v>1221</v>
      </c>
      <c r="B1105" s="3" t="str">
        <f>IFERROR(__xludf.DUMMYFUNCTION("GOOGLETRANSLATE(A1105, ""ar"", ""bn"")"),"আন্তর্জাতিক দ্বন্দ্ব কারণগুলো")</f>
        <v>আন্তর্জাতিক দ্বন্দ্ব কারণগুলো</v>
      </c>
    </row>
    <row r="1106">
      <c r="A1106" s="2" t="s">
        <v>1222</v>
      </c>
      <c r="B1106" s="3" t="str">
        <f>IFERROR(__xludf.DUMMYFUNCTION("GOOGLETRANSLATE(A1106, ""ar"", ""bn"")"),"আন্তর্জাতিক শান্তি সম্মেলনে")</f>
        <v>আন্তর্জাতিক শান্তি সম্মেলনে</v>
      </c>
    </row>
    <row r="1107">
      <c r="A1107" s="2" t="s">
        <v>1223</v>
      </c>
      <c r="B1107" s="3" t="str">
        <f>IFERROR(__xludf.DUMMYFUNCTION("GOOGLETRANSLATE(A1107, ""ar"", ""bn"")"),"আন্তর্জাতিক শান্তিরক্ষা সম্মেলন")</f>
        <v>আন্তর্জাতিক শান্তিরক্ষা সম্মেলন</v>
      </c>
    </row>
    <row r="1108">
      <c r="A1108" s="2" t="s">
        <v>1224</v>
      </c>
      <c r="B1108" s="3" t="str">
        <f>IFERROR(__xludf.DUMMYFUNCTION("GOOGLETRANSLATE(A1108, ""ar"", ""bn"")"),"ইন্টারন্যাশনাল পিস সাপোর্ট সম্মেলন")</f>
        <v>ইন্টারন্যাশনাল পিস সাপোর্ট সম্মেলন</v>
      </c>
    </row>
    <row r="1109">
      <c r="A1109" s="2" t="s">
        <v>1225</v>
      </c>
      <c r="B1109" s="3" t="str">
        <f>IFERROR(__xludf.DUMMYFUNCTION("GOOGLETRANSLATE(A1109, ""ar"", ""bn"")"),"আন্তর্জাতিক চুক্তির")</f>
        <v>আন্তর্জাতিক চুক্তির</v>
      </c>
    </row>
    <row r="1110">
      <c r="A1110" s="2" t="s">
        <v>1226</v>
      </c>
      <c r="B1110" s="3" t="str">
        <f>IFERROR(__xludf.DUMMYFUNCTION("GOOGLETRANSLATE(A1110, ""ar"", ""bn"")"),"আন্তর্জাতিক সহযোগিতা")</f>
        <v>আন্তর্জাতিক সহযোগিতা</v>
      </c>
    </row>
    <row r="1111">
      <c r="A1111" s="2" t="s">
        <v>1227</v>
      </c>
      <c r="B1111" s="3" t="str">
        <f>IFERROR(__xludf.DUMMYFUNCTION("GOOGLETRANSLATE(A1111, ""ar"", ""bn"")"),"আন্তর্জাতিক দুর্নীতি")</f>
        <v>আন্তর্জাতিক দুর্নীতি</v>
      </c>
    </row>
    <row r="1112">
      <c r="A1112" s="2" t="s">
        <v>1228</v>
      </c>
      <c r="B1112" s="3" t="str">
        <f>IFERROR(__xludf.DUMMYFUNCTION("GOOGLETRANSLATE(A1112, ""ar"", ""bn"")"),"আন্তর্জাতিক আদালত")</f>
        <v>আন্তর্জাতিক আদালত</v>
      </c>
    </row>
    <row r="1113">
      <c r="A1113" s="2" t="s">
        <v>1229</v>
      </c>
      <c r="B1113" s="3" t="str">
        <f>IFERROR(__xludf.DUMMYFUNCTION("GOOGLETRANSLATE(A1113, ""ar"", ""bn"")"),"পুলিশ ইন্টারন্যাশনাল অর্গানাইজেশন")</f>
        <v>পুলিশ ইন্টারন্যাশনাল অর্গানাইজেশন</v>
      </c>
    </row>
    <row r="1114">
      <c r="A1114" s="2" t="s">
        <v>1230</v>
      </c>
      <c r="B1114" s="3" t="str">
        <f>IFERROR(__xludf.DUMMYFUNCTION("GOOGLETRANSLATE(A1114, ""ar"", ""bn"")"),"অপরাধী")</f>
        <v>অপরাধী</v>
      </c>
    </row>
    <row r="1115">
      <c r="A1115" s="2" t="s">
        <v>1231</v>
      </c>
      <c r="B1115" s="3" t="str">
        <f>IFERROR(__xludf.DUMMYFUNCTION("GOOGLETRANSLATE(A1115, ""ar"", ""bn"")"),"আন্তর্জাতিক জ্ঞাত")</f>
        <v>আন্তর্জাতিক জ্ঞাত</v>
      </c>
    </row>
    <row r="1116">
      <c r="A1116" s="2" t="s">
        <v>1232</v>
      </c>
      <c r="B1116" s="3" t="str">
        <f>IFERROR(__xludf.DUMMYFUNCTION("GOOGLETRANSLATE(A1116, ""ar"", ""bn"")"),"আন্তর্জাতিক কূটনীতি প্রতিক্রিয়া")</f>
        <v>আন্তর্জাতিক কূটনীতি প্রতিক্রিয়া</v>
      </c>
    </row>
    <row r="1117">
      <c r="A1117" s="2" t="s">
        <v>1233</v>
      </c>
      <c r="B1117" s="3" t="str">
        <f>IFERROR(__xludf.DUMMYFUNCTION("GOOGLETRANSLATE(A1117, ""ar"", ""bn"")"),"এন আন্তর্জাতিক বিরোধ ক বিতর্ক করে")</f>
        <v>এন আন্তর্জাতিক বিরোধ ক বিতর্ক করে</v>
      </c>
    </row>
    <row r="1118">
      <c r="A1118" s="2" t="s">
        <v>1234</v>
      </c>
      <c r="B1118" s="3" t="str">
        <f>IFERROR(__xludf.DUMMYFUNCTION("GOOGLETRANSLATE(A1118, ""ar"", ""bn"")"),"আন্তর্জাতিক ভারসাম্য")</f>
        <v>আন্তর্জাতিক ভারসাম্য</v>
      </c>
    </row>
    <row r="1119">
      <c r="A1119" s="2" t="s">
        <v>1235</v>
      </c>
      <c r="B1119" s="3" t="str">
        <f>IFERROR(__xludf.DUMMYFUNCTION("GOOGLETRANSLATE(A1119, ""ar"", ""bn"")"),"আন্তর্জাতিক দৃশ্যের উপর উপস্থিতি")</f>
        <v>আন্তর্জাতিক দৃশ্যের উপর উপস্থিতি</v>
      </c>
    </row>
    <row r="1120">
      <c r="A1120" s="2" t="s">
        <v>1236</v>
      </c>
      <c r="B1120" s="3" t="str">
        <f>IFERROR(__xludf.DUMMYFUNCTION("GOOGLETRANSLATE(A1120, ""ar"", ""bn"")"),"একটি আন্তর্জাতিক বিশেষজ্ঞ")</f>
        <v>একটি আন্তর্জাতিক বিশেষজ্ঞ</v>
      </c>
    </row>
    <row r="1121">
      <c r="A1121" s="2" t="s">
        <v>1237</v>
      </c>
      <c r="B1121" s="3" t="str">
        <f>IFERROR(__xludf.DUMMYFUNCTION("GOOGLETRANSLATE(A1121, ""ar"", ""bn"")"),"গু আন্তর্জাতিক তথ্য")</f>
        <v>গু আন্তর্জাতিক তথ্য</v>
      </c>
    </row>
    <row r="1122">
      <c r="A1122" s="2" t="s">
        <v>1238</v>
      </c>
      <c r="B1122" s="3" t="str">
        <f>IFERROR(__xludf.DUMMYFUNCTION("GOOGLETRANSLATE(A1122, ""ar"", ""bn"")"),"টি আন্তর্জাতিক শান্তিরক্ষা ছুড়ে ফেলে")</f>
        <v>টি আন্তর্জাতিক শান্তিরক্ষা ছুড়ে ফেলে</v>
      </c>
    </row>
    <row r="1123">
      <c r="A1123" s="2" t="s">
        <v>1239</v>
      </c>
      <c r="B1123" s="3" t="str">
        <f>IFERROR(__xludf.DUMMYFUNCTION("GOOGLETRANSLATE(A1123, ""ar"", ""bn"")"),"আন্তর্জাতিক ফিল্ড কোর্ট")</f>
        <v>আন্তর্জাতিক ফিল্ড কোর্ট</v>
      </c>
    </row>
    <row r="1124">
      <c r="A1124" s="2" t="s">
        <v>1240</v>
      </c>
      <c r="B1124" s="3" t="str">
        <f>IFERROR(__xludf.DUMMYFUNCTION("GOOGLETRANSLATE(A1124, ""ar"", ""bn"")"),"আন্তর্জাতিক ফ্রেমওয়ার্ক")</f>
        <v>আন্তর্জাতিক ফ্রেমওয়ার্ক</v>
      </c>
    </row>
    <row r="1125">
      <c r="A1125" s="2" t="s">
        <v>1241</v>
      </c>
      <c r="B1125" s="3" t="str">
        <f>IFERROR(__xludf.DUMMYFUNCTION("GOOGLETRANSLATE(A1125, ""ar"", ""bn"")"),"আন্তর্জাতিক মানবিক বাহিনী")</f>
        <v>আন্তর্জাতিক মানবিক বাহিনী</v>
      </c>
    </row>
    <row r="1126">
      <c r="A1126" s="2" t="s">
        <v>1242</v>
      </c>
      <c r="B1126" s="3" t="str">
        <f>IFERROR(__xludf.DUMMYFUNCTION("GOOGLETRANSLATE(A1126, ""ar"", ""bn"")"),"আন্তর্জাতিক প্রতিষ্ঠান")</f>
        <v>আন্তর্জাতিক প্রতিষ্ঠান</v>
      </c>
    </row>
    <row r="1127">
      <c r="A1127" s="2" t="s">
        <v>1243</v>
      </c>
      <c r="B1127" s="3" t="str">
        <f>IFERROR(__xludf.DUMMYFUNCTION("GOOGLETRANSLATE(A1127, ""ar"", ""bn"")"),"আন্তর্জাতিক নেটওয়ার্ক ইন্টেলিজেন্স")</f>
        <v>আন্তর্জাতিক নেটওয়ার্ক ইন্টেলিজেন্স</v>
      </c>
    </row>
    <row r="1128">
      <c r="A1128" s="2" t="s">
        <v>1244</v>
      </c>
      <c r="B1128" s="3" t="str">
        <f>IFERROR(__xludf.DUMMYFUNCTION("GOOGLETRANSLATE(A1128, ""ar"", ""bn"")"),"আন্তর্জাতিক হস্তক্ষেপ")</f>
        <v>আন্তর্জাতিক হস্তক্ষেপ</v>
      </c>
    </row>
    <row r="1129">
      <c r="A1129" s="2" t="s">
        <v>1245</v>
      </c>
      <c r="B1129" s="3" t="str">
        <f>IFERROR(__xludf.DUMMYFUNCTION("GOOGLETRANSLATE(A1129, ""ar"", ""bn"")"),"আন্তর্জাতিক হস্তক্ষেপের দল")</f>
        <v>আন্তর্জাতিক হস্তক্ষেপের দল</v>
      </c>
    </row>
    <row r="1130">
      <c r="A1130" s="2" t="s">
        <v>1246</v>
      </c>
      <c r="B1130" s="3" t="str">
        <f>IFERROR(__xludf.DUMMYFUNCTION("GOOGLETRANSLATE(A1130, ""ar"", ""bn"")"),"তদন্ত বা আন্তর্জাতিক জরিপ")</f>
        <v>তদন্ত বা আন্তর্জাতিক জরিপ</v>
      </c>
    </row>
    <row r="1131">
      <c r="A1131" s="2" t="s">
        <v>1247</v>
      </c>
      <c r="B1131" s="3" t="str">
        <f>IFERROR(__xludf.DUMMYFUNCTION("GOOGLETRANSLATE(A1131, ""ar"", ""bn"")"),"ইনকয়েরি ইন্টারন্যাশনাল কমিশন")</f>
        <v>ইনকয়েরি ইন্টারন্যাশনাল কমিশন</v>
      </c>
    </row>
    <row r="1132">
      <c r="A1132" s="2" t="s">
        <v>1248</v>
      </c>
      <c r="B1132" s="3" t="str">
        <f>IFERROR(__xludf.DUMMYFUNCTION("GOOGLETRANSLATE(A1132, ""ar"", ""bn"")"),"তদন্ত ইন্টারন্যাশনাল ব্যুরো")</f>
        <v>তদন্ত ইন্টারন্যাশনাল ব্যুরো</v>
      </c>
    </row>
    <row r="1133">
      <c r="A1133" s="2" t="s">
        <v>1249</v>
      </c>
      <c r="B1133" s="3" t="str">
        <f>IFERROR(__xludf.DUMMYFUNCTION("GOOGLETRANSLATE(A1133, ""ar"", ""bn"")"),"পি আন্তর্জাতিক স্লিপ")</f>
        <v>পি আন্তর্জাতিক স্লিপ</v>
      </c>
    </row>
    <row r="1134">
      <c r="A1134" s="2" t="s">
        <v>1250</v>
      </c>
      <c r="B1134" s="3" t="str">
        <f>IFERROR(__xludf.DUMMYFUNCTION("GOOGLETRANSLATE(A1134, ""ar"", ""bn"")"),"আন্তর্জাতিক আইনি ব্যবস্থা")</f>
        <v>আন্তর্জাতিক আইনি ব্যবস্থা</v>
      </c>
    </row>
    <row r="1135">
      <c r="A1135" s="2" t="s">
        <v>1251</v>
      </c>
      <c r="B1135" s="3" t="str">
        <f>IFERROR(__xludf.DUMMYFUNCTION("GOOGLETRANSLATE(A1135, ""ar"", ""bn"")"),"আন্তর্জাতিক বৈধতা")</f>
        <v>আন্তর্জাতিক বৈধতা</v>
      </c>
    </row>
    <row r="1136">
      <c r="A1136" s="2" t="s">
        <v>1252</v>
      </c>
      <c r="B1136" s="3" t="str">
        <f>IFERROR(__xludf.DUMMYFUNCTION("GOOGLETRANSLATE(A1136, ""ar"", ""bn"")"),"আন্তর্জাতিক মধ্যস্থতা")</f>
        <v>আন্তর্জাতিক মধ্যস্থতা</v>
      </c>
    </row>
    <row r="1137">
      <c r="A1137" s="2" t="s">
        <v>1253</v>
      </c>
      <c r="B1137" s="3" t="str">
        <f>IFERROR(__xludf.DUMMYFUNCTION("GOOGLETRANSLATE(A1137, ""ar"", ""bn"")"),"আন্তর্জাতিক মধ্যস্থতা দল")</f>
        <v>আন্তর্জাতিক মধ্যস্থতা দল</v>
      </c>
    </row>
    <row r="1138">
      <c r="A1138" s="2" t="s">
        <v>1254</v>
      </c>
      <c r="B1138" s="3" t="str">
        <f>IFERROR(__xludf.DUMMYFUNCTION("GOOGLETRANSLATE(A1138, ""ar"", ""bn"")"),"খারাপ টন আন্তর্জাতিক বুঝতে")</f>
        <v>খারাপ টন আন্তর্জাতিক বুঝতে</v>
      </c>
    </row>
    <row r="1139">
      <c r="A1139" s="2" t="s">
        <v>1255</v>
      </c>
      <c r="B1139" s="3" t="str">
        <f>IFERROR(__xludf.DUMMYFUNCTION("GOOGLETRANSLATE(A1139, ""ar"", ""bn"")"),"আন্তর্জাতিক বাধ্যবাধকতা")</f>
        <v>আন্তর্জাতিক বাধ্যবাধকতা</v>
      </c>
    </row>
    <row r="1140">
      <c r="A1140" s="2" t="s">
        <v>1256</v>
      </c>
      <c r="B1140" s="3" t="str">
        <f>IFERROR(__xludf.DUMMYFUNCTION("GOOGLETRANSLATE(A1140, ""ar"", ""bn"")"),"আন্তর্জাতিক সংস্থা")</f>
        <v>আন্তর্জাতিক সংস্থা</v>
      </c>
    </row>
    <row r="1141">
      <c r="A1141" s="2" t="s">
        <v>1257</v>
      </c>
      <c r="B1141" s="3" t="str">
        <f>IFERROR(__xludf.DUMMYFUNCTION("GOOGLETRANSLATE(A1141, ""ar"", ""bn"")"),"আন্তর্জাতিক সনদ")</f>
        <v>আন্তর্জাতিক সনদ</v>
      </c>
    </row>
    <row r="1142">
      <c r="A1142" s="2" t="s">
        <v>1258</v>
      </c>
      <c r="B1142" s="3" t="str">
        <f>IFERROR(__xludf.DUMMYFUNCTION("GOOGLETRANSLATE(A1142, ""ar"", ""bn"")"),"এম একটি আন্তর্জাতিক প্রকল্প")</f>
        <v>এম একটি আন্তর্জাতিক প্রকল্প</v>
      </c>
    </row>
    <row r="1143">
      <c r="A1143" s="2" t="s">
        <v>1259</v>
      </c>
      <c r="B1143" s="3" t="str">
        <f>IFERROR(__xludf.DUMMYFUNCTION("GOOGLETRANSLATE(A1143, ""ar"", ""bn"")"),"আন্তর্জাতিক পুলিশ")</f>
        <v>আন্তর্জাতিক পুলিশ</v>
      </c>
    </row>
    <row r="1144">
      <c r="A1144" s="2" t="s">
        <v>1260</v>
      </c>
      <c r="B1144" s="3" t="str">
        <f>IFERROR(__xludf.DUMMYFUNCTION("GOOGLETRANSLATE(A1144, ""ar"", ""bn"")"),"আন্তর্জাতিক রাজনৈতিক স্বার্থ")</f>
        <v>আন্তর্জাতিক রাজনৈতিক স্বার্থ</v>
      </c>
    </row>
    <row r="1145">
      <c r="A1145" s="2" t="s">
        <v>1261</v>
      </c>
      <c r="B1145" s="3" t="str">
        <f>IFERROR(__xludf.DUMMYFUNCTION("GOOGLETRANSLATE(A1145, ""ar"", ""bn"")"),"এম আন্তর্জাতিক রাজনৈতিক প্রকল্প")</f>
        <v>এম আন্তর্জাতিক রাজনৈতিক প্রকল্প</v>
      </c>
    </row>
    <row r="1146">
      <c r="A1146" s="2" t="s">
        <v>1262</v>
      </c>
      <c r="B1146" s="3" t="str">
        <f>IFERROR(__xludf.DUMMYFUNCTION("GOOGLETRANSLATE(A1146, ""ar"", ""bn"")"),"আন্তর্জাতিক চাপ")</f>
        <v>আন্তর্জাতিক চাপ</v>
      </c>
    </row>
    <row r="1147">
      <c r="A1147" s="2" t="s">
        <v>1263</v>
      </c>
      <c r="B1147" s="3" t="str">
        <f>IFERROR(__xludf.DUMMYFUNCTION("GOOGLETRANSLATE(A1147, ""ar"", ""bn"")"),"আন্তর্জাতিক সতর্কতামূলক ব্যবস্থা")</f>
        <v>আন্তর্জাতিক সতর্কতামূলক ব্যবস্থা</v>
      </c>
    </row>
    <row r="1148">
      <c r="A1148" s="2" t="s">
        <v>1264</v>
      </c>
      <c r="B1148" s="3" t="str">
        <f>IFERROR(__xludf.DUMMYFUNCTION("GOOGLETRANSLATE(A1148, ""ar"", ""bn"")"),"আন্তর্জাতিক নিষেধাজ্ঞা")</f>
        <v>আন্তর্জাতিক নিষেধাজ্ঞা</v>
      </c>
    </row>
    <row r="1149">
      <c r="A1149" s="2" t="s">
        <v>1265</v>
      </c>
      <c r="B1149" s="3" t="str">
        <f>IFERROR(__xludf.DUMMYFUNCTION("GOOGLETRANSLATE(A1149, ""ar"", ""bn"")"),"আন্তর্জাতিক স্বীকৃতি")</f>
        <v>আন্তর্জাতিক স্বীকৃতি</v>
      </c>
    </row>
    <row r="1150">
      <c r="A1150" s="2" t="s">
        <v>1266</v>
      </c>
      <c r="B1150" s="3" t="str">
        <f>IFERROR(__xludf.DUMMYFUNCTION("GOOGLETRANSLATE(A1150, ""ar"", ""bn"")"),"আন্তর্জাতিক সামঞ্জস্যবিধান সনদ")</f>
        <v>আন্তর্জাতিক সামঞ্জস্যবিধান সনদ</v>
      </c>
    </row>
    <row r="1151">
      <c r="A1151" s="2" t="s">
        <v>1267</v>
      </c>
      <c r="B1151" s="3" t="str">
        <f>IFERROR(__xludf.DUMMYFUNCTION("GOOGLETRANSLATE(A1151, ""ar"", ""bn"")"),"আন্তর্জাতিক সম্পর্ক")</f>
        <v>আন্তর্জাতিক সম্পর্ক</v>
      </c>
    </row>
    <row r="1152">
      <c r="A1152" s="2" t="s">
        <v>1268</v>
      </c>
      <c r="B1152" s="3" t="str">
        <f>IFERROR(__xludf.DUMMYFUNCTION("GOOGLETRANSLATE(A1152, ""ar"", ""bn"")"),"আন্তর্জাতিক সম্পর্ক আইন")</f>
        <v>আন্তর্জাতিক সম্পর্ক আইন</v>
      </c>
    </row>
    <row r="1153">
      <c r="A1153" s="2" t="s">
        <v>1269</v>
      </c>
      <c r="B1153" s="3" t="str">
        <f>IFERROR(__xludf.DUMMYFUNCTION("GOOGLETRANSLATE(A1153, ""ar"", ""bn"")"),"আন্তর্জাতিক রেজুলেশন")</f>
        <v>আন্তর্জাতিক রেজুলেশন</v>
      </c>
    </row>
    <row r="1154">
      <c r="A1154" s="2" t="s">
        <v>1270</v>
      </c>
      <c r="B1154" s="3" t="str">
        <f>IFERROR(__xludf.DUMMYFUNCTION("GOOGLETRANSLATE(A1154, ""ar"", ""bn"")"),"আন্তর্জাতিক দায়িত্ব")</f>
        <v>আন্তর্জাতিক দায়িত্ব</v>
      </c>
    </row>
    <row r="1155">
      <c r="A1155" s="2" t="s">
        <v>1271</v>
      </c>
      <c r="B1155" s="3" t="str">
        <f>IFERROR(__xludf.DUMMYFUNCTION("GOOGLETRANSLATE(A1155, ""ar"", ""bn"")"),"এম আন্তর্জাতিক প্রতিযোগিতার")</f>
        <v>এম আন্তর্জাতিক প্রতিযোগিতার</v>
      </c>
    </row>
    <row r="1156">
      <c r="A1156" s="2" t="s">
        <v>1272</v>
      </c>
      <c r="B1156" s="3" t="str">
        <f>IFERROR(__xludf.DUMMYFUNCTION("GOOGLETRANSLATE(A1156, ""ar"", ""bn"")"),"গ্লোবাল শক")</f>
        <v>গ্লোবাল শক</v>
      </c>
    </row>
    <row r="1157">
      <c r="A1157" s="2" t="s">
        <v>1273</v>
      </c>
      <c r="B1157" s="3" t="str">
        <f>IFERROR(__xludf.DUMMYFUNCTION("GOOGLETRANSLATE(A1157, ""ar"", ""bn"")"),"আন্তর্জাতিক সংহতি")</f>
        <v>আন্তর্জাতিক সংহতি</v>
      </c>
    </row>
    <row r="1158">
      <c r="A1158" s="2" t="s">
        <v>1274</v>
      </c>
      <c r="B1158" s="3" t="str">
        <f>IFERROR(__xludf.DUMMYFUNCTION("GOOGLETRANSLATE(A1158, ""ar"", ""bn"")"),"আন্তর্জাতিক সংহতি সম্পর্ক")</f>
        <v>আন্তর্জাতিক সংহতি সম্পর্ক</v>
      </c>
    </row>
    <row r="1159">
      <c r="A1159" s="2" t="s">
        <v>1275</v>
      </c>
      <c r="B1159" s="3" t="str">
        <f>IFERROR(__xludf.DUMMYFUNCTION("GOOGLETRANSLATE(A1159, ""ar"", ""bn"")"),"আন্তর্জাতিক সার্বভৌমত্ব")</f>
        <v>আন্তর্জাতিক সার্বভৌমত্ব</v>
      </c>
    </row>
    <row r="1160">
      <c r="A1160" s="2" t="s">
        <v>1276</v>
      </c>
      <c r="B1160" s="3" t="str">
        <f>IFERROR(__xludf.DUMMYFUNCTION("GOOGLETRANSLATE(A1160, ""ar"", ""bn"")"),"আন্তর্জাতিক তত্ত্বাবধানে")</f>
        <v>আন্তর্জাতিক তত্ত্বাবধানে</v>
      </c>
    </row>
    <row r="1161">
      <c r="A1161" s="2" t="s">
        <v>1277</v>
      </c>
      <c r="B1161" s="3" t="str">
        <f>IFERROR(__xludf.DUMMYFUNCTION("GOOGLETRANSLATE(A1161, ""ar"", ""bn"")"),"আন্তর্জাতিক সমর্থন")</f>
        <v>আন্তর্জাতিক সমর্থন</v>
      </c>
    </row>
    <row r="1162">
      <c r="A1162" s="2" t="s">
        <v>1278</v>
      </c>
      <c r="B1162" s="3" t="str">
        <f>IFERROR(__xludf.DUMMYFUNCTION("GOOGLETRANSLATE(A1162, ""ar"", ""bn"")"),"আন্তর্জাতিক সিম্পোজিয়াম")</f>
        <v>আন্তর্জাতিক সিম্পোজিয়াম</v>
      </c>
    </row>
    <row r="1163">
      <c r="A1163" s="2" t="s">
        <v>1279</v>
      </c>
      <c r="B1163" s="3" t="str">
        <f>IFERROR(__xludf.DUMMYFUNCTION("GOOGLETRANSLATE(A1163, ""ar"", ""bn"")"),"আন্তর্জাতিক ট্রাফিক চুক্তি")</f>
        <v>আন্তর্জাতিক ট্রাফিক চুক্তি</v>
      </c>
    </row>
    <row r="1164">
      <c r="A1164" s="2" t="s">
        <v>1280</v>
      </c>
      <c r="B1164" s="3" t="str">
        <f>IFERROR(__xludf.DUMMYFUNCTION("GOOGLETRANSLATE(A1164, ""ar"", ""bn"")"),"আন্তর্জাতিক বোঝার")</f>
        <v>আন্তর্জাতিক বোঝার</v>
      </c>
    </row>
    <row r="1165">
      <c r="A1165" s="2" t="s">
        <v>1281</v>
      </c>
      <c r="B1165" s="3" t="str">
        <f>IFERROR(__xludf.DUMMYFUNCTION("GOOGLETRANSLATE(A1165, ""ar"", ""bn"")"),"আন্তর্জাতিক ইচ্ছা")</f>
        <v>আন্তর্জাতিক ইচ্ছা</v>
      </c>
    </row>
    <row r="1166">
      <c r="A1166" s="2" t="s">
        <v>1282</v>
      </c>
      <c r="B1166" s="3" t="str">
        <f>IFERROR(__xludf.DUMMYFUNCTION("GOOGLETRANSLATE(A1166, ""ar"", ""bn"")"),"আন্তর্জাতিক রাজনৈতিক পরিস্থিতি")</f>
        <v>আন্তর্জাতিক রাজনৈতিক পরিস্থিতি</v>
      </c>
    </row>
    <row r="1167">
      <c r="A1167" s="2" t="s">
        <v>1283</v>
      </c>
      <c r="B1167" s="3" t="str">
        <f>IFERROR(__xludf.DUMMYFUNCTION("GOOGLETRANSLATE(A1167, ""ar"", ""bn"")"),"আন্তর্জাতিকীকরণ")</f>
        <v>আন্তর্জাতিকীকরণ</v>
      </c>
    </row>
    <row r="1168">
      <c r="A1168" s="2" t="s">
        <v>1284</v>
      </c>
      <c r="B1168" s="3" t="str">
        <f>IFERROR(__xludf.DUMMYFUNCTION("GOOGLETRANSLATE(A1168, ""ar"", ""bn"")"),"মন্ত্রীদের বা ডেপুটি নিয়ে প্রশ্ন")</f>
        <v>মন্ত্রীদের বা ডেপুটি নিয়ে প্রশ্ন</v>
      </c>
    </row>
    <row r="1169">
      <c r="A1169" s="2" t="s">
        <v>1285</v>
      </c>
      <c r="B1169" s="3" t="str">
        <f>IFERROR(__xludf.DUMMYFUNCTION("GOOGLETRANSLATE(A1169, ""ar"", ""bn"")"),"পুলিশ আন্তর্জাতিক পুলিশ")</f>
        <v>পুলিশ আন্তর্জাতিক পুলিশ</v>
      </c>
    </row>
    <row r="1170">
      <c r="A1170" s="2" t="s">
        <v>1286</v>
      </c>
      <c r="B1170" s="3" t="str">
        <f>IFERROR(__xludf.DUMMYFUNCTION("GOOGLETRANSLATE(A1170, ""ar"", ""bn"")"),"আন্তর্জাতিক আইনের ব্যাখ্যা")</f>
        <v>আন্তর্জাতিক আইনের ব্যাখ্যা</v>
      </c>
    </row>
    <row r="1171">
      <c r="A1171" s="2" t="s">
        <v>1287</v>
      </c>
      <c r="B1171" s="3" t="str">
        <f>IFERROR(__xludf.DUMMYFUNCTION("GOOGLETRANSLATE(A1171, ""ar"", ""bn"")"),"পশ্চিমা হস্তক্ষেপের")</f>
        <v>পশ্চিমা হস্তক্ষেপের</v>
      </c>
    </row>
    <row r="1172">
      <c r="A1172" s="2" t="s">
        <v>1288</v>
      </c>
      <c r="B1172" s="3" t="str">
        <f>IFERROR(__xludf.DUMMYFUNCTION("GOOGLETRANSLATE(A1172, ""ar"", ""bn"")"),"শত্রু সেনাদের বিভিন্ন পদে মধ্যে ভঙ্গ")</f>
        <v>শত্রু সেনাদের বিভিন্ন পদে মধ্যে ভঙ্গ</v>
      </c>
    </row>
    <row r="1173">
      <c r="A1173" s="2" t="s">
        <v>1289</v>
      </c>
      <c r="B1173" s="3" t="str">
        <f>IFERROR(__xludf.DUMMYFUNCTION("GOOGLETRANSLATE(A1173, ""ar"", ""bn"")"),"Imlga ব্যালট")</f>
        <v>Imlga ব্যালট</v>
      </c>
    </row>
    <row r="1174">
      <c r="A1174" s="2" t="s">
        <v>1290</v>
      </c>
      <c r="B1174" s="3" t="str">
        <f>IFERROR(__xludf.DUMMYFUNCTION("GOOGLETRANSLATE(A1174, ""ar"", ""bn"")"),"শহরগুলোর ইনভেশন")</f>
        <v>শহরগুলোর ইনভেশন</v>
      </c>
    </row>
    <row r="1175">
      <c r="A1175" s="2" t="s">
        <v>1291</v>
      </c>
      <c r="B1175" s="3" t="str">
        <f>IFERROR(__xludf.DUMMYFUNCTION("GOOGLETRANSLATE(A1175, ""ar"", ""bn"")"),"এম Mpho জেড ক্ষমতা")</f>
        <v>এম Mpho জেড ক্ষমতা</v>
      </c>
    </row>
    <row r="1176">
      <c r="A1176" s="2" t="s">
        <v>1292</v>
      </c>
      <c r="B1176" s="3" t="str">
        <f>IFERROR(__xludf.DUMMYFUNCTION("GOOGLETRANSLATE(A1176, ""ar"", ""bn"")"),"বাড়ির অলঙ্ঘনীয়তা")</f>
        <v>বাড়ির অলঙ্ঘনীয়তা</v>
      </c>
    </row>
    <row r="1177">
      <c r="A1177" s="2" t="s">
        <v>1293</v>
      </c>
      <c r="B1177" s="3" t="str">
        <f>IFERROR(__xludf.DUMMYFUNCTION("GOOGLETRANSLATE(A1177, ""ar"", ""bn"")"),"তথ্য স্বাধীনতা লঙ্ঘন অভাব")</f>
        <v>তথ্য স্বাধীনতা লঙ্ঘন অভাব</v>
      </c>
    </row>
    <row r="1178">
      <c r="A1178" s="2" t="s">
        <v>1294</v>
      </c>
      <c r="B1178" s="3" t="str">
        <f>IFERROR(__xludf.DUMMYFUNCTION("GOOGLETRANSLATE(A1178, ""ar"", ""bn"")"),"যুদ্ধে তোর আমি")</f>
        <v>যুদ্ধে তোর আমি</v>
      </c>
    </row>
    <row r="1179">
      <c r="A1179" s="2" t="s">
        <v>1295</v>
      </c>
      <c r="B1179" s="3" t="str">
        <f>IFERROR(__xludf.DUMMYFUNCTION("GOOGLETRANSLATE(A1179, ""ar"", ""bn"")"),"বিচ্ছিন্ন রাষ্ট্র")</f>
        <v>বিচ্ছিন্ন রাষ্ট্র</v>
      </c>
    </row>
    <row r="1180">
      <c r="A1180" s="2" t="s">
        <v>1296</v>
      </c>
      <c r="B1180" s="3" t="str">
        <f>IFERROR(__xludf.DUMMYFUNCTION("GOOGLETRANSLATE(A1180, ""ar"", ""bn"")"),"রাজনৈতিক বন্দীদের বিচ্ছিন্নতা")</f>
        <v>রাজনৈতিক বন্দীদের বিচ্ছিন্নতা</v>
      </c>
    </row>
    <row r="1181">
      <c r="A1181" s="2" t="s">
        <v>1297</v>
      </c>
      <c r="B1181" s="3" t="str">
        <f>IFERROR(__xludf.DUMMYFUNCTION("GOOGLETRANSLATE(A1181, ""ar"", ""bn"")"),"Amsdr রেডিও প্রত্যাহার")</f>
        <v>Amsdr রেডিও প্রত্যাহার</v>
      </c>
    </row>
    <row r="1182">
      <c r="A1182" s="2" t="s">
        <v>1298</v>
      </c>
      <c r="B1182" s="3" t="str">
        <f>IFERROR(__xludf.DUMMYFUNCTION("GOOGLETRANSLATE(A1182, ""ar"", ""bn"")"),"সংবাদপত্র প্রত্যাহার মধ্যে Amsdr")</f>
        <v>সংবাদপত্র প্রত্যাহার মধ্যে Amsdr</v>
      </c>
    </row>
    <row r="1183">
      <c r="A1183" s="2" t="s">
        <v>1299</v>
      </c>
      <c r="B1183" s="3" t="str">
        <f>IFERROR(__xludf.DUMMYFUNCTION("GOOGLETRANSLATE(A1183, ""ar"", ""bn"")"),"বেতার ট্রান্সমিশন তোমার দর্শন লগ করা উপর Imshaw")</f>
        <v>বেতার ট্রান্সমিশন তোমার দর্শন লগ করা উপর Imshaw</v>
      </c>
    </row>
    <row r="1184">
      <c r="A1184" s="2" t="s">
        <v>1300</v>
      </c>
      <c r="B1184" s="3" t="str">
        <f>IFERROR(__xludf.DUMMYFUNCTION("GOOGLETRANSLATE(A1184, ""ar"", ""bn"")"),"জোট যোগদান")</f>
        <v>জোট যোগদান</v>
      </c>
    </row>
    <row r="1185">
      <c r="A1185" s="2" t="s">
        <v>1301</v>
      </c>
      <c r="B1185" s="3" t="str">
        <f>IFERROR(__xludf.DUMMYFUNCTION("GOOGLETRANSLATE(A1185, ""ar"", ""bn"")"),"এম কূটনৈতিক আলোচনা")</f>
        <v>এম কূটনৈতিক আলোচনা</v>
      </c>
    </row>
    <row r="1186">
      <c r="A1186" s="2" t="s">
        <v>1302</v>
      </c>
      <c r="B1186" s="3" t="str">
        <f>IFERROR(__xludf.DUMMYFUNCTION("GOOGLETRANSLATE(A1186, ""ar"", ""bn"")"),"সাধারণ")</f>
        <v>সাধারণ</v>
      </c>
    </row>
    <row r="1187">
      <c r="A1187" s="2" t="s">
        <v>1303</v>
      </c>
      <c r="B1187" s="3" t="str">
        <f>IFERROR(__xludf.DUMMYFUNCTION("GOOGLETRANSLATE(A1187, ""ar"", ""bn"")"),"যুগ্ম আপীল")</f>
        <v>যুগ্ম আপীল</v>
      </c>
    </row>
    <row r="1188">
      <c r="A1188" s="2" t="s">
        <v>1304</v>
      </c>
      <c r="B1188" s="3" t="str">
        <f>IFERROR(__xludf.DUMMYFUNCTION("GOOGLETRANSLATE(A1188, ""ar"", ""bn"")"),"যুগ্ম কর্তৃপক্ষ")</f>
        <v>যুগ্ম কর্তৃপক্ষ</v>
      </c>
    </row>
    <row r="1189">
      <c r="A1189" s="2" t="s">
        <v>1305</v>
      </c>
      <c r="B1189" s="3" t="str">
        <f>IFERROR(__xludf.DUMMYFUNCTION("GOOGLETRANSLATE(A1189, ""ar"", ""bn"")"),"কূটনৈতিক যৌথ বিবৃতিতে")</f>
        <v>কূটনৈতিক যৌথ বিবৃতিতে</v>
      </c>
    </row>
    <row r="1190">
      <c r="A1190" s="2" t="s">
        <v>1306</v>
      </c>
      <c r="B1190" s="3" t="str">
        <f>IFERROR(__xludf.DUMMYFUNCTION("GOOGLETRANSLATE(A1190, ""ar"", ""bn"")"),"শান্তির জন্য জয়েন্ট আন্তর্জাতিক আবেদন")</f>
        <v>শান্তির জন্য জয়েন্ট আন্তর্জাতিক আবেদন</v>
      </c>
    </row>
    <row r="1191">
      <c r="A1191" s="2" t="s">
        <v>1307</v>
      </c>
      <c r="B1191" s="3" t="str">
        <f>IFERROR(__xludf.DUMMYFUNCTION("GOOGLETRANSLATE(A1191, ""ar"", ""bn"")"),"গু যৌথ আন্তর্জাতিক তথ্য")</f>
        <v>গু যৌথ আন্তর্জাতিক তথ্য</v>
      </c>
    </row>
    <row r="1192">
      <c r="A1192" s="2" t="s">
        <v>1308</v>
      </c>
      <c r="B1192" s="3" t="str">
        <f>IFERROR(__xludf.DUMMYFUNCTION("GOOGLETRANSLATE(A1192, ""ar"", ""bn"")"),"যৌথ সভায়")</f>
        <v>যৌথ সভায়</v>
      </c>
    </row>
    <row r="1193">
      <c r="A1193" s="2" t="s">
        <v>1309</v>
      </c>
      <c r="B1193" s="3" t="str">
        <f>IFERROR(__xludf.DUMMYFUNCTION("GOOGLETRANSLATE(A1193, ""ar"", ""bn"")"),"এম যৌথ আলোচনার")</f>
        <v>এম যৌথ আলোচনার</v>
      </c>
    </row>
    <row r="1194">
      <c r="A1194" s="2" t="s">
        <v>1310</v>
      </c>
      <c r="B1194" s="3" t="str">
        <f>IFERROR(__xludf.DUMMYFUNCTION("GOOGLETRANSLATE(A1194, ""ar"", ""bn"")"),"শান্তির জন্য জয়েন্ট প্রচেষ্টা")</f>
        <v>শান্তির জন্য জয়েন্ট প্রচেষ্টা</v>
      </c>
    </row>
    <row r="1195">
      <c r="A1195" s="2" t="s">
        <v>1311</v>
      </c>
      <c r="B1195" s="3" t="str">
        <f>IFERROR(__xludf.DUMMYFUNCTION("GOOGLETRANSLATE(A1195, ""ar"", ""bn"")"),"যৌথ সিদ্ধান্ত")</f>
        <v>যৌথ সিদ্ধান্ত</v>
      </c>
    </row>
    <row r="1196">
      <c r="A1196" s="2" t="s">
        <v>1312</v>
      </c>
      <c r="B1196" s="3" t="str">
        <f>IFERROR(__xludf.DUMMYFUNCTION("GOOGLETRANSLATE(A1196, ""ar"", ""bn"")"),"যুক্ত অধিবেশনে")</f>
        <v>যুক্ত অধিবেশনে</v>
      </c>
    </row>
    <row r="1197">
      <c r="A1197" s="2" t="s">
        <v>1313</v>
      </c>
      <c r="B1197" s="3" t="str">
        <f>IFERROR(__xludf.DUMMYFUNCTION("GOOGLETRANSLATE(A1197, ""ar"", ""bn"")"),"যুক্তরাষ্ট্র থেকে যৌথ আপীল")</f>
        <v>যুক্তরাষ্ট্র থেকে যৌথ আপীল</v>
      </c>
    </row>
    <row r="1198">
      <c r="A1198" s="2" t="s">
        <v>1314</v>
      </c>
      <c r="B1198" s="3" t="str">
        <f>IFERROR(__xludf.DUMMYFUNCTION("GOOGLETRANSLATE(A1198, ""ar"", ""bn"")"),"স্বাধীন")</f>
        <v>স্বাধীন</v>
      </c>
    </row>
    <row r="1199">
      <c r="A1199" s="2" t="s">
        <v>1315</v>
      </c>
      <c r="B1199" s="3" t="str">
        <f>IFERROR(__xludf.DUMMYFUNCTION("GOOGLETRANSLATE(A1199, ""ar"", ""bn"")"),"সাংবাদিক")</f>
        <v>সাংবাদিক</v>
      </c>
    </row>
    <row r="1200">
      <c r="A1200" s="2" t="s">
        <v>1316</v>
      </c>
      <c r="B1200" s="3" t="str">
        <f>IFERROR(__xludf.DUMMYFUNCTION("GOOGLETRANSLATE(A1200, ""ar"", ""bn"")"),"জঙ্গল আইন")</f>
        <v>জঙ্গল আইন</v>
      </c>
    </row>
    <row r="1201">
      <c r="A1201" s="2" t="s">
        <v>1317</v>
      </c>
      <c r="B1201" s="3" t="str">
        <f>IFERROR(__xludf.DUMMYFUNCTION("GOOGLETRANSLATE(A1201, ""ar"", ""bn"")"),"পিপলস আইনের")</f>
        <v>পিপলস আইনের</v>
      </c>
    </row>
    <row r="1202">
      <c r="A1202" s="2" t="s">
        <v>1318</v>
      </c>
      <c r="B1202" s="3" t="str">
        <f>IFERROR(__xludf.DUMMYFUNCTION("GOOGLETRANSLATE(A1202, ""ar"", ""bn"")"),"রাজনৈতিক ঘটনা justifying")</f>
        <v>রাজনৈতিক ঘটনা justifying</v>
      </c>
    </row>
    <row r="1203">
      <c r="A1203" s="2" t="s">
        <v>1319</v>
      </c>
      <c r="B1203" s="3" t="str">
        <f>IFERROR(__xludf.DUMMYFUNCTION("GOOGLETRANSLATE(A1203, ""ar"", ""bn"")"),"রাজনৈতিক বাস্তবতার justifying")</f>
        <v>রাজনৈতিক বাস্তবতার justifying</v>
      </c>
    </row>
    <row r="1204">
      <c r="A1204" s="2" t="s">
        <v>1320</v>
      </c>
      <c r="B1204" s="3" t="str">
        <f>IFERROR(__xludf.DUMMYFUNCTION("GOOGLETRANSLATE(A1204, ""ar"", ""bn"")"),"অপহরণ")</f>
        <v>অপহরণ</v>
      </c>
    </row>
    <row r="1205">
      <c r="A1205" s="2" t="s">
        <v>1321</v>
      </c>
      <c r="B1205" s="3" t="str">
        <f>IFERROR(__xludf.DUMMYFUNCTION("GOOGLETRANSLATE(A1205, ""ar"", ""bn"")"),"যুদ্ধের মাঠ ন্যায়পরায়ণতা")</f>
        <v>যুদ্ধের মাঠ ন্যায়পরায়ণতা</v>
      </c>
    </row>
    <row r="1206">
      <c r="A1206" s="2" t="s">
        <v>1322</v>
      </c>
      <c r="B1206" s="3" t="str">
        <f>IFERROR(__xludf.DUMMYFUNCTION("GOOGLETRANSLATE(A1206, ""ar"", ""bn"")"),"শান্তির জন্য ভূমি")</f>
        <v>শান্তির জন্য ভূমি</v>
      </c>
    </row>
    <row r="1207">
      <c r="A1207" s="2" t="s">
        <v>1323</v>
      </c>
      <c r="B1207" s="3" t="str">
        <f>IFERROR(__xludf.DUMMYFUNCTION("GOOGLETRANSLATE(A1207, ""ar"", ""bn"")"),"জমি-জন্য-শান্তি চুক্তি")</f>
        <v>জমি-জন্য-শান্তি চুক্তি</v>
      </c>
    </row>
    <row r="1208">
      <c r="A1208" s="2" t="s">
        <v>1324</v>
      </c>
      <c r="B1208" s="3" t="str">
        <f>IFERROR(__xludf.DUMMYFUNCTION("GOOGLETRANSLATE(A1208, ""ar"", ""bn"")"),"ভূমি যাত্রাপথ")</f>
        <v>ভূমি যাত্রাপথ</v>
      </c>
    </row>
    <row r="1209">
      <c r="A1209" s="2" t="s">
        <v>1325</v>
      </c>
      <c r="B1209" s="3" t="str">
        <f>IFERROR(__xludf.DUMMYFUNCTION("GOOGLETRANSLATE(A1209, ""ar"", ""bn"")"),"জমির সেটেলমেন্ট")</f>
        <v>জমির সেটেলমেন্ট</v>
      </c>
    </row>
    <row r="1210">
      <c r="A1210" s="2" t="s">
        <v>1326</v>
      </c>
      <c r="B1210" s="3" t="str">
        <f>IFERROR(__xludf.DUMMYFUNCTION("GOOGLETRANSLATE(A1210, ""ar"", ""bn"")"),"ওয়ার বার ইয়ে")</f>
        <v>ওয়ার বার ইয়ে</v>
      </c>
    </row>
    <row r="1211">
      <c r="A1211" s="2" t="s">
        <v>1327</v>
      </c>
      <c r="B1211" s="3" t="str">
        <f>IFERROR(__xludf.DUMMYFUNCTION("GOOGLETRANSLATE(A1211, ""ar"", ""bn"")"),"দীর্ঘস্থায়ী শান্তি")</f>
        <v>দীর্ঘস্থায়ী শান্তি</v>
      </c>
    </row>
    <row r="1212">
      <c r="A1212" s="2" t="s">
        <v>1328</v>
      </c>
      <c r="B1212" s="3" t="str">
        <f>IFERROR(__xludf.DUMMYFUNCTION("GOOGLETRANSLATE(A1212, ""ar"", ""bn"")"),"যুদ্ধের গতানুগতিক আইন")</f>
        <v>যুদ্ধের গতানুগতিক আইন</v>
      </c>
    </row>
    <row r="1213">
      <c r="A1213" s="2" t="s">
        <v>1329</v>
      </c>
      <c r="B1213" s="3" t="str">
        <f>IFERROR(__xludf.DUMMYFUNCTION("GOOGLETRANSLATE(A1213, ""ar"", ""bn"")"),"Mushar আহ শক্তি")</f>
        <v>Mushar আহ শক্তি</v>
      </c>
    </row>
    <row r="1214">
      <c r="A1214" s="2" t="s">
        <v>1330</v>
      </c>
      <c r="B1214" s="3" t="str">
        <f>IFERROR(__xludf.DUMMYFUNCTION("GOOGLETRANSLATE(A1214, ""ar"", ""bn"")"),"তথ্য আইনের সুরক্ষা")</f>
        <v>তথ্য আইনের সুরক্ষা</v>
      </c>
    </row>
    <row r="1215">
      <c r="A1215" s="2" t="s">
        <v>1331</v>
      </c>
      <c r="B1215" s="3" t="str">
        <f>IFERROR(__xludf.DUMMYFUNCTION("GOOGLETRANSLATE(A1215, ""ar"", ""bn"")"),"গন্গনে অভিযোগ")</f>
        <v>গন্গনে অভিযোগ</v>
      </c>
    </row>
    <row r="1216">
      <c r="A1216" s="2" t="s">
        <v>1332</v>
      </c>
      <c r="B1216" s="3" t="str">
        <f>IFERROR(__xludf.DUMMYFUNCTION("GOOGLETRANSLATE(A1216, ""ar"", ""bn"")"),"SPLM কমান্ডার")</f>
        <v>SPLM কমান্ডার</v>
      </c>
    </row>
    <row r="1217">
      <c r="A1217" s="2" t="s">
        <v>1333</v>
      </c>
      <c r="B1217" s="3" t="str">
        <f>IFERROR(__xludf.DUMMYFUNCTION("GOOGLETRANSLATE(A1217, ""ar"", ""bn"")"),"নেতৃত্বের নেতৃত্ব")</f>
        <v>নেতৃত্বের নেতৃত্ব</v>
      </c>
    </row>
    <row r="1218">
      <c r="A1218" s="2" t="s">
        <v>1334</v>
      </c>
      <c r="B1218" s="3" t="str">
        <f>IFERROR(__xludf.DUMMYFUNCTION("GOOGLETRANSLATE(A1218, ""ar"", ""bn"")"),"নেতৃত্বের ধারণাকে")</f>
        <v>নেতৃত্বের ধারণাকে</v>
      </c>
    </row>
    <row r="1219">
      <c r="A1219" s="2" t="s">
        <v>1335</v>
      </c>
      <c r="B1219" s="3" t="str">
        <f>IFERROR(__xludf.DUMMYFUNCTION("GOOGLETRANSLATE(A1219, ""ar"", ""bn"")"),"পার্টির কমান্ডার")</f>
        <v>পার্টির কমান্ডার</v>
      </c>
    </row>
    <row r="1220">
      <c r="A1220" s="2" t="s">
        <v>1336</v>
      </c>
      <c r="B1220" s="3" t="str">
        <f>IFERROR(__xludf.DUMMYFUNCTION("GOOGLETRANSLATE(A1220, ""ar"", ""bn"")"),"একটি ছোট বুলেটিন")</f>
        <v>একটি ছোট বুলেটিন</v>
      </c>
    </row>
    <row r="1221">
      <c r="A1221" s="2" t="s">
        <v>1337</v>
      </c>
      <c r="B1221" s="3" t="str">
        <f>IFERROR(__xludf.DUMMYFUNCTION("GOOGLETRANSLATE(A1221, ""ar"", ""bn"")"),"নেশনস লীগ")</f>
        <v>নেশনস লীগ</v>
      </c>
    </row>
    <row r="1222">
      <c r="A1222" s="2" t="s">
        <v>1338</v>
      </c>
      <c r="B1222" s="3" t="str">
        <f>IFERROR(__xludf.DUMMYFUNCTION("GOOGLETRANSLATE(A1222, ""ar"", ""bn"")"),"বাম")</f>
        <v>বাম</v>
      </c>
    </row>
    <row r="1223">
      <c r="A1223" s="2" t="s">
        <v>1339</v>
      </c>
      <c r="B1223" s="3" t="str">
        <f>IFERROR(__xludf.DUMMYFUNCTION("GOOGLETRANSLATE(A1223, ""ar"", ""bn"")"),"বাম দলগুলোর")</f>
        <v>বাম দলগুলোর</v>
      </c>
    </row>
    <row r="1224">
      <c r="A1224" s="2" t="s">
        <v>1340</v>
      </c>
      <c r="B1224" s="3" t="str">
        <f>IFERROR(__xludf.DUMMYFUNCTION("GOOGLETRANSLATE(A1224, ""ar"", ""bn"")"),"বামপন্থী পার্টি")</f>
        <v>বামপন্থী পার্টি</v>
      </c>
    </row>
    <row r="1225">
      <c r="A1225" s="2" t="s">
        <v>1341</v>
      </c>
      <c r="B1225" s="3" t="str">
        <f>IFERROR(__xludf.DUMMYFUNCTION("GOOGLETRANSLATE(A1225, ""ar"", ""bn"")"),"বৈষম্য আইনত")</f>
        <v>বৈষম্য আইনত</v>
      </c>
    </row>
    <row r="1226">
      <c r="A1226" s="2" t="s">
        <v>1342</v>
      </c>
      <c r="B1226" s="3" t="str">
        <f>IFERROR(__xludf.DUMMYFUNCTION("GOOGLETRANSLATE(A1226, ""ar"", ""bn"")"),"আইনানুগ ব্যবস্থা")</f>
        <v>আইনানুগ ব্যবস্থা</v>
      </c>
    </row>
    <row r="1227">
      <c r="A1227" s="2" t="s">
        <v>1343</v>
      </c>
      <c r="B1227" s="3" t="str">
        <f>IFERROR(__xludf.DUMMYFUNCTION("GOOGLETRANSLATE(A1227, ""ar"", ""bn"")"),"বৈধ নথিপত্র বা বৈধ কাগজপত্র")</f>
        <v>বৈধ নথিপত্র বা বৈধ কাগজপত্র</v>
      </c>
    </row>
    <row r="1228">
      <c r="A1228" s="2" t="s">
        <v>1344</v>
      </c>
      <c r="B1228" s="3" t="str">
        <f>IFERROR(__xludf.DUMMYFUNCTION("GOOGLETRANSLATE(A1228, ""ar"", ""bn"")"),"সরকারের বৈধতা")</f>
        <v>সরকারের বৈধতা</v>
      </c>
    </row>
    <row r="1229">
      <c r="A1229" s="2" t="s">
        <v>1345</v>
      </c>
      <c r="B1229" s="3" t="str">
        <f>IFERROR(__xludf.DUMMYFUNCTION("GOOGLETRANSLATE(A1229, ""ar"", ""bn"")"),"বিধিসম্মত")</f>
        <v>বিধিসম্মত</v>
      </c>
    </row>
    <row r="1230">
      <c r="A1230" s="2" t="s">
        <v>1346</v>
      </c>
      <c r="B1230" s="3" t="str">
        <f>IFERROR(__xludf.DUMMYFUNCTION("GOOGLETRANSLATE(A1230, ""ar"", ""bn"")"),"Almttal রাজ্যের জন্য বৈধ")</f>
        <v>Almttal রাজ্যের জন্য বৈধ</v>
      </c>
    </row>
    <row r="1231">
      <c r="A1231" s="2" t="s">
        <v>1347</v>
      </c>
      <c r="B1231" s="3" t="str">
        <f>IFERROR(__xludf.DUMMYFUNCTION("GOOGLETRANSLATE(A1231, ""ar"", ""bn"")"),"ন্যায্য অধিকার")</f>
        <v>ন্যায্য অধিকার</v>
      </c>
    </row>
    <row r="1232">
      <c r="A1232" s="2" t="s">
        <v>1348</v>
      </c>
      <c r="B1232" s="3" t="str">
        <f>IFERROR(__xludf.DUMMYFUNCTION("GOOGLETRANSLATE(A1232, ""ar"", ""bn"")"),"বিদেশীদের আইনি অবস্থা")</f>
        <v>বিদেশীদের আইনি অবস্থা</v>
      </c>
    </row>
    <row r="1233">
      <c r="A1233" s="2" t="s">
        <v>1349</v>
      </c>
      <c r="B1233" s="3" t="str">
        <f>IFERROR(__xludf.DUMMYFUNCTION("GOOGLETRANSLATE(A1233, ""ar"", ""bn"")"),"সিদ্ধান্ত Amaln বৈধতা")</f>
        <v>সিদ্ধান্ত Amaln বৈধতা</v>
      </c>
    </row>
    <row r="1234">
      <c r="A1234" s="2" t="s">
        <v>1350</v>
      </c>
      <c r="B1234" s="3" t="str">
        <f>IFERROR(__xludf.DUMMYFUNCTION("GOOGLETRANSLATE(A1234, ""ar"", ""bn"")"),"আইন-সভা")</f>
        <v>আইন-সভা</v>
      </c>
    </row>
    <row r="1235">
      <c r="A1235" s="2" t="s">
        <v>1351</v>
      </c>
      <c r="B1235" s="3" t="str">
        <f>IFERROR(__xludf.DUMMYFUNCTION("GOOGLETRANSLATE(A1235, ""ar"", ""bn"")"),"আইন-সভা")</f>
        <v>আইন-সভা</v>
      </c>
    </row>
    <row r="1236">
      <c r="A1236" s="2" t="s">
        <v>1352</v>
      </c>
      <c r="B1236" s="3" t="str">
        <f>IFERROR(__xludf.DUMMYFUNCTION("GOOGLETRANSLATE(A1236, ""ar"", ""bn"")"),"লেজিসলেটিভ ফরমান")</f>
        <v>লেজিসলেটিভ ফরমান</v>
      </c>
    </row>
    <row r="1237">
      <c r="A1237" s="2" t="s">
        <v>1353</v>
      </c>
      <c r="B1237" s="3" t="str">
        <f>IFERROR(__xludf.DUMMYFUNCTION("GOOGLETRANSLATE(A1237, ""ar"", ""bn"")"),"লেজিসলেটিভ নির্বাচনে")</f>
        <v>লেজিসলেটিভ নির্বাচনে</v>
      </c>
    </row>
    <row r="1238">
      <c r="A1238" s="2" t="s">
        <v>1354</v>
      </c>
      <c r="B1238" s="3" t="str">
        <f>IFERROR(__xludf.DUMMYFUNCTION("GOOGLETRANSLATE(A1238, ""ar"", ""bn"")"),"এম গুরুত্বপূর্ণ বিধানিক")</f>
        <v>এম গুরুত্বপূর্ণ বিধানিক</v>
      </c>
    </row>
    <row r="1239">
      <c r="A1239" s="2" t="s">
        <v>1355</v>
      </c>
      <c r="B1239" s="3" t="str">
        <f>IFERROR(__xludf.DUMMYFUNCTION("GOOGLETRANSLATE(A1239, ""ar"", ""bn"")"),"আইন কর্তৃপক্ষ")</f>
        <v>আইন কর্তৃপক্ষ</v>
      </c>
    </row>
    <row r="1240">
      <c r="A1240" s="2" t="s">
        <v>1356</v>
      </c>
      <c r="B1240" s="3" t="str">
        <f>IFERROR(__xludf.DUMMYFUNCTION("GOOGLETRANSLATE(A1240, ""ar"", ""bn"")"),"আন্তর্জাতিক আইনের বৈধতা")</f>
        <v>আন্তর্জাতিক আইনের বৈধতা</v>
      </c>
    </row>
    <row r="1241">
      <c r="A1241" s="2" t="s">
        <v>1357</v>
      </c>
      <c r="B1241" s="3" t="str">
        <f>IFERROR(__xludf.DUMMYFUNCTION("GOOGLETRANSLATE(A1241, ""ar"", ""bn"")"),"বৈধ প্রতিরোধের")</f>
        <v>বৈধ প্রতিরোধের</v>
      </c>
    </row>
    <row r="1242">
      <c r="A1242" s="2" t="s">
        <v>1358</v>
      </c>
      <c r="B1242" s="3" t="str">
        <f>IFERROR(__xludf.DUMMYFUNCTION("GOOGLETRANSLATE(A1242, ""ar"", ""bn"")"),"বৈধ আত্মরক্ষা")</f>
        <v>বৈধ আত্মরক্ষা</v>
      </c>
    </row>
    <row r="1243">
      <c r="A1243" s="2" t="s">
        <v>1359</v>
      </c>
      <c r="B1243" s="3" t="str">
        <f>IFERROR(__xludf.DUMMYFUNCTION("GOOGLETRANSLATE(A1243, ""ar"", ""bn"")"),"নিশ্চিতকরণ বুক")</f>
        <v>নিশ্চিতকরণ বুক</v>
      </c>
    </row>
    <row r="1244">
      <c r="A1244" s="2" t="s">
        <v>1360</v>
      </c>
      <c r="B1244" s="3" t="str">
        <f>IFERROR(__xludf.DUMMYFUNCTION("GOOGLETRANSLATE(A1244, ""ar"", ""bn"")"),"বইয়ের কূটনৈতিক স্বীকৃতি")</f>
        <v>বইয়ের কূটনৈতিক স্বীকৃতি</v>
      </c>
    </row>
    <row r="1245">
      <c r="A1245" s="2" t="s">
        <v>1361</v>
      </c>
      <c r="B1245" s="3" t="str">
        <f>IFERROR(__xludf.DUMMYFUNCTION("GOOGLETRANSLATE(A1245, ""ar"", ""bn"")"),"লিয়াজোঁ অফিস")</f>
        <v>লিয়াজোঁ অফিস</v>
      </c>
    </row>
    <row r="1246">
      <c r="A1246" s="2" t="s">
        <v>1362</v>
      </c>
      <c r="B1246" s="3" t="str">
        <f>IFERROR(__xludf.DUMMYFUNCTION("GOOGLETRANSLATE(A1246, ""ar"", ""bn"")"),"সংযোগাধিকারিক")</f>
        <v>সংযোগাধিকারিক</v>
      </c>
    </row>
    <row r="1247">
      <c r="A1247" s="2" t="s">
        <v>1363</v>
      </c>
      <c r="B1247" s="3" t="str">
        <f>IFERROR(__xludf.DUMMYFUNCTION("GOOGLETRANSLATE(A1247, ""ar"", ""bn"")"),"লিবারেল পার্টি")</f>
        <v>লিবারেল পার্টি</v>
      </c>
    </row>
    <row r="1248">
      <c r="A1248" s="2" t="s">
        <v>1364</v>
      </c>
      <c r="B1248" s="3" t="str">
        <f>IFERROR(__xludf.DUMMYFUNCTION("GOOGLETRANSLATE(A1248, ""ar"", ""bn"")"),"লিবারেল রাজ্য")</f>
        <v>লিবারেল রাজ্য</v>
      </c>
    </row>
    <row r="1249">
      <c r="A1249" s="2" t="s">
        <v>1365</v>
      </c>
      <c r="B1249" s="3" t="str">
        <f>IFERROR(__xludf.DUMMYFUNCTION("GOOGLETRANSLATE(A1249, ""ar"", ""bn"")"),"লিবারেল বা লিবারেল মতবাদ")</f>
        <v>লিবারেল বা লিবারেল মতবাদ</v>
      </c>
    </row>
    <row r="1250">
      <c r="A1250" s="2" t="s">
        <v>1366</v>
      </c>
      <c r="B1250" s="3" t="str">
        <f>IFERROR(__xludf.DUMMYFUNCTION("GOOGLETRANSLATE(A1250, ""ar"", ""bn"")"),"Amahr টি বন্দীদের")</f>
        <v>Amahr টি বন্দীদের</v>
      </c>
    </row>
    <row r="1251">
      <c r="A1251" s="2" t="s">
        <v>1367</v>
      </c>
      <c r="B1251" s="3" t="str">
        <f>IFERROR(__xludf.DUMMYFUNCTION("GOOGLETRANSLATE(A1251, ""ar"", ""bn"")"),"মুক্তি")</f>
        <v>মুক্তি</v>
      </c>
    </row>
    <row r="1252">
      <c r="A1252" s="2" t="s">
        <v>1368</v>
      </c>
      <c r="B1252" s="3" t="str">
        <f>IFERROR(__xludf.DUMMYFUNCTION("GOOGLETRANSLATE(A1252, ""ar"", ""bn"")"),"মুক্ত বন্দীদের")</f>
        <v>মুক্ত বন্দীদের</v>
      </c>
    </row>
    <row r="1253">
      <c r="A1253" s="2" t="s">
        <v>1369</v>
      </c>
      <c r="B1253" s="3" t="str">
        <f>IFERROR(__xludf.DUMMYFUNCTION("GOOGLETRANSLATE(A1253, ""ar"", ""bn"")"),"রাজনৈতিক বন্দীদের মুক্ত করা")</f>
        <v>রাজনৈতিক বন্দীদের মুক্ত করা</v>
      </c>
    </row>
    <row r="1254">
      <c r="A1254" s="2" t="s">
        <v>1370</v>
      </c>
      <c r="B1254" s="3" t="str">
        <f>IFERROR(__xludf.DUMMYFUNCTION("GOOGLETRANSLATE(A1254, ""ar"", ""bn"")"),"লিবারেশন যুদ্ধ")</f>
        <v>লিবারেশন যুদ্ধ</v>
      </c>
    </row>
    <row r="1255">
      <c r="A1255" s="2" t="s">
        <v>1371</v>
      </c>
      <c r="B1255" s="3" t="str">
        <f>IFERROR(__xludf.DUMMYFUNCTION("GOOGLETRANSLATE(A1255, ""ar"", ""bn"")"),"লিবারেশন আন্দোলন")</f>
        <v>লিবারেশন আন্দোলন</v>
      </c>
    </row>
    <row r="1256">
      <c r="A1256" s="2" t="s">
        <v>1372</v>
      </c>
      <c r="B1256" s="3" t="str">
        <f>IFERROR(__xludf.DUMMYFUNCTION("GOOGLETRANSLATE(A1256, ""ar"", ""bn"")"),"স্বাধীনতা স্বাধীনতা")</f>
        <v>স্বাধীনতা স্বাধীনতা</v>
      </c>
    </row>
    <row r="1257">
      <c r="A1257" s="2" t="s">
        <v>1373</v>
      </c>
      <c r="B1257" s="3" t="str">
        <f>IFERROR(__xludf.DUMMYFUNCTION("GOOGLETRANSLATE(A1257, ""ar"", ""bn"")"),"স্বাধীনতার ধারণা")</f>
        <v>স্বাধীনতার ধারণা</v>
      </c>
    </row>
    <row r="1258">
      <c r="A1258" s="2" t="s">
        <v>1374</v>
      </c>
      <c r="B1258" s="3" t="str">
        <f>IFERROR(__xludf.DUMMYFUNCTION("GOOGLETRANSLATE(A1258, ""ar"", ""bn"")"),"এইচ Rayya মরুকরণ পি")</f>
        <v>এইচ Rayya মরুকরণ পি</v>
      </c>
    </row>
    <row r="1259">
      <c r="A1259" s="2" t="s">
        <v>1375</v>
      </c>
      <c r="B1259" s="3" t="str">
        <f>IFERROR(__xludf.DUMMYFUNCTION("GOOGLETRANSLATE(A1259, ""ar"", ""bn"")"),"স্বায়ত্তশাসন স্বাধীনতা")</f>
        <v>স্বায়ত্তশাসন স্বাধীনতা</v>
      </c>
    </row>
    <row r="1260">
      <c r="A1260" s="2" t="s">
        <v>1376</v>
      </c>
      <c r="B1260" s="3" t="str">
        <f>IFERROR(__xludf.DUMMYFUNCTION("GOOGLETRANSLATE(A1260, ""ar"", ""bn"")"),"ধর্মীয় বিশ্বাসের স্বাধীনতা")</f>
        <v>ধর্মীয় বিশ্বাসের স্বাধীনতা</v>
      </c>
    </row>
    <row r="1261">
      <c r="A1261" s="2" t="s">
        <v>1377</v>
      </c>
      <c r="B1261" s="3" t="str">
        <f>IFERROR(__xludf.DUMMYFUNCTION("GOOGLETRANSLATE(A1261, ""ar"", ""bn"")"),"আইন দিকে নাগরিকদের স্বাধীনতা")</f>
        <v>আইন দিকে নাগরিকদের স্বাধীনতা</v>
      </c>
    </row>
    <row r="1262">
      <c r="A1262" s="2" t="s">
        <v>1378</v>
      </c>
      <c r="B1262" s="3" t="str">
        <f>IFERROR(__xludf.DUMMYFUNCTION("GOOGLETRANSLATE(A1262, ""ar"", ""bn"")"),"এইচ গোপনীয় যোগাযোগ")</f>
        <v>এইচ গোপনীয় যোগাযোগ</v>
      </c>
    </row>
    <row r="1263">
      <c r="A1263" s="2" t="s">
        <v>1379</v>
      </c>
      <c r="B1263" s="3" t="str">
        <f>IFERROR(__xludf.DUMMYFUNCTION("GOOGLETRANSLATE(A1263, ""ar"", ""bn"")"),"সাংস্কৃতিক বিনিময় স্বাধীনতা")</f>
        <v>সাংস্কৃতিক বিনিময় স্বাধীনতা</v>
      </c>
    </row>
    <row r="1264">
      <c r="A1264" s="2" t="s">
        <v>1380</v>
      </c>
      <c r="B1264" s="3" t="str">
        <f>IFERROR(__xludf.DUMMYFUNCTION("GOOGLETRANSLATE(A1264, ""ar"", ""bn"")"),"রাষ্ট্রের পয়সায়")</f>
        <v>রাষ্ট্রের পয়সায়</v>
      </c>
    </row>
    <row r="1265">
      <c r="A1265" s="2" t="s">
        <v>1381</v>
      </c>
      <c r="B1265" s="3" t="str">
        <f>IFERROR(__xludf.DUMMYFUNCTION("GOOGLETRANSLATE(A1265, ""ar"", ""bn"")"),"এইচ Rayya অভিব্যক্তি")</f>
        <v>এইচ Rayya অভিব্যক্তি</v>
      </c>
    </row>
    <row r="1266">
      <c r="A1266" s="2" t="s">
        <v>1382</v>
      </c>
      <c r="B1266" s="3" t="str">
        <f>IFERROR(__xludf.DUMMYFUNCTION("GOOGLETRANSLATE(A1266, ""ar"", ""bn"")"),"মতাদর্শগত স্বাধীনতা")</f>
        <v>মতাদর্শগত স্বাধীনতা</v>
      </c>
    </row>
    <row r="1267">
      <c r="A1267" s="2" t="s">
        <v>1383</v>
      </c>
      <c r="B1267" s="3" t="str">
        <f>IFERROR(__xludf.DUMMYFUNCTION("GOOGLETRANSLATE(A1267, ""ar"", ""bn"")"),"এইচ গোপনীয় তথ্য ও গণমাধ্যম")</f>
        <v>এইচ গোপনীয় তথ্য ও গণমাধ্যম</v>
      </c>
    </row>
    <row r="1268">
      <c r="A1268" s="2" t="s">
        <v>1384</v>
      </c>
      <c r="B1268" s="3" t="str">
        <f>IFERROR(__xludf.DUMMYFUNCTION("GOOGLETRANSLATE(A1268, ""ar"", ""bn"")"),"যেমন উদারীকরণ স্বাধীনতা")</f>
        <v>যেমন উদারীকরণ স্বাধীনতা</v>
      </c>
    </row>
    <row r="1269">
      <c r="A1269" s="2" t="s">
        <v>1385</v>
      </c>
      <c r="B1269" s="3" t="str">
        <f>IFERROR(__xludf.DUMMYFUNCTION("GOOGLETRANSLATE(A1269, ""ar"", ""bn"")"),"ক্ষমতায় অংশগ্রহণ স্বাধীনতা")</f>
        <v>ক্ষমতায় অংশগ্রহণ স্বাধীনতা</v>
      </c>
    </row>
    <row r="1270">
      <c r="A1270" s="2" t="s">
        <v>1386</v>
      </c>
      <c r="B1270" s="3" t="str">
        <f>IFERROR(__xludf.DUMMYFUNCTION("GOOGLETRANSLATE(A1270, ""ar"", ""bn"")"),"ফ্রি ট্রাফিক")</f>
        <v>ফ্রি ট্রাফিক</v>
      </c>
    </row>
    <row r="1271">
      <c r="A1271" s="2" t="s">
        <v>1387</v>
      </c>
      <c r="B1271" s="3" t="str">
        <f>IFERROR(__xludf.DUMMYFUNCTION("GOOGLETRANSLATE(A1271, ""ar"", ""bn"")"),"প্রতিবাদের ফ্রিডম")</f>
        <v>প্রতিবাদের ফ্রিডম</v>
      </c>
    </row>
    <row r="1272">
      <c r="A1272" s="2" t="s">
        <v>1388</v>
      </c>
      <c r="B1272" s="3" t="str">
        <f>IFERROR(__xludf.DUMMYFUNCTION("GOOGLETRANSLATE(A1272, ""ar"", ""bn"")"),"আত্মনিয়ন্ত্রণের স্বাধীনতা")</f>
        <v>আত্মনিয়ন্ত্রণের স্বাধীনতা</v>
      </c>
    </row>
    <row r="1273">
      <c r="A1273" s="2" t="s">
        <v>1389</v>
      </c>
      <c r="B1273" s="3" t="str">
        <f>IFERROR(__xludf.DUMMYFUNCTION("GOOGLETRANSLATE(A1273, ""ar"", ""bn"")"),"বক্তৃতা ও লেখার স্বাধীনতা")</f>
        <v>বক্তৃতা ও লেখার স্বাধীনতা</v>
      </c>
    </row>
    <row r="1274">
      <c r="A1274" s="2" t="s">
        <v>1390</v>
      </c>
      <c r="B1274" s="3" t="str">
        <f>IFERROR(__xludf.DUMMYFUNCTION("GOOGLETRANSLATE(A1274, ""ar"", ""bn"")"),"ফ্রি ইয়ে নির্বাচন")</f>
        <v>ফ্রি ইয়ে নির্বাচন</v>
      </c>
    </row>
    <row r="1275">
      <c r="A1275" s="2" t="s">
        <v>1391</v>
      </c>
      <c r="B1275" s="3" t="str">
        <f>IFERROR(__xludf.DUMMYFUNCTION("GOOGLETRANSLATE(A1275, ""ar"", ""bn"")"),"অর্পণ এর এইচ সীমা")</f>
        <v>অর্পণ এর এইচ সীমা</v>
      </c>
    </row>
    <row r="1276">
      <c r="A1276" s="2" t="s">
        <v>1392</v>
      </c>
      <c r="B1276" s="3" t="str">
        <f>IFERROR(__xludf.DUMMYFUNCTION("GOOGLETRANSLATE(A1276, ""ar"", ""bn"")"),"পারমাণবিক অস্ত্র কমানো")</f>
        <v>পারমাণবিক অস্ত্র কমানো</v>
      </c>
    </row>
    <row r="1277">
      <c r="A1277" s="2" t="s">
        <v>1393</v>
      </c>
      <c r="B1277" s="3" t="str">
        <f>IFERROR(__xludf.DUMMYFUNCTION("GOOGLETRANSLATE(A1277, ""ar"", ""bn"")"),"সামরিক অভিযানের কমাতে")</f>
        <v>সামরিক অভিযানের কমাতে</v>
      </c>
    </row>
    <row r="1278">
      <c r="A1278" s="2" t="s">
        <v>1394</v>
      </c>
      <c r="B1278" s="3" t="str">
        <f>IFERROR(__xludf.DUMMYFUNCTION("GOOGLETRANSLATE(A1278, ""ar"", ""bn"")"),"পারমাণবিক অস্ত্র হ্রাস")</f>
        <v>পারমাণবিক অস্ত্র হ্রাস</v>
      </c>
    </row>
    <row r="1279">
      <c r="A1279" s="2" t="s">
        <v>1395</v>
      </c>
      <c r="B1279" s="3" t="str">
        <f>IFERROR(__xludf.DUMMYFUNCTION("GOOGLETRANSLATE(A1279, ""ar"", ""bn"")"),"ভোটার তালিকা")</f>
        <v>ভোটার তালিকা</v>
      </c>
    </row>
    <row r="1280">
      <c r="A1280" s="2" t="s">
        <v>1396</v>
      </c>
      <c r="B1280" s="3" t="str">
        <f>IFERROR(__xludf.DUMMYFUNCTION("GOOGLETRANSLATE(A1280, ""ar"", ""bn"")"),"মানব ঢাল")</f>
        <v>মানব ঢাল</v>
      </c>
    </row>
    <row r="1281">
      <c r="A1281" s="2" t="s">
        <v>1397</v>
      </c>
      <c r="B1281" s="3" t="str">
        <f>IFERROR(__xludf.DUMMYFUNCTION("GOOGLETRANSLATE(A1281, ""ar"", ""bn"")"),"কর্তৃপক্ষ প্রতিস্থাপন ইয়ে")</f>
        <v>কর্তৃপক্ষ প্রতিস্থাপন ইয়ে</v>
      </c>
    </row>
    <row r="1282">
      <c r="A1282" s="2" t="s">
        <v>1398</v>
      </c>
      <c r="B1282" s="3" t="str">
        <f>IFERROR(__xludf.DUMMYFUNCTION("GOOGLETRANSLATE(A1282, ""ar"", ""bn"")"),"বসবাসের বিরোধিতা")</f>
        <v>বসবাসের বিরোধিতা</v>
      </c>
    </row>
    <row r="1283">
      <c r="A1283" s="2" t="s">
        <v>1399</v>
      </c>
      <c r="B1283" s="3" t="str">
        <f>IFERROR(__xludf.DUMMYFUNCTION("GOOGLETRANSLATE(A1283, ""ar"", ""bn"")"),"স্থানীয় সরকার")</f>
        <v>স্থানীয় সরকার</v>
      </c>
    </row>
    <row r="1284">
      <c r="A1284" s="2" t="s">
        <v>1400</v>
      </c>
      <c r="B1284" s="3" t="str">
        <f>IFERROR(__xludf.DUMMYFUNCTION("GOOGLETRANSLATE(A1284, ""ar"", ""bn"")"),"আইন প্রতিস্থাপন")</f>
        <v>আইন প্রতিস্থাপন</v>
      </c>
    </row>
    <row r="1285">
      <c r="A1285" s="2" t="s">
        <v>1401</v>
      </c>
      <c r="B1285" s="3" t="str">
        <f>IFERROR(__xludf.DUMMYFUNCTION("GOOGLETRANSLATE(A1285, ""ar"", ""bn"")"),"মিডিয়া প্রতিস্থাপন")</f>
        <v>মিডিয়া প্রতিস্থাপন</v>
      </c>
    </row>
    <row r="1286">
      <c r="A1286" s="2" t="s">
        <v>1402</v>
      </c>
      <c r="B1286" s="3" t="str">
        <f>IFERROR(__xludf.DUMMYFUNCTION("GOOGLETRANSLATE(A1286, ""ar"", ""bn"")"),"স্থানীয় সতর্কতামূলক ব্যবস্থা")</f>
        <v>স্থানীয় সতর্কতামূলক ব্যবস্থা</v>
      </c>
    </row>
    <row r="1287">
      <c r="A1287" s="2" t="s">
        <v>1403</v>
      </c>
      <c r="B1287" s="3" t="str">
        <f>IFERROR(__xludf.DUMMYFUNCTION("GOOGLETRANSLATE(A1287, ""ar"", ""bn"")"),"দীর্ঘমেয়াদী স্টপেজ যুদ্ধ")</f>
        <v>দীর্ঘমেয়াদী স্টপেজ যুদ্ধ</v>
      </c>
    </row>
    <row r="1288">
      <c r="A1288" s="2" t="s">
        <v>1404</v>
      </c>
      <c r="B1288" s="3" t="str">
        <f>IFERROR(__xludf.DUMMYFUNCTION("GOOGLETRANSLATE(A1288, ""ar"", ""bn"")"),"দীর্ঘমেয়াদী নীতি")</f>
        <v>দীর্ঘমেয়াদী নীতি</v>
      </c>
    </row>
    <row r="1289">
      <c r="A1289" s="2" t="s">
        <v>1405</v>
      </c>
      <c r="B1289" s="3" t="str">
        <f>IFERROR(__xludf.DUMMYFUNCTION("GOOGLETRANSLATE(A1289, ""ar"", ""bn"")"),"সিটি কখনো ঝড়")</f>
        <v>সিটি কখনো ঝড়</v>
      </c>
    </row>
    <row r="1290">
      <c r="A1290" s="2" t="s">
        <v>1406</v>
      </c>
      <c r="B1290" s="3" t="str">
        <f>IFERROR(__xludf.DUMMYFUNCTION("GOOGLETRANSLATE(A1290, ""ar"", ""bn"")"),"কী পয়েন্ট")</f>
        <v>কী পয়েন্ট</v>
      </c>
    </row>
    <row r="1291">
      <c r="A1291" s="2" t="s">
        <v>1407</v>
      </c>
      <c r="B1291" s="3" t="str">
        <f>IFERROR(__xludf.DUMMYFUNCTION("GOOGLETRANSLATE(A1291, ""ar"", ""bn"")"),"সমঝোতা")</f>
        <v>সমঝোতা</v>
      </c>
    </row>
    <row r="1292">
      <c r="A1292" s="2" t="s">
        <v>1408</v>
      </c>
      <c r="B1292" s="3" t="str">
        <f>IFERROR(__xludf.DUMMYFUNCTION("GOOGLETRANSLATE(A1292, ""ar"", ""bn"")"),"মূল মিত্র")</f>
        <v>মূল মিত্র</v>
      </c>
    </row>
    <row r="1293">
      <c r="A1293" s="2" t="s">
        <v>1409</v>
      </c>
      <c r="B1293" s="3" t="str">
        <f>IFERROR(__xludf.DUMMYFUNCTION("GOOGLETRANSLATE(A1293, ""ar"", ""bn"")"),"সেনাবাহিনী স্টাফ কমিটির")</f>
        <v>সেনাবাহিনী স্টাফ কমিটির</v>
      </c>
    </row>
    <row r="1294">
      <c r="A1294" s="2" t="s">
        <v>1410</v>
      </c>
      <c r="B1294" s="3" t="str">
        <f>IFERROR(__xludf.DUMMYFUNCTION("GOOGLETRANSLATE(A1294, ""ar"", ""bn"")"),"স্থায়িত্ব প্রধান কারণ")</f>
        <v>স্থায়িত্ব প্রধান কারণ</v>
      </c>
    </row>
    <row r="1295">
      <c r="A1295" s="2" t="s">
        <v>1411</v>
      </c>
      <c r="B1295" s="3" t="str">
        <f>IFERROR(__xludf.DUMMYFUNCTION("GOOGLETRANSLATE(A1295, ""ar"", ""bn"")"),"আন্তর্জাতিক সুপার পাওয়ারের")</f>
        <v>আন্তর্জাতিক সুপার পাওয়ারের</v>
      </c>
    </row>
    <row r="1296">
      <c r="A1296" s="2" t="s">
        <v>1412</v>
      </c>
      <c r="B1296" s="3" t="str">
        <f>IFERROR(__xludf.DUMMYFUNCTION("GOOGLETRANSLATE(A1296, ""ar"", ""bn"")"),"সর্বাধিক ইয়ে")</f>
        <v>সর্বাধিক ইয়ে</v>
      </c>
    </row>
    <row r="1297">
      <c r="A1297" s="2" t="s">
        <v>1413</v>
      </c>
      <c r="B1297" s="3" t="str">
        <f>IFERROR(__xludf.DUMMYFUNCTION("GOOGLETRANSLATE(A1297, ""ar"", ""bn"")"),"অংশ পণ")</f>
        <v>অংশ পণ</v>
      </c>
    </row>
    <row r="1298">
      <c r="A1298" s="2" t="s">
        <v>1414</v>
      </c>
      <c r="B1298" s="3" t="str">
        <f>IFERROR(__xludf.DUMMYFUNCTION("GOOGLETRANSLATE(A1298, ""ar"", ""bn"")"),"সংখ্যাগরিষ্ঠ মতামত")</f>
        <v>সংখ্যাগরিষ্ঠ মতামত</v>
      </c>
    </row>
    <row r="1299">
      <c r="A1299" s="2" t="s">
        <v>1415</v>
      </c>
      <c r="B1299" s="3" t="str">
        <f>IFERROR(__xludf.DUMMYFUNCTION("GOOGLETRANSLATE(A1299, ""ar"", ""bn"")"),"সংখ্যাগরিষ্ঠ কর্তৃপক্ষ")</f>
        <v>সংখ্যাগরিষ্ঠ কর্তৃপক্ষ</v>
      </c>
    </row>
    <row r="1300">
      <c r="A1300" s="2" t="s">
        <v>1416</v>
      </c>
      <c r="B1300" s="3" t="str">
        <f>IFERROR(__xludf.DUMMYFUNCTION("GOOGLETRANSLATE(A1300, ""ar"", ""bn"")"),"অংশ ভোট")</f>
        <v>অংশ ভোট</v>
      </c>
    </row>
    <row r="1301">
      <c r="A1301" s="2" t="s">
        <v>1417</v>
      </c>
      <c r="B1301" s="3" t="str">
        <f>IFERROR(__xludf.DUMMYFUNCTION("GOOGLETRANSLATE(A1301, ""ar"", ""bn"")"),"Amekdm ছাড়")</f>
        <v>Amekdm ছাড়</v>
      </c>
    </row>
    <row r="1302">
      <c r="A1302" s="2" t="s">
        <v>1418</v>
      </c>
      <c r="B1302" s="3" t="str">
        <f>IFERROR(__xludf.DUMMYFUNCTION("GOOGLETRANSLATE(A1302, ""ar"", ""bn"")"),"হুকুম")</f>
        <v>হুকুম</v>
      </c>
    </row>
    <row r="1303">
      <c r="A1303" s="2" t="s">
        <v>1419</v>
      </c>
      <c r="B1303" s="3" t="str">
        <f>IFERROR(__xludf.DUMMYFUNCTION("GOOGLETRANSLATE(A1303, ""ar"", ""bn"")"),"কমিটির মেন্ডেটের")</f>
        <v>কমিটির মেন্ডেটের</v>
      </c>
    </row>
    <row r="1304">
      <c r="A1304" s="2" t="s">
        <v>1420</v>
      </c>
      <c r="B1304" s="3" t="str">
        <f>IFERROR(__xludf.DUMMYFUNCTION("GOOGLETRANSLATE(A1304, ""ar"", ""bn"")"),"ভোট প্রতিনিধি")</f>
        <v>ভোট প্রতিনিধি</v>
      </c>
    </row>
    <row r="1305">
      <c r="A1305" s="2" t="s">
        <v>1421</v>
      </c>
      <c r="B1305" s="3" t="str">
        <f>IFERROR(__xludf.DUMMYFUNCTION("GOOGLETRANSLATE(A1305, ""ar"", ""bn"")"),"জনাদেশ অধীনে রাজ্য")</f>
        <v>জনাদেশ অধীনে রাজ্য</v>
      </c>
    </row>
    <row r="1306">
      <c r="A1306" s="2" t="s">
        <v>1422</v>
      </c>
      <c r="B1306" s="3" t="str">
        <f>IFERROR(__xludf.DUMMYFUNCTION("GOOGLETRANSLATE(A1306, ""ar"", ""bn"")"),"Ymazhr পক্ষপাত")</f>
        <v>Ymazhr পক্ষপাত</v>
      </c>
    </row>
    <row r="1307">
      <c r="A1307" s="2" t="s">
        <v>1423</v>
      </c>
      <c r="B1307" s="3" t="str">
        <f>IFERROR(__xludf.DUMMYFUNCTION("GOOGLETRANSLATE(A1307, ""ar"", ""bn"")"),"মিছিল!")</f>
        <v>মিছিল!</v>
      </c>
    </row>
    <row r="1308">
      <c r="A1308" s="2" t="s">
        <v>1424</v>
      </c>
      <c r="B1308" s="3" t="str">
        <f>IFERROR(__xludf.DUMMYFUNCTION("GOOGLETRANSLATE(A1308, ""ar"", ""bn"")"),"কাজে ব্যবহৃত নির্বাচনে")</f>
        <v>কাজে ব্যবহৃত নির্বাচনে</v>
      </c>
    </row>
    <row r="1309">
      <c r="A1309" s="2" t="s">
        <v>1425</v>
      </c>
      <c r="B1309" s="3" t="str">
        <f>IFERROR(__xludf.DUMMYFUNCTION("GOOGLETRANSLATE(A1309, ""ar"", ""bn"")"),"জে মানুষের ভাগ্য নিপূণভাবে")</f>
        <v>জে মানুষের ভাগ্য নিপূণভাবে</v>
      </c>
    </row>
    <row r="1310">
      <c r="A1310" s="2" t="s">
        <v>1426</v>
      </c>
      <c r="B1310" s="3" t="str">
        <f>IFERROR(__xludf.DUMMYFUNCTION("GOOGLETRANSLATE(A1310, ""ar"", ""bn"")"),"নৌ অবরোধ")</f>
        <v>নৌ অবরোধ</v>
      </c>
    </row>
    <row r="1311">
      <c r="A1311" s="2" t="s">
        <v>1427</v>
      </c>
      <c r="B1311" s="3" t="str">
        <f>IFERROR(__xludf.DUMMYFUNCTION("GOOGLETRANSLATE(A1311, ""ar"", ""bn"")"),"গতানুগতিক কাউন্সিল")</f>
        <v>গতানুগতিক কাউন্সিল</v>
      </c>
    </row>
    <row r="1312">
      <c r="A1312" s="2" t="s">
        <v>1428</v>
      </c>
      <c r="B1312" s="3" t="str">
        <f>IFERROR(__xludf.DUMMYFUNCTION("GOOGLETRANSLATE(A1312, ""ar"", ""bn"")"),"মার্শাল আদালত")</f>
        <v>মার্শাল আদালত</v>
      </c>
    </row>
    <row r="1313">
      <c r="A1313" s="2" t="s">
        <v>1429</v>
      </c>
      <c r="B1313" s="3" t="str">
        <f>IFERROR(__xludf.DUMMYFUNCTION("GOOGLETRANSLATE(A1313, ""ar"", ""bn"")"),"মার্শাল স্থিতি আইন")</f>
        <v>মার্শাল স্থিতি আইন</v>
      </c>
    </row>
    <row r="1314">
      <c r="A1314" s="2" t="s">
        <v>1430</v>
      </c>
      <c r="B1314" s="3" t="str">
        <f>IFERROR(__xludf.DUMMYFUNCTION("GOOGLETRANSLATE(A1314, ""ar"", ""bn"")"),"শহীদের যন্ত্রণা")</f>
        <v>শহীদের যন্ত্রণা</v>
      </c>
    </row>
    <row r="1315">
      <c r="A1315" s="2" t="s">
        <v>1431</v>
      </c>
      <c r="B1315" s="3" t="str">
        <f>IFERROR(__xludf.DUMMYFUNCTION("GOOGLETRANSLATE(A1315, ""ar"", ""bn"")"),"শহীদ")</f>
        <v>শহীদ</v>
      </c>
    </row>
    <row r="1316">
      <c r="A1316" s="2" t="s">
        <v>1432</v>
      </c>
      <c r="B1316" s="3" t="str">
        <f>IFERROR(__xludf.DUMMYFUNCTION("GOOGLETRANSLATE(A1316, ""ar"", ""bn"")"),"ভর ধ্বংস")</f>
        <v>ভর ধ্বংস</v>
      </c>
    </row>
    <row r="1317">
      <c r="A1317" s="2" t="s">
        <v>1433</v>
      </c>
      <c r="B1317" s="3" t="str">
        <f>IFERROR(__xludf.DUMMYFUNCTION("GOOGLETRANSLATE(A1317, ""ar"", ""bn"")"),"প্রকাশ্য জানাও")</f>
        <v>প্রকাশ্য জানাও</v>
      </c>
    </row>
    <row r="1318">
      <c r="A1318" s="2" t="s">
        <v>1434</v>
      </c>
      <c r="B1318" s="3" t="str">
        <f>IFERROR(__xludf.DUMMYFUNCTION("GOOGLETRANSLATE(A1318, ""ar"", ""bn"")"),"জনসভায়")</f>
        <v>জনসভায়</v>
      </c>
    </row>
    <row r="1319">
      <c r="A1319" s="2" t="s">
        <v>1435</v>
      </c>
      <c r="B1319" s="3" t="str">
        <f>IFERROR(__xludf.DUMMYFUNCTION("GOOGLETRANSLATE(A1319, ""ar"", ""bn"")"),"ভারি সামরিক আক্রমণের")</f>
        <v>ভারি সামরিক আক্রমণের</v>
      </c>
    </row>
    <row r="1320">
      <c r="A1320" s="2" t="s">
        <v>1436</v>
      </c>
      <c r="B1320" s="3" t="str">
        <f>IFERROR(__xludf.DUMMYFUNCTION("GOOGLETRANSLATE(A1320, ""ar"", ""bn"")"),"একটি গণ আন্দোলন")</f>
        <v>একটি গণ আন্দোলন</v>
      </c>
    </row>
    <row r="1321">
      <c r="A1321" s="2" t="s">
        <v>1437</v>
      </c>
      <c r="B1321" s="3" t="str">
        <f>IFERROR(__xludf.DUMMYFUNCTION("GOOGLETRANSLATE(A1321, ""ar"", ""bn"")"),"অনুষ্ঠান - এর গুরু")</f>
        <v>অনুষ্ঠান - এর গুরু</v>
      </c>
    </row>
    <row r="1322">
      <c r="A1322" s="2" t="s">
        <v>1438</v>
      </c>
      <c r="B1322" s="3" t="str">
        <f>IFERROR(__xludf.DUMMYFUNCTION("GOOGLETRANSLATE(A1322, ""ar"", ""bn"")"),"আর্থিক সহায়তা")</f>
        <v>আর্থিক সহায়তা</v>
      </c>
    </row>
    <row r="1323">
      <c r="A1323" s="2" t="s">
        <v>1439</v>
      </c>
      <c r="B1323" s="3" t="str">
        <f>IFERROR(__xludf.DUMMYFUNCTION("GOOGLETRANSLATE(A1323, ""ar"", ""bn"")"),"রাজ্যপাল")</f>
        <v>রাজ্যপাল</v>
      </c>
    </row>
    <row r="1324">
      <c r="A1324" s="2" t="s">
        <v>1440</v>
      </c>
      <c r="B1324" s="3" t="str">
        <f>IFERROR(__xludf.DUMMYFUNCTION("GOOGLETRANSLATE(A1324, ""ar"", ""bn"")"),"রাজনৈতিক দলগুলোর প্রক্রিয়া কাজ")</f>
        <v>রাজনৈতিক দলগুলোর প্রক্রিয়া কাজ</v>
      </c>
    </row>
    <row r="1325">
      <c r="A1325" s="2" t="s">
        <v>1441</v>
      </c>
      <c r="B1325" s="3" t="str">
        <f>IFERROR(__xludf.DUMMYFUNCTION("GOOGLETRANSLATE(A1325, ""ar"", ""bn"")"),"কোন প্রতারণা Almikiavlah নীতিকে")</f>
        <v>কোন প্রতারণা Almikiavlah নীতিকে</v>
      </c>
    </row>
    <row r="1326">
      <c r="A1326" s="2" t="s">
        <v>644</v>
      </c>
      <c r="B1326" s="3" t="str">
        <f>IFERROR(__xludf.DUMMYFUNCTION("GOOGLETRANSLATE(A1326, ""ar"", ""bn"")"),"রাজনীতিজ্ঞ")</f>
        <v>রাজনীতিজ্ঞ</v>
      </c>
    </row>
    <row r="1327">
      <c r="A1327" s="2" t="s">
        <v>1442</v>
      </c>
      <c r="B1327" s="3" t="str">
        <f>IFERROR(__xludf.DUMMYFUNCTION("GOOGLETRANSLATE(A1327, ""ar"", ""bn"")"),"মিডিয়ার ভূমিকা")</f>
        <v>মিডিয়ার ভূমিকা</v>
      </c>
    </row>
    <row r="1328">
      <c r="A1328" s="2" t="s">
        <v>1443</v>
      </c>
      <c r="B1328" s="3" t="str">
        <f>IFERROR(__xludf.DUMMYFUNCTION("GOOGLETRANSLATE(A1328, ""ar"", ""bn"")"),"মিডিয়া")</f>
        <v>মিডিয়া</v>
      </c>
    </row>
    <row r="1329">
      <c r="A1329" s="2" t="s">
        <v>1444</v>
      </c>
      <c r="B1329" s="3" t="str">
        <f>IFERROR(__xludf.DUMMYFUNCTION("GOOGLETRANSLATE(A1329, ""ar"", ""bn"")"),"প্রকাশ করা মিডিয়া এবং বিজ্ঞাপন")</f>
        <v>প্রকাশ করা মিডিয়া এবং বিজ্ঞাপন</v>
      </c>
    </row>
    <row r="1330">
      <c r="A1330" s="2" t="s">
        <v>1445</v>
      </c>
      <c r="B1330" s="3" t="str">
        <f>IFERROR(__xludf.DUMMYFUNCTION("GOOGLETRANSLATE(A1330, ""ar"", ""bn"")"),"ঐতিহাসিক ঘটনা সত্যায়িত")</f>
        <v>ঐতিহাসিক ঘটনা সত্যায়িত</v>
      </c>
    </row>
    <row r="1331">
      <c r="A1331" s="2" t="s">
        <v>1446</v>
      </c>
      <c r="B1331" s="3" t="str">
        <f>IFERROR(__xludf.DUMMYFUNCTION("GOOGLETRANSLATE(A1331, ""ar"", ""bn"")"),"সভার ঘটনা এম একটি নোট")</f>
        <v>সভার ঘটনা এম একটি নোট</v>
      </c>
    </row>
    <row r="1332">
      <c r="A1332" s="2" t="s">
        <v>1447</v>
      </c>
      <c r="B1332" s="3" t="str">
        <f>IFERROR(__xludf.DUMMYFUNCTION("GOOGLETRANSLATE(A1332, ""ar"", ""bn"")"),"মেমোরিয়াল প্লেট")</f>
        <v>মেমোরিয়াল প্লেট</v>
      </c>
    </row>
    <row r="1333">
      <c r="A1333" s="2" t="s">
        <v>1448</v>
      </c>
      <c r="B1333" s="3" t="str">
        <f>IFERROR(__xludf.DUMMYFUNCTION("GOOGLETRANSLATE(A1333, ""ar"", ""bn"")"),"ইতিহাস দিন")</f>
        <v>ইতিহাস দিন</v>
      </c>
    </row>
    <row r="1334">
      <c r="A1334" s="2" t="s">
        <v>1449</v>
      </c>
      <c r="B1334" s="3" t="str">
        <f>IFERROR(__xludf.DUMMYFUNCTION("GOOGLETRANSLATE(A1334, ""ar"", ""bn"")"),"উল্লেখযোগ্য রাজনৈতিক ঘটনা")</f>
        <v>উল্লেখযোগ্য রাজনৈতিক ঘটনা</v>
      </c>
    </row>
    <row r="1335">
      <c r="A1335" s="2" t="s">
        <v>1450</v>
      </c>
      <c r="B1335" s="3" t="str">
        <f>IFERROR(__xludf.DUMMYFUNCTION("GOOGLETRANSLATE(A1335, ""ar"", ""bn"")"),"স্মারক সভায়")</f>
        <v>স্মারক সভায়</v>
      </c>
    </row>
    <row r="1336">
      <c r="A1336" s="2" t="s">
        <v>1451</v>
      </c>
      <c r="B1336" s="3" t="str">
        <f>IFERROR(__xludf.DUMMYFUNCTION("GOOGLETRANSLATE(A1336, ""ar"", ""bn"")"),"অবস্থান এনটাইটেলমেন্ট")</f>
        <v>অবস্থান এনটাইটেলমেন্ট</v>
      </c>
    </row>
    <row r="1337">
      <c r="A1337" s="2" t="s">
        <v>1452</v>
      </c>
      <c r="B1337" s="3" t="str">
        <f>IFERROR(__xludf.DUMMYFUNCTION("GOOGLETRANSLATE(A1337, ""ar"", ""bn"")"),"বন্দীদের নির্যাতনের পদ্ধতি")</f>
        <v>বন্দীদের নির্যাতনের পদ্ধতি</v>
      </c>
    </row>
    <row r="1338">
      <c r="A1338" s="2" t="s">
        <v>1453</v>
      </c>
      <c r="B1338" s="3" t="str">
        <f>IFERROR(__xludf.DUMMYFUNCTION("GOOGLETRANSLATE(A1338, ""ar"", ""bn"")"),"মধ্যপ্রাচ্য")</f>
        <v>মধ্যপ্রাচ্য</v>
      </c>
    </row>
    <row r="1339">
      <c r="A1339" s="2" t="s">
        <v>1454</v>
      </c>
      <c r="B1339" s="3" t="str">
        <f>IFERROR(__xludf.DUMMYFUNCTION("GOOGLETRANSLATE(A1339, ""ar"", ""bn"")"),"মধ্যপ্রাচ্যের সঙ্কট")</f>
        <v>মধ্যপ্রাচ্যের সঙ্কট</v>
      </c>
    </row>
    <row r="1340">
      <c r="A1340" s="2" t="s">
        <v>1455</v>
      </c>
      <c r="B1340" s="3" t="str">
        <f>IFERROR(__xludf.DUMMYFUNCTION("GOOGLETRANSLATE(A1340, ""ar"", ""bn"")"),"সামরিক সরকারের")</f>
        <v>সামরিক সরকারের</v>
      </c>
    </row>
    <row r="1341">
      <c r="A1341" s="2" t="s">
        <v>1456</v>
      </c>
      <c r="B1341" s="3" t="str">
        <f>IFERROR(__xludf.DUMMYFUNCTION("GOOGLETRANSLATE(A1341, ""ar"", ""bn"")"),"সামরিক বাহিনীর এম এক্সটেনশন")</f>
        <v>সামরিক বাহিনীর এম এক্সটেনশন</v>
      </c>
    </row>
    <row r="1342">
      <c r="A1342" s="2" t="s">
        <v>1457</v>
      </c>
      <c r="B1342" s="3" t="str">
        <f>IFERROR(__xludf.DUMMYFUNCTION("GOOGLETRANSLATE(A1342, ""ar"", ""bn"")"),"সামরিক বাহিনী")</f>
        <v>সামরিক বাহিনী</v>
      </c>
    </row>
    <row r="1343">
      <c r="A1343" s="2" t="s">
        <v>1458</v>
      </c>
      <c r="B1343" s="3" t="str">
        <f>IFERROR(__xludf.DUMMYFUNCTION("GOOGLETRANSLATE(A1343, ""ar"", ""bn"")"),"ফোর্সেস সামরিক তথ্য পর্যালোচনা")</f>
        <v>ফোর্সেস সামরিক তথ্য পর্যালোচনা</v>
      </c>
    </row>
    <row r="1344">
      <c r="A1344" s="2" t="s">
        <v>1459</v>
      </c>
      <c r="B1344" s="3" t="str">
        <f>IFERROR(__xludf.DUMMYFUNCTION("GOOGLETRANSLATE(A1344, ""ar"", ""bn"")"),"শক্তিবৃদ্ধি")</f>
        <v>শক্তিবৃদ্ধি</v>
      </c>
    </row>
    <row r="1345">
      <c r="A1345" s="2" t="s">
        <v>1460</v>
      </c>
      <c r="B1345" s="3" t="str">
        <f>IFERROR(__xludf.DUMMYFUNCTION("GOOGLETRANSLATE(A1345, ""ar"", ""bn"")"),"সেনাবাহিনী দখল")</f>
        <v>সেনাবাহিনী দখল</v>
      </c>
    </row>
    <row r="1346">
      <c r="A1346" s="2" t="s">
        <v>1461</v>
      </c>
      <c r="B1346" s="3" t="str">
        <f>IFERROR(__xludf.DUMMYFUNCTION("GOOGLETRANSLATE(A1346, ""ar"", ""bn"")"),"সেনাবাহিনী আগ্রাসন")</f>
        <v>সেনাবাহিনী আগ্রাসন</v>
      </c>
    </row>
    <row r="1347">
      <c r="A1347" s="2" t="s">
        <v>1462</v>
      </c>
      <c r="B1347" s="3" t="str">
        <f>IFERROR(__xludf.DUMMYFUNCTION("GOOGLETRANSLATE(A1347, ""ar"", ""bn"")"),"সামরিক অভিযানের")</f>
        <v>সামরিক অভিযানের</v>
      </c>
    </row>
    <row r="1348">
      <c r="A1348" s="2" t="s">
        <v>1463</v>
      </c>
      <c r="B1348" s="3" t="str">
        <f>IFERROR(__xludf.DUMMYFUNCTION("GOOGLETRANSLATE(A1348, ""ar"", ""bn"")"),"সেনাবাহিনী ক্ষেত্র অপারেশন")</f>
        <v>সেনাবাহিনী ক্ষেত্র অপারেশন</v>
      </c>
    </row>
    <row r="1349">
      <c r="A1349" s="2" t="s">
        <v>1464</v>
      </c>
      <c r="B1349" s="3" t="str">
        <f>IFERROR(__xludf.DUMMYFUNCTION("GOOGLETRANSLATE(A1349, ""ar"", ""bn"")"),"সামরিক পুলিশ")</f>
        <v>সামরিক পুলিশ</v>
      </c>
    </row>
    <row r="1350">
      <c r="A1350" s="2" t="s">
        <v>1465</v>
      </c>
      <c r="B1350" s="3" t="str">
        <f>IFERROR(__xludf.DUMMYFUNCTION("GOOGLETRANSLATE(A1350, ""ar"", ""bn"")"),"সেনাবাহিনী কর্তৃপক্ষ")</f>
        <v>সেনাবাহিনী কর্তৃপক্ষ</v>
      </c>
    </row>
    <row r="1351">
      <c r="A1351" s="2" t="s">
        <v>1466</v>
      </c>
      <c r="B1351" s="3" t="str">
        <f>IFERROR(__xludf.DUMMYFUNCTION("GOOGLETRANSLATE(A1351, ""ar"", ""bn"")"),"সামরিক অধিকার পরিপূর্ণ")</f>
        <v>সামরিক অধিকার পরিপূর্ণ</v>
      </c>
    </row>
    <row r="1352">
      <c r="A1352" s="2" t="s">
        <v>1467</v>
      </c>
      <c r="B1352" s="3" t="str">
        <f>IFERROR(__xludf.DUMMYFUNCTION("GOOGLETRANSLATE(A1352, ""ar"", ""bn"")"),"সামরিক বাহিনীর অবাধ্যতা")</f>
        <v>সামরিক বাহিনীর অবাধ্যতা</v>
      </c>
    </row>
    <row r="1353">
      <c r="A1353" s="2" t="s">
        <v>1468</v>
      </c>
      <c r="B1353" s="3" t="str">
        <f>IFERROR(__xludf.DUMMYFUNCTION("GOOGLETRANSLATE(A1353, ""ar"", ""bn"")"),"সেনাবাহিনী সম্পর্ক")</f>
        <v>সেনাবাহিনী সম্পর্ক</v>
      </c>
    </row>
    <row r="1354">
      <c r="A1354" s="2" t="s">
        <v>1469</v>
      </c>
      <c r="B1354" s="3" t="str">
        <f>IFERROR(__xludf.DUMMYFUNCTION("GOOGLETRANSLATE(A1354, ""ar"", ""bn"")"),"সেনাবাহিনী নিষেধাজ্ঞার")</f>
        <v>সেনাবাহিনী নিষেধাজ্ঞার</v>
      </c>
    </row>
    <row r="1355">
      <c r="A1355" s="2" t="s">
        <v>1470</v>
      </c>
      <c r="B1355" s="3" t="str">
        <f>IFERROR(__xludf.DUMMYFUNCTION("GOOGLETRANSLATE(A1355, ""ar"", ""bn"")"),"সামরিক অবস্থা")</f>
        <v>সামরিক অবস্থা</v>
      </c>
    </row>
    <row r="1356">
      <c r="A1356" s="2" t="s">
        <v>1471</v>
      </c>
      <c r="B1356" s="3" t="str">
        <f>IFERROR(__xludf.DUMMYFUNCTION("GOOGLETRANSLATE(A1356, ""ar"", ""bn"")"),"সেনাবাহিনী সমর্থন")</f>
        <v>সেনাবাহিনী সমর্থন</v>
      </c>
    </row>
    <row r="1357">
      <c r="A1357" s="2" t="s">
        <v>1472</v>
      </c>
      <c r="B1357" s="3" t="str">
        <f>IFERROR(__xludf.DUMMYFUNCTION("GOOGLETRANSLATE(A1357, ""ar"", ""bn"")"),"সেনাবাহিনী আধিপত্য")</f>
        <v>সেনাবাহিনী আধিপত্য</v>
      </c>
    </row>
    <row r="1358">
      <c r="A1358" s="2" t="s">
        <v>1473</v>
      </c>
      <c r="B1358" s="3" t="str">
        <f>IFERROR(__xludf.DUMMYFUNCTION("GOOGLETRANSLATE(A1358, ""ar"", ""bn"")"),"সেনাবাহিনী লক্ষ্যমাত্রা")</f>
        <v>সেনাবাহিনী লক্ষ্যমাত্রা</v>
      </c>
    </row>
    <row r="1359">
      <c r="A1359" s="2" t="s">
        <v>1474</v>
      </c>
      <c r="B1359" s="3" t="str">
        <f>IFERROR(__xludf.DUMMYFUNCTION("GOOGLETRANSLATE(A1359, ""ar"", ""bn"")"),"সেনাবাহিনী হুমকি")</f>
        <v>সেনাবাহিনী হুমকি</v>
      </c>
    </row>
    <row r="1360">
      <c r="A1360" s="2" t="s">
        <v>1475</v>
      </c>
      <c r="B1360" s="3" t="str">
        <f>IFERROR(__xludf.DUMMYFUNCTION("GOOGLETRANSLATE(A1360, ""ar"", ""bn"")"),"একটি সামরিক চুক্তি")</f>
        <v>একটি সামরিক চুক্তি</v>
      </c>
    </row>
    <row r="1361">
      <c r="A1361" s="2" t="s">
        <v>1476</v>
      </c>
      <c r="B1361" s="3" t="str">
        <f>IFERROR(__xludf.DUMMYFUNCTION("GOOGLETRANSLATE(A1361, ""ar"", ""bn"")"),"সেনাবাহিনী ইউনিট")</f>
        <v>সেনাবাহিনী ইউনিট</v>
      </c>
    </row>
    <row r="1362">
      <c r="A1362" s="2" t="s">
        <v>1477</v>
      </c>
      <c r="B1362" s="3" t="str">
        <f>IFERROR(__xludf.DUMMYFUNCTION("GOOGLETRANSLATE(A1362, ""ar"", ""bn"")"),"সেনাবাহিনী ইউনিয়ন")</f>
        <v>সেনাবাহিনী ইউনিয়ন</v>
      </c>
    </row>
    <row r="1363">
      <c r="A1363" s="2" t="s">
        <v>1478</v>
      </c>
      <c r="B1363" s="3" t="str">
        <f>IFERROR(__xludf.DUMMYFUNCTION("GOOGLETRANSLATE(A1363, ""ar"", ""bn"")"),"খনি ক্ষেত্র")</f>
        <v>খনি ক্ষেত্র</v>
      </c>
    </row>
    <row r="1364">
      <c r="A1364" s="2" t="s">
        <v>1479</v>
      </c>
      <c r="B1364" s="3" t="str">
        <f>IFERROR(__xludf.DUMMYFUNCTION("GOOGLETRANSLATE(A1364, ""ar"", ""bn"")"),"মন্ত্রী")</f>
        <v>মন্ত্রী</v>
      </c>
    </row>
    <row r="1365">
      <c r="A1365" s="2" t="s">
        <v>1480</v>
      </c>
      <c r="B1365" s="3" t="str">
        <f>IFERROR(__xludf.DUMMYFUNCTION("GOOGLETRANSLATE(A1365, ""ar"", ""bn"")"),"অ মন্ত্রী স্থায়িত্ব")</f>
        <v>অ মন্ত্রী স্থায়িত্ব</v>
      </c>
    </row>
    <row r="1366">
      <c r="A1366" s="2" t="s">
        <v>1481</v>
      </c>
      <c r="B1366" s="3" t="str">
        <f>IFERROR(__xludf.DUMMYFUNCTION("GOOGLETRANSLATE(A1366, ""ar"", ""bn"")"),"মিনিস্টিরিয়াল বিশেষাধিকার")</f>
        <v>মিনিস্টিরিয়াল বিশেষাধিকার</v>
      </c>
    </row>
    <row r="1367">
      <c r="A1367" s="2" t="s">
        <v>1482</v>
      </c>
      <c r="B1367" s="3" t="str">
        <f>IFERROR(__xludf.DUMMYFUNCTION("GOOGLETRANSLATE(A1367, ""ar"", ""bn"")"),"মন্ত্রী")</f>
        <v>মন্ত্রী</v>
      </c>
    </row>
    <row r="1368">
      <c r="A1368" s="2" t="s">
        <v>1483</v>
      </c>
      <c r="B1368" s="3" t="str">
        <f>IFERROR(__xludf.DUMMYFUNCTION("GOOGLETRANSLATE(A1368, ""ar"", ""bn"")"),"মন্ত্রণালয়")</f>
        <v>মন্ত্রণালয়</v>
      </c>
    </row>
    <row r="1369">
      <c r="A1369" s="2" t="s">
        <v>1484</v>
      </c>
      <c r="B1369" s="3" t="str">
        <f>IFERROR(__xludf.DUMMYFUNCTION("GOOGLETRANSLATE(A1369, ""ar"", ""bn"")"),"মিনিস্টিরিয়াল সঙ্কট")</f>
        <v>মিনিস্টিরিয়াল সঙ্কট</v>
      </c>
    </row>
    <row r="1370">
      <c r="A1370" s="2" t="s">
        <v>1485</v>
      </c>
      <c r="B1370" s="3" t="str">
        <f>IFERROR(__xludf.DUMMYFUNCTION("GOOGLETRANSLATE(A1370, ""ar"", ""bn"")"),"কৃষি মন্ত্রণালয়")</f>
        <v>কৃষি মন্ত্রণালয়</v>
      </c>
    </row>
    <row r="1371">
      <c r="A1371" s="2" t="s">
        <v>1486</v>
      </c>
      <c r="B1371" s="3" t="str">
        <f>IFERROR(__xludf.DUMMYFUNCTION("GOOGLETRANSLATE(A1371, ""ar"", ""bn"")"),"বিমান চলাচল মন্ত্রণালয়ের")</f>
        <v>বিমান চলাচল মন্ত্রণালয়ের</v>
      </c>
    </row>
    <row r="1372">
      <c r="A1372" s="2" t="s">
        <v>1487</v>
      </c>
      <c r="B1372" s="3" t="str">
        <f>IFERROR(__xludf.DUMMYFUNCTION("GOOGLETRANSLATE(A1372, ""ar"", ""bn"")"),"বাণিজ্য মন্ত্রণালয়")</f>
        <v>বাণিজ্য মন্ত্রণালয়</v>
      </c>
    </row>
    <row r="1373">
      <c r="A1373" s="2" t="s">
        <v>1488</v>
      </c>
      <c r="B1373" s="3" t="str">
        <f>IFERROR(__xludf.DUMMYFUNCTION("GOOGLETRANSLATE(A1373, ""ar"", ""bn"")"),"যোগাযোগ মন্ত্রণালয়")</f>
        <v>যোগাযোগ মন্ত্রণালয়</v>
      </c>
    </row>
    <row r="1374">
      <c r="A1374" s="2" t="s">
        <v>1489</v>
      </c>
      <c r="B1374" s="3" t="str">
        <f>IFERROR(__xludf.DUMMYFUNCTION("GOOGLETRANSLATE(A1374, ""ar"", ""bn"")"),"প্রতিরক্ষা মন্ত্রণালয়")</f>
        <v>প্রতিরক্ষা মন্ত্রণালয়</v>
      </c>
    </row>
    <row r="1375">
      <c r="A1375" s="2" t="s">
        <v>1490</v>
      </c>
      <c r="B1375" s="3" t="str">
        <f>IFERROR(__xludf.DUMMYFUNCTION("GOOGLETRANSLATE(A1375, ""ar"", ""bn"")"),"শিক্ষা মন্ত্রণালয়")</f>
        <v>শিক্ষা মন্ত্রণালয়</v>
      </c>
    </row>
    <row r="1376">
      <c r="A1376" s="2" t="s">
        <v>1491</v>
      </c>
      <c r="B1376" s="3" t="str">
        <f>IFERROR(__xludf.DUMMYFUNCTION("GOOGLETRANSLATE(A1376, ""ar"", ""bn"")"),"বিদ্যুৎ মন্ত্রণালয়")</f>
        <v>বিদ্যুৎ মন্ত্রণালয়</v>
      </c>
    </row>
    <row r="1377">
      <c r="A1377" s="2" t="s">
        <v>1492</v>
      </c>
      <c r="B1377" s="3" t="str">
        <f>IFERROR(__xludf.DUMMYFUNCTION("GOOGLETRANSLATE(A1377, ""ar"", ""bn"")"),"পরিবেশ মন্ত্রণালয়")</f>
        <v>পরিবেশ মন্ত্রণালয়</v>
      </c>
    </row>
    <row r="1378">
      <c r="A1378" s="2" t="s">
        <v>1493</v>
      </c>
      <c r="B1378" s="3" t="str">
        <f>IFERROR(__xludf.DUMMYFUNCTION("GOOGLETRANSLATE(A1378, ""ar"", ""bn"")"),"প্রবাসী মন্ত্রণালয়")</f>
        <v>প্রবাসী মন্ত্রণালয়</v>
      </c>
    </row>
    <row r="1379">
      <c r="A1379" s="2" t="s">
        <v>1494</v>
      </c>
      <c r="B1379" s="3" t="str">
        <f>IFERROR(__xludf.DUMMYFUNCTION("GOOGLETRANSLATE(A1379, ""ar"", ""bn"")"),"পররাষ্ট্র মন্ত্রণালয়")</f>
        <v>পররাষ্ট্র মন্ত্রণালয়</v>
      </c>
    </row>
    <row r="1380">
      <c r="A1380" s="2" t="s">
        <v>1495</v>
      </c>
      <c r="B1380" s="3" t="str">
        <f>IFERROR(__xludf.DUMMYFUNCTION("GOOGLETRANSLATE(A1380, ""ar"", ""bn"")"),"বৈদেশিক বানিজ্য মন্ত্রণালয়")</f>
        <v>বৈদেশিক বানিজ্য মন্ত্রণালয়</v>
      </c>
    </row>
    <row r="1381">
      <c r="A1381" s="2" t="s">
        <v>1496</v>
      </c>
      <c r="B1381" s="3" t="str">
        <f>IFERROR(__xludf.DUMMYFUNCTION("GOOGLETRANSLATE(A1381, ""ar"", ""bn"")"),"অর্থ মন্ত্রণালয়")</f>
        <v>অর্থ মন্ত্রণালয়</v>
      </c>
    </row>
    <row r="1382">
      <c r="A1382" s="2" t="s">
        <v>1497</v>
      </c>
      <c r="B1382" s="3" t="str">
        <f>IFERROR(__xludf.DUMMYFUNCTION("GOOGLETRANSLATE(A1382, ""ar"", ""bn"")"),"স্বাস্থ্য মন্ত্রণালয়")</f>
        <v>স্বাস্থ্য মন্ত্রণালয়</v>
      </c>
    </row>
    <row r="1383">
      <c r="A1383" s="2" t="s">
        <v>1498</v>
      </c>
      <c r="B1383" s="3" t="str">
        <f>IFERROR(__xludf.DUMMYFUNCTION("GOOGLETRANSLATE(A1383, ""ar"", ""bn"")"),"উচ্চ শিক্ষা মন্ত্রণালয়")</f>
        <v>উচ্চ শিক্ষা মন্ত্রণালয়</v>
      </c>
    </row>
    <row r="1384">
      <c r="A1384" s="2" t="s">
        <v>1499</v>
      </c>
      <c r="B1384" s="3" t="str">
        <f>IFERROR(__xludf.DUMMYFUNCTION("GOOGLETRANSLATE(A1384, ""ar"", ""bn"")"),"শিল্প মন্ত্রণালয়")</f>
        <v>শিল্প মন্ত্রণালয়</v>
      </c>
    </row>
    <row r="1385">
      <c r="A1385" s="2" t="s">
        <v>1500</v>
      </c>
      <c r="B1385" s="3" t="str">
        <f>IFERROR(__xludf.DUMMYFUNCTION("GOOGLETRANSLATE(A1385, ""ar"", ""bn"")"),"তথ্য মন্ত্রণালয়")</f>
        <v>তথ্য মন্ত্রণালয়</v>
      </c>
    </row>
    <row r="1386">
      <c r="A1386" s="2" t="s">
        <v>1501</v>
      </c>
      <c r="B1386" s="3" t="str">
        <f>IFERROR(__xludf.DUMMYFUNCTION("GOOGLETRANSLATE(A1386, ""ar"", ""bn"")"),"স্বরাষ্ট্র মন্ত্রণালয়")</f>
        <v>স্বরাষ্ট্র মন্ত্রণালয়</v>
      </c>
    </row>
    <row r="1387">
      <c r="A1387" s="2" t="s">
        <v>1502</v>
      </c>
      <c r="B1387" s="3" t="str">
        <f>IFERROR(__xludf.DUMMYFUNCTION("GOOGLETRANSLATE(A1387, ""ar"", ""bn"")"),"বিচার মন্ত্রণালয়")</f>
        <v>বিচার মন্ত্রণালয়</v>
      </c>
    </row>
    <row r="1388">
      <c r="A1388" s="2" t="s">
        <v>1503</v>
      </c>
      <c r="B1388" s="3" t="str">
        <f>IFERROR(__xludf.DUMMYFUNCTION("GOOGLETRANSLATE(A1388, ""ar"", ""bn"")"),"শ্রম মন্ত্রণালয়")</f>
        <v>শ্রম মন্ত্রণালয়</v>
      </c>
    </row>
    <row r="1389">
      <c r="A1389" s="2" t="s">
        <v>1504</v>
      </c>
      <c r="B1389" s="3" t="str">
        <f>IFERROR(__xludf.DUMMYFUNCTION("GOOGLETRANSLATE(A1389, ""ar"", ""bn"")"),"স্থানীয় প্রশাসন মন্ত্রণালয়")</f>
        <v>স্থানীয় প্রশাসন মন্ত্রণালয়</v>
      </c>
    </row>
    <row r="1390">
      <c r="A1390" s="2" t="s">
        <v>1505</v>
      </c>
      <c r="B1390" s="3" t="str">
        <f>IFERROR(__xludf.DUMMYFUNCTION("GOOGLETRANSLATE(A1390, ""ar"", ""bn"")"),"জাতীয় অর্থনীতি মন্ত্রণালয়")</f>
        <v>জাতীয় অর্থনীতি মন্ত্রণালয়</v>
      </c>
    </row>
    <row r="1391">
      <c r="A1391" s="2" t="s">
        <v>1506</v>
      </c>
      <c r="B1391" s="3" t="str">
        <f>IFERROR(__xludf.DUMMYFUNCTION("GOOGLETRANSLATE(A1391, ""ar"", ""bn"")"),"জাতীয় গাইডেন্স মন্ত্রণালয়")</f>
        <v>জাতীয় গাইডেন্স মন্ত্রণালয়</v>
      </c>
    </row>
    <row r="1392">
      <c r="A1392" s="2" t="s">
        <v>1507</v>
      </c>
      <c r="B1392" s="3" t="str">
        <f>IFERROR(__xludf.DUMMYFUNCTION("GOOGLETRANSLATE(A1392, ""ar"", ""bn"")"),"তেল ও খনিজ সম্পদ মন্ত্রণালয়")</f>
        <v>তেল ও খনিজ সম্পদ মন্ত্রণালয়</v>
      </c>
    </row>
    <row r="1393">
      <c r="A1393" s="2" t="s">
        <v>1508</v>
      </c>
      <c r="B1393" s="3" t="str">
        <f>IFERROR(__xludf.DUMMYFUNCTION("GOOGLETRANSLATE(A1393, ""ar"", ""bn"")"),"পরিকল্পনা মন্ত্রণালয়ের")</f>
        <v>পরিকল্পনা মন্ত্রণালয়ের</v>
      </c>
    </row>
    <row r="1394">
      <c r="A1394" s="2" t="s">
        <v>1509</v>
      </c>
      <c r="B1394" s="3" t="str">
        <f>IFERROR(__xludf.DUMMYFUNCTION("GOOGLETRANSLATE(A1394, ""ar"", ""bn"")"),"গণপূর্ত মন্ত্রণালয়ের")</f>
        <v>গণপূর্ত মন্ত্রণালয়ের</v>
      </c>
    </row>
    <row r="1395">
      <c r="A1395" s="2" t="s">
        <v>1510</v>
      </c>
      <c r="B1395" s="3" t="str">
        <f>IFERROR(__xludf.DUMMYFUNCTION("GOOGLETRANSLATE(A1395, ""ar"", ""bn"")"),"সামাজিক বিষয়ক মন্ত্রণালয়")</f>
        <v>সামাজিক বিষয়ক মন্ত্রণালয়</v>
      </c>
    </row>
    <row r="1396">
      <c r="A1396" s="2" t="s">
        <v>1511</v>
      </c>
      <c r="B1396" s="3" t="str">
        <f>IFERROR(__xludf.DUMMYFUNCTION("GOOGLETRANSLATE(A1396, ""ar"", ""bn"")"),"Ministryof সাপ্লাই")</f>
        <v>Ministryof সাপ্লাই</v>
      </c>
    </row>
    <row r="1397">
      <c r="A1397" s="2" t="s">
        <v>1512</v>
      </c>
      <c r="B1397" s="3" t="str">
        <f>IFERROR(__xludf.DUMMYFUNCTION("GOOGLETRANSLATE(A1397, ""ar"", ""bn"")"),"পর্যটন মন্ত্রণালয়")</f>
        <v>পর্যটন মন্ত্রণালয়</v>
      </c>
    </row>
    <row r="1398">
      <c r="A1398" s="2" t="s">
        <v>1513</v>
      </c>
      <c r="B1398" s="3" t="str">
        <f>IFERROR(__xludf.DUMMYFUNCTION("GOOGLETRANSLATE(A1398, ""ar"", ""bn"")"),"পরিবহন মন্ত্রণালয়")</f>
        <v>পরিবহন মন্ত্রণালয়</v>
      </c>
    </row>
    <row r="1399">
      <c r="A1399" s="2" t="s">
        <v>1514</v>
      </c>
      <c r="B1399" s="3" t="str">
        <f>IFERROR(__xludf.DUMMYFUNCTION("GOOGLETRANSLATE(A1399, ""ar"", ""bn"")"),"যুদ্ধ মন্ত্রণালয়ের")</f>
        <v>যুদ্ধ মন্ত্রণালয়ের</v>
      </c>
    </row>
    <row r="1400">
      <c r="A1400" s="2" t="s">
        <v>1515</v>
      </c>
      <c r="B1400" s="3" t="str">
        <f>IFERROR(__xludf.DUMMYFUNCTION("GOOGLETRANSLATE(A1400, ""ar"", ""bn"")"),"ইয়াত কম")</f>
        <v>ইয়াত কম</v>
      </c>
    </row>
    <row r="1401">
      <c r="A1401" s="2" t="s">
        <v>1516</v>
      </c>
      <c r="B1401" s="3" t="str">
        <f>IFERROR(__xludf.DUMMYFUNCTION("GOOGLETRANSLATE(A1401, ""ar"", ""bn"")"),"সংখ্যালঘুদের স্বার্থ")</f>
        <v>সংখ্যালঘুদের স্বার্থ</v>
      </c>
    </row>
    <row r="1402">
      <c r="A1402" s="2" t="s">
        <v>1517</v>
      </c>
      <c r="B1402" s="3" t="str">
        <f>IFERROR(__xludf.DUMMYFUNCTION("GOOGLETRANSLATE(A1402, ""ar"", ""bn"")"),"সংখ্যালঘুদের প্রতিনিধিত্ব")</f>
        <v>সংখ্যালঘুদের প্রতিনিধিত্ব</v>
      </c>
    </row>
    <row r="1403">
      <c r="A1403" s="2" t="s">
        <v>1518</v>
      </c>
      <c r="B1403" s="3" t="str">
        <f>IFERROR(__xludf.DUMMYFUNCTION("GOOGLETRANSLATE(A1403, ""ar"", ""bn"")"),"নীরবতার মিনিট")</f>
        <v>নীরবতার মিনিট</v>
      </c>
    </row>
    <row r="1404">
      <c r="A1404" s="2" t="s">
        <v>1519</v>
      </c>
      <c r="B1404" s="3" t="str">
        <f>IFERROR(__xludf.DUMMYFUNCTION("GOOGLETRANSLATE(A1404, ""ar"", ""bn"")"),"সভার বিশুদ্ধ তথ্য")</f>
        <v>সভার বিশুদ্ধ তথ্য</v>
      </c>
    </row>
    <row r="1405">
      <c r="A1405" s="2" t="s">
        <v>1520</v>
      </c>
      <c r="B1405" s="3" t="str">
        <f>IFERROR(__xludf.DUMMYFUNCTION("GOOGLETRANSLATE(A1405, ""ar"", ""bn"")"),"আন্তর্জাতিক আইনের দরিদ্র আবেদন")</f>
        <v>আন্তর্জাতিক আইনের দরিদ্র আবেদন</v>
      </c>
    </row>
    <row r="1406">
      <c r="A1406" s="2" t="s">
        <v>1521</v>
      </c>
      <c r="B1406" s="3" t="str">
        <f>IFERROR(__xludf.DUMMYFUNCTION("GOOGLETRANSLATE(A1406, ""ar"", ""bn"")"),"বিচারপতি প্রয়োগ করতে ব্যর্থ হয়েছে")</f>
        <v>বিচারপতি প্রয়োগ করতে ব্যর্থ হয়েছে</v>
      </c>
    </row>
    <row r="1407">
      <c r="A1407" s="2" t="s">
        <v>579</v>
      </c>
      <c r="B1407" s="3" t="str">
        <f>IFERROR(__xludf.DUMMYFUNCTION("GOOGLETRANSLATE(A1407, ""ar"", ""bn"")"),"আন্তর্জাতিক")</f>
        <v>আন্তর্জাতিক</v>
      </c>
    </row>
    <row r="1408">
      <c r="A1408" s="2" t="s">
        <v>1522</v>
      </c>
      <c r="B1408" s="3" t="str">
        <f>IFERROR(__xludf.DUMMYFUNCTION("GOOGLETRANSLATE(A1408, ""ar"", ""bn"")"),"আন্তর্জাতিক রাজনীতির ভুল বোঝাবুঝি")</f>
        <v>আন্তর্জাতিক রাজনীতির ভুল বোঝাবুঝি</v>
      </c>
    </row>
    <row r="1409">
      <c r="A1409" s="2" t="s">
        <v>1523</v>
      </c>
      <c r="B1409" s="3" t="str">
        <f>IFERROR(__xludf.DUMMYFUNCTION("GOOGLETRANSLATE(A1409, ""ar"", ""bn"")"),"যুগ্ম কমিটি কূটনীতি")</f>
        <v>যুগ্ম কমিটি কূটনীতি</v>
      </c>
    </row>
    <row r="1410">
      <c r="A1410" s="2" t="s">
        <v>1524</v>
      </c>
      <c r="B1410" s="3" t="str">
        <f>IFERROR(__xludf.DUMMYFUNCTION("GOOGLETRANSLATE(A1410, ""ar"", ""bn"")"),"মিথ্যা সংকেত")</f>
        <v>মিথ্যা সংকেত</v>
      </c>
    </row>
    <row r="1411">
      <c r="A1411" s="2" t="s">
        <v>1525</v>
      </c>
      <c r="B1411" s="3" t="str">
        <f>IFERROR(__xludf.DUMMYFUNCTION("GOOGLETRANSLATE(A1411, ""ar"", ""bn"")"),"মডারেট কূটনৈতিক ভঙ্গি")</f>
        <v>মডারেট কূটনৈতিক ভঙ্গি</v>
      </c>
    </row>
    <row r="1412">
      <c r="A1412" s="2" t="s">
        <v>1526</v>
      </c>
      <c r="B1412" s="3" t="str">
        <f>IFERROR(__xludf.DUMMYFUNCTION("GOOGLETRANSLATE(A1412, ""ar"", ""bn"")"),"মডারেট নীতি")</f>
        <v>মডারেট নীতি</v>
      </c>
    </row>
    <row r="1413">
      <c r="A1413" s="2" t="s">
        <v>1527</v>
      </c>
      <c r="B1413" s="3" t="str">
        <f>IFERROR(__xludf.DUMMYFUNCTION("GOOGLETRANSLATE(A1413, ""ar"", ""bn"")"),"মডারেট কূটনৈতিক মতামত")</f>
        <v>মডারেট কূটনৈতিক মতামত</v>
      </c>
    </row>
    <row r="1414">
      <c r="A1414" s="2" t="s">
        <v>1528</v>
      </c>
      <c r="B1414" s="3" t="str">
        <f>IFERROR(__xludf.DUMMYFUNCTION("GOOGLETRANSLATE(A1414, ""ar"", ""bn"")"),"মডারেট রাজনৈতিক মতামত")</f>
        <v>মডারেট রাজনৈতিক মতামত</v>
      </c>
    </row>
    <row r="1415">
      <c r="A1415" s="2" t="s">
        <v>1529</v>
      </c>
      <c r="B1415" s="3" t="str">
        <f>IFERROR(__xludf.DUMMYFUNCTION("GOOGLETRANSLATE(A1415, ""ar"", ""bn"")"),"রাজা শাসক")</f>
        <v>রাজা শাসক</v>
      </c>
    </row>
    <row r="1416">
      <c r="A1416" s="2" t="s">
        <v>1530</v>
      </c>
      <c r="B1416" s="3" t="str">
        <f>IFERROR(__xludf.DUMMYFUNCTION("GOOGLETRANSLATE(A1416, ""ar"", ""bn"")"),"অনুক্রমে সিস্টেম")</f>
        <v>অনুক্রমে সিস্টেম</v>
      </c>
    </row>
    <row r="1417">
      <c r="A1417" s="2" t="s">
        <v>1531</v>
      </c>
      <c r="B1417" s="3" t="str">
        <f>IFERROR(__xludf.DUMMYFUNCTION("GOOGLETRANSLATE(A1417, ""ar"", ""bn"")"),"ই রাজনৈতিক ঘটনা Limoges")</f>
        <v>ই রাজনৈতিক ঘটনা Limoges</v>
      </c>
    </row>
    <row r="1418">
      <c r="A1418" s="2" t="s">
        <v>1532</v>
      </c>
      <c r="B1418" s="3" t="str">
        <f>IFERROR(__xludf.DUMMYFUNCTION("GOOGLETRANSLATE(A1418, ""ar"", ""bn"")"),"রাজনৈতিক কর্তৃপক্ষ monopolizing")</f>
        <v>রাজনৈতিক কর্তৃপক্ষ monopolizing</v>
      </c>
    </row>
    <row r="1419">
      <c r="A1419" s="2" t="s">
        <v>1533</v>
      </c>
      <c r="B1419" s="3" t="str">
        <f>IFERROR(__xludf.DUMMYFUNCTION("GOOGLETRANSLATE(A1419, ""ar"", ""bn"")"),"monopolizing ক্ষমতা")</f>
        <v>monopolizing ক্ষমতা</v>
      </c>
    </row>
    <row r="1420">
      <c r="A1420" s="2" t="s">
        <v>1534</v>
      </c>
      <c r="B1420" s="3" t="str">
        <f>IFERROR(__xludf.DUMMYFUNCTION("GOOGLETRANSLATE(A1420, ""ar"", ""bn"")"),"একাধিকার")</f>
        <v>একাধিকার</v>
      </c>
    </row>
    <row r="1421">
      <c r="A1421" s="2" t="s">
        <v>1535</v>
      </c>
      <c r="B1421" s="3" t="str">
        <f>IFERROR(__xludf.DUMMYFUNCTION("GOOGLETRANSLATE(A1421, ""ar"", ""bn"")"),"মিডিয়ার মনোপলি")</f>
        <v>মিডিয়ার মনোপলি</v>
      </c>
    </row>
    <row r="1422">
      <c r="A1422" s="2" t="s">
        <v>1536</v>
      </c>
      <c r="B1422" s="3" t="str">
        <f>IFERROR(__xludf.DUMMYFUNCTION("GOOGLETRANSLATE(A1422, ""ar"", ""bn"")"),"রাজনৈতিক কার্যক্রম মনোপলি")</f>
        <v>রাজনৈতিক কার্যক্রম মনোপলি</v>
      </c>
    </row>
    <row r="1423">
      <c r="A1423" s="2" t="s">
        <v>1537</v>
      </c>
      <c r="B1423" s="3" t="str">
        <f>IFERROR(__xludf.DUMMYFUNCTION("GOOGLETRANSLATE(A1423, ""ar"", ""bn"")"),"মনোপলি কর্তৃপক্ষ")</f>
        <v>মনোপলি কর্তৃপক্ষ</v>
      </c>
    </row>
    <row r="1424">
      <c r="A1424" s="2" t="s">
        <v>1538</v>
      </c>
      <c r="B1424" s="3" t="str">
        <f>IFERROR(__xludf.DUMMYFUNCTION("GOOGLETRANSLATE(A1424, ""ar"", ""bn"")"),"অপবিত্রকরণ")</f>
        <v>অপবিত্রকরণ</v>
      </c>
    </row>
    <row r="1425">
      <c r="A1425" s="2" t="s">
        <v>1539</v>
      </c>
      <c r="B1425" s="3" t="str">
        <f>IFERROR(__xludf.DUMMYFUNCTION("GOOGLETRANSLATE(A1425, ""ar"", ""bn"")"),"নৈতিক অধিকার")</f>
        <v>নৈতিক অধিকার</v>
      </c>
    </row>
    <row r="1426">
      <c r="A1426" s="2" t="s">
        <v>1540</v>
      </c>
      <c r="B1426" s="3" t="str">
        <f>IFERROR(__xludf.DUMMYFUNCTION("GOOGLETRANSLATE(A1426, ""ar"", ""bn"")"),"জন্মভূমি দেশ খোলস")</f>
        <v>জন্মভূমি দেশ খোলস</v>
      </c>
    </row>
    <row r="1427">
      <c r="A1427" s="2" t="s">
        <v>1541</v>
      </c>
      <c r="B1427" s="3" t="str">
        <f>IFERROR(__xludf.DUMMYFUNCTION("GOOGLETRANSLATE(A1427, ""ar"", ""bn"")"),"মাথা")</f>
        <v>মাথা</v>
      </c>
    </row>
    <row r="1428">
      <c r="A1428" s="2" t="s">
        <v>1542</v>
      </c>
      <c r="B1428" s="3" t="str">
        <f>IFERROR(__xludf.DUMMYFUNCTION("GOOGLETRANSLATE(A1428, ""ar"", ""bn"")"),"আলোচনা Thier এম ঞ")</f>
        <v>আলোচনা Thier এম ঞ</v>
      </c>
    </row>
    <row r="1429">
      <c r="A1429" s="2" t="s">
        <v>1543</v>
      </c>
      <c r="B1429" s="3" t="str">
        <f>IFERROR(__xludf.DUMMYFUNCTION("GOOGLETRANSLATE(A1429, ""ar"", ""bn"")"),"ডি-মেরু")</f>
        <v>ডি-মেরু</v>
      </c>
    </row>
    <row r="1430">
      <c r="A1430" s="2" t="s">
        <v>1544</v>
      </c>
      <c r="B1430" s="3" t="str">
        <f>IFERROR(__xludf.DUMMYFUNCTION("GOOGLETRANSLATE(A1430, ""ar"", ""bn"")"),"বহুপাক্ষিক চুক্তি")</f>
        <v>বহুপাক্ষিক চুক্তি</v>
      </c>
    </row>
    <row r="1431">
      <c r="A1431" s="2" t="s">
        <v>1545</v>
      </c>
      <c r="B1431" s="3" t="str">
        <f>IFERROR(__xludf.DUMMYFUNCTION("GOOGLETRANSLATE(A1431, ""ar"", ""bn"")"),"গু বহুজাতিক তথ্য")</f>
        <v>গু বহুজাতিক তথ্য</v>
      </c>
    </row>
    <row r="1432">
      <c r="A1432" s="2" t="s">
        <v>1546</v>
      </c>
      <c r="B1432" s="3" t="str">
        <f>IFERROR(__xludf.DUMMYFUNCTION("GOOGLETRANSLATE(A1432, ""ar"", ""bn"")"),"সংসদীয় দলগুলোর অকর্মক d এর উপস্থাপনা")</f>
        <v>সংসদীয় দলগুলোর অকর্মক d এর উপস্থাপনা</v>
      </c>
    </row>
    <row r="1433">
      <c r="A1433" s="2" t="s">
        <v>1547</v>
      </c>
      <c r="B1433" s="3" t="str">
        <f>IFERROR(__xludf.DUMMYFUNCTION("GOOGLETRANSLATE(A1433, ""ar"", ""bn"")"),"এমএলএস উপস্থাপনা")</f>
        <v>এমএলএস উপস্থাপনা</v>
      </c>
    </row>
    <row r="1434">
      <c r="A1434" s="2" t="s">
        <v>1548</v>
      </c>
      <c r="B1434" s="3" t="str">
        <f>IFERROR(__xludf.DUMMYFUNCTION("GOOGLETRANSLATE(A1434, ""ar"", ""bn"")"),"এম যুক্তরাষ্ট্র মধ্যে পারস্পরিক সহায়তা")</f>
        <v>এম যুক্তরাষ্ট্র মধ্যে পারস্পরিক সহায়তা</v>
      </c>
    </row>
    <row r="1435">
      <c r="A1435" s="2" t="s">
        <v>1549</v>
      </c>
      <c r="B1435" s="3" t="str">
        <f>IFERROR(__xludf.DUMMYFUNCTION("GOOGLETRANSLATE(A1435, ""ar"", ""bn"")"),"দেশের মধ্যে পারস্পরিক বিশ্বাস")</f>
        <v>দেশের মধ্যে পারস্পরিক বিশ্বাস</v>
      </c>
    </row>
    <row r="1436">
      <c r="A1436" s="2" t="s">
        <v>1550</v>
      </c>
      <c r="B1436" s="3" t="str">
        <f>IFERROR(__xludf.DUMMYFUNCTION("GOOGLETRANSLATE(A1436, ""ar"", ""bn"")"),"মিউচুয়াল প্রতিরক্ষা")</f>
        <v>মিউচুয়াল প্রতিরক্ষা</v>
      </c>
    </row>
    <row r="1437">
      <c r="A1437" s="2" t="s">
        <v>1551</v>
      </c>
      <c r="B1437" s="3" t="str">
        <f>IFERROR(__xludf.DUMMYFUNCTION("GOOGLETRANSLATE(A1437, ""ar"", ""bn"")"),"যৌথ প্রতিরক্ষা সনদ")</f>
        <v>যৌথ প্রতিরক্ষা সনদ</v>
      </c>
    </row>
    <row r="1438">
      <c r="A1438" s="2" t="s">
        <v>1552</v>
      </c>
      <c r="B1438" s="3" t="str">
        <f>IFERROR(__xludf.DUMMYFUNCTION("GOOGLETRANSLATE(A1438, ""ar"", ""bn"")"),"মিউচুয়াল কূটনৈতিক স্বীকৃতি")</f>
        <v>মিউচুয়াল কূটনৈতিক স্বীকৃতি</v>
      </c>
    </row>
    <row r="1439">
      <c r="A1439" s="2" t="s">
        <v>1553</v>
      </c>
      <c r="B1439" s="3" t="str">
        <f>IFERROR(__xludf.DUMMYFUNCTION("GOOGLETRANSLATE(A1439, ""ar"", ""bn"")"),"ওয়াল্ডো এর মধ্যে পারস্পরিক সহযোগিতা")</f>
        <v>ওয়াল্ডো এর মধ্যে পারস্পরিক সহযোগিতা</v>
      </c>
    </row>
    <row r="1440">
      <c r="A1440" s="2" t="s">
        <v>1554</v>
      </c>
      <c r="B1440" s="3" t="str">
        <f>IFERROR(__xludf.DUMMYFUNCTION("GOOGLETRANSLATE(A1440, ""ar"", ""bn"")"),"দেশের মধ্যে পারস্পরিক শ্রদ্ধা")</f>
        <v>দেশের মধ্যে পারস্পরিক শ্রদ্ধা</v>
      </c>
    </row>
    <row r="1441">
      <c r="A1441" s="2" t="s">
        <v>1555</v>
      </c>
      <c r="B1441" s="3" t="str">
        <f>IFERROR(__xludf.DUMMYFUNCTION("GOOGLETRANSLATE(A1441, ""ar"", ""bn"")"),"দেশের মধ্যে একটি সাধারণ বোঝার")</f>
        <v>দেশের মধ্যে একটি সাধারণ বোঝার</v>
      </c>
    </row>
    <row r="1442">
      <c r="A1442" s="2" t="s">
        <v>1556</v>
      </c>
      <c r="B1442" s="3" t="str">
        <f>IFERROR(__xludf.DUMMYFUNCTION("GOOGLETRANSLATE(A1442, ""ar"", ""bn"")"),"পারস্পরিক সুবিধার নীতিকে")</f>
        <v>পারস্পরিক সুবিধার নীতিকে</v>
      </c>
    </row>
    <row r="1443">
      <c r="A1443" s="2" t="s">
        <v>1557</v>
      </c>
      <c r="B1443" s="3" t="str">
        <f>IFERROR(__xludf.DUMMYFUNCTION("GOOGLETRANSLATE(A1443, ""ar"", ""bn"")"),"রাজনৈতিক ঘটনা নগ্ন")</f>
        <v>রাজনৈতিক ঘটনা নগ্ন</v>
      </c>
    </row>
    <row r="1444">
      <c r="A1444" s="2" t="s">
        <v>1558</v>
      </c>
      <c r="B1444" s="3" t="str">
        <f>IFERROR(__xludf.DUMMYFUNCTION("GOOGLETRANSLATE(A1444, ""ar"", ""bn"")"),"তার মায়ের")</f>
        <v>তার মায়ের</v>
      </c>
    </row>
    <row r="1445">
      <c r="A1445" s="2" t="s">
        <v>1559</v>
      </c>
      <c r="B1445" s="3" t="str">
        <f>IFERROR(__xludf.DUMMYFUNCTION("GOOGLETRANSLATE(A1445, ""ar"", ""bn"")"),"জাতির মর্যাদা")</f>
        <v>জাতির মর্যাদা</v>
      </c>
    </row>
    <row r="1446">
      <c r="A1446" s="2" t="s">
        <v>1560</v>
      </c>
      <c r="B1446" s="3" t="str">
        <f>IFERROR(__xludf.DUMMYFUNCTION("GOOGLETRANSLATE(A1446, ""ar"", ""bn"")"),"জাতীয় সক্রিয়")</f>
        <v>জাতীয় সক্রিয়</v>
      </c>
    </row>
    <row r="1447">
      <c r="A1447" s="2" t="s">
        <v>1561</v>
      </c>
      <c r="B1447" s="3" t="str">
        <f>IFERROR(__xludf.DUMMYFUNCTION("GOOGLETRANSLATE(A1447, ""ar"", ""bn"")"),"জাতীয় সমাবেশ")</f>
        <v>জাতীয় সমাবেশ</v>
      </c>
    </row>
    <row r="1448">
      <c r="A1448" s="2" t="s">
        <v>1562</v>
      </c>
      <c r="B1448" s="3" t="str">
        <f>IFERROR(__xludf.DUMMYFUNCTION("GOOGLETRANSLATE(A1448, ""ar"", ""bn"")"),"জাতীয় সামঞ্জস্যবিধান কমিশন")</f>
        <v>জাতীয় সামঞ্জস্যবিধান কমিশন</v>
      </c>
    </row>
    <row r="1449">
      <c r="A1449" s="2" t="s">
        <v>1563</v>
      </c>
      <c r="B1449" s="3" t="str">
        <f>IFERROR(__xludf.DUMMYFUNCTION("GOOGLETRANSLATE(A1449, ""ar"", ""bn"")"),"জাতীয় কোর্টের")</f>
        <v>জাতীয় কোর্টের</v>
      </c>
    </row>
    <row r="1450">
      <c r="A1450" s="2" t="s">
        <v>1564</v>
      </c>
      <c r="B1450" s="3" t="str">
        <f>IFERROR(__xludf.DUMMYFUNCTION("GOOGLETRANSLATE(A1450, ""ar"", ""bn"")"),"জাতীয় অর্থনীতি")</f>
        <v>জাতীয় অর্থনীতি</v>
      </c>
    </row>
    <row r="1451">
      <c r="A1451" s="2" t="s">
        <v>1565</v>
      </c>
      <c r="B1451" s="3" t="str">
        <f>IFERROR(__xludf.DUMMYFUNCTION("GOOGLETRANSLATE(A1451, ""ar"", ""bn"")"),"জাতীয় পতাকা")</f>
        <v>জাতীয় পতাকা</v>
      </c>
    </row>
    <row r="1452">
      <c r="A1452" s="2" t="s">
        <v>1566</v>
      </c>
      <c r="B1452" s="3" t="str">
        <f>IFERROR(__xludf.DUMMYFUNCTION("GOOGLETRANSLATE(A1452, ""ar"", ""bn"")"),"গু গুলি জাতীয়")</f>
        <v>গু গুলি জাতীয়</v>
      </c>
    </row>
    <row r="1453">
      <c r="A1453" s="2" t="s">
        <v>1567</v>
      </c>
      <c r="B1453" s="3" t="str">
        <f>IFERROR(__xludf.DUMMYFUNCTION("GOOGLETRANSLATE(A1453, ""ar"", ""bn"")"),"জাতীয় রক্ষী")</f>
        <v>জাতীয় রক্ষী</v>
      </c>
    </row>
    <row r="1454">
      <c r="A1454" s="2" t="s">
        <v>1568</v>
      </c>
      <c r="B1454" s="3" t="str">
        <f>IFERROR(__xludf.DUMMYFUNCTION("GOOGLETRANSLATE(A1454, ""ar"", ""bn"")"),"জাতীয় আয়")</f>
        <v>জাতীয় আয়</v>
      </c>
    </row>
    <row r="1455">
      <c r="A1455" s="2" t="s">
        <v>1569</v>
      </c>
      <c r="B1455" s="3" t="str">
        <f>IFERROR(__xludf.DUMMYFUNCTION("GOOGLETRANSLATE(A1455, ""ar"", ""bn"")"),"আঞ্চলিক অখণ্ডতা")</f>
        <v>আঞ্চলিক অখণ্ডতা</v>
      </c>
    </row>
    <row r="1456">
      <c r="A1456" s="2" t="s">
        <v>1570</v>
      </c>
      <c r="B1456" s="3" t="str">
        <f>IFERROR(__xludf.DUMMYFUNCTION("GOOGLETRANSLATE(A1456, ""ar"", ""bn"")"),"জাতীয় আনুগত্য")</f>
        <v>জাতীয় আনুগত্য</v>
      </c>
    </row>
    <row r="1457">
      <c r="A1457" s="2" t="s">
        <v>1571</v>
      </c>
      <c r="B1457" s="3" t="str">
        <f>IFERROR(__xludf.DUMMYFUNCTION("GOOGLETRANSLATE(A1457, ""ar"", ""bn"")"),"জাতীয় চাহিদা")</f>
        <v>জাতীয় চাহিদা</v>
      </c>
    </row>
    <row r="1458">
      <c r="A1458" s="2" t="s">
        <v>1572</v>
      </c>
      <c r="B1458" s="3" t="str">
        <f>IFERROR(__xludf.DUMMYFUNCTION("GOOGLETRANSLATE(A1458, ""ar"", ""bn"")"),"জাতীয় পার্টির")</f>
        <v>জাতীয় পার্টির</v>
      </c>
    </row>
    <row r="1459">
      <c r="A1459" s="2" t="s">
        <v>1573</v>
      </c>
      <c r="B1459" s="3" t="str">
        <f>IFERROR(__xludf.DUMMYFUNCTION("GOOGLETRANSLATE(A1459, ""ar"", ""bn"")"),"জাতীয় প্রকল্প")</f>
        <v>জাতীয় প্রকল্প</v>
      </c>
    </row>
    <row r="1460">
      <c r="A1460" s="2" t="s">
        <v>1574</v>
      </c>
      <c r="B1460" s="3" t="str">
        <f>IFERROR(__xludf.DUMMYFUNCTION("GOOGLETRANSLATE(A1460, ""ar"", ""bn"")"),"এম জাতীয় প্রয়োজনীয়তা")</f>
        <v>এম জাতীয় প্রয়োজনীয়তা</v>
      </c>
    </row>
    <row r="1461">
      <c r="A1461" s="2" t="s">
        <v>1575</v>
      </c>
      <c r="B1461" s="3" t="str">
        <f>IFERROR(__xludf.DUMMYFUNCTION("GOOGLETRANSLATE(A1461, ""ar"", ""bn"")"),"এম জাতীয় প্রতিরোধের")</f>
        <v>এম জাতীয় প্রতিরোধের</v>
      </c>
    </row>
    <row r="1462">
      <c r="A1462" s="2" t="s">
        <v>1576</v>
      </c>
      <c r="B1462" s="3" t="str">
        <f>IFERROR(__xludf.DUMMYFUNCTION("GOOGLETRANSLATE(A1462, ""ar"", ""bn"")"),"জাতীয় সম্পদ")</f>
        <v>জাতীয় সম্পদ</v>
      </c>
    </row>
    <row r="1463">
      <c r="A1463" s="2" t="s">
        <v>1577</v>
      </c>
      <c r="B1463" s="3" t="str">
        <f>IFERROR(__xludf.DUMMYFUNCTION("GOOGLETRANSLATE(A1463, ""ar"", ""bn"")"),"জাতীয় সার্বভৌমত্ব")</f>
        <v>জাতীয় সার্বভৌমত্ব</v>
      </c>
    </row>
    <row r="1464">
      <c r="A1464" s="2" t="s">
        <v>1578</v>
      </c>
      <c r="B1464" s="3" t="str">
        <f>IFERROR(__xludf.DUMMYFUNCTION("GOOGLETRANSLATE(A1464, ""ar"", ""bn"")"),"এন জাতীয় সার্বভৌমত্ব বিরোধ")</f>
        <v>এন জাতীয় সার্বভৌমত্ব বিরোধ</v>
      </c>
    </row>
    <row r="1465">
      <c r="A1465" s="2" t="s">
        <v>1579</v>
      </c>
      <c r="B1465" s="3" t="str">
        <f>IFERROR(__xludf.DUMMYFUNCTION("GOOGLETRANSLATE(A1465, ""ar"", ""bn"")"),"ঐক্য")</f>
        <v>ঐক্য</v>
      </c>
    </row>
    <row r="1466">
      <c r="A1466" s="2" t="s">
        <v>1580</v>
      </c>
      <c r="B1466" s="3" t="str">
        <f>IFERROR(__xludf.DUMMYFUNCTION("GOOGLETRANSLATE(A1466, ""ar"", ""bn"")"),"জাতীয় ধন")</f>
        <v>জাতীয় ধন</v>
      </c>
    </row>
    <row r="1467">
      <c r="A1467" s="2" t="s">
        <v>1581</v>
      </c>
      <c r="B1467" s="3" t="str">
        <f>IFERROR(__xludf.DUMMYFUNCTION("GOOGLETRANSLATE(A1467, ""ar"", ""bn"")"),"ফোক ইয়ে")</f>
        <v>ফোক ইয়ে</v>
      </c>
    </row>
    <row r="1468">
      <c r="A1468" s="2" t="s">
        <v>1582</v>
      </c>
      <c r="B1468" s="3" t="str">
        <f>IFERROR(__xludf.DUMMYFUNCTION("GOOGLETRANSLATE(A1468, ""ar"", ""bn"")"),"জাতীয়তা")</f>
        <v>জাতীয়তা</v>
      </c>
    </row>
    <row r="1469">
      <c r="A1469" s="2" t="s">
        <v>1583</v>
      </c>
      <c r="B1469" s="3" t="str">
        <f>IFERROR(__xludf.DUMMYFUNCTION("GOOGLETRANSLATE(A1469, ""ar"", ""bn"")"),"জাতীয়তা আইন")</f>
        <v>জাতীয়তা আইন</v>
      </c>
    </row>
    <row r="1470">
      <c r="A1470" s="2" t="s">
        <v>1584</v>
      </c>
      <c r="B1470" s="3" t="str">
        <f>IFERROR(__xludf.DUMMYFUNCTION("GOOGLETRANSLATE(A1470, ""ar"", ""bn"")"),"বিদেশী বিনিয়োগ জাতীয়করণ")</f>
        <v>বিদেশী বিনিয়োগ জাতীয়করণ</v>
      </c>
    </row>
    <row r="1471">
      <c r="A1471" s="2" t="s">
        <v>1585</v>
      </c>
      <c r="B1471" s="3" t="str">
        <f>IFERROR(__xludf.DUMMYFUNCTION("GOOGLETRANSLATE(A1471, ""ar"", ""bn"")"),"জন্ম পরিখা NH, অধীন এম")</f>
        <v>জন্ম পরিখা NH, অধীন এম</v>
      </c>
    </row>
    <row r="1472">
      <c r="A1472" s="2" t="s">
        <v>1586</v>
      </c>
      <c r="B1472" s="3" t="str">
        <f>IFERROR(__xludf.DUMMYFUNCTION("GOOGLETRANSLATE(A1472, ""ar"", ""bn"")"),"প্রাকৃতিক মতবাদ")</f>
        <v>প্রাকৃতিক মতবাদ</v>
      </c>
    </row>
    <row r="1473">
      <c r="A1473" s="2" t="s">
        <v>1587</v>
      </c>
      <c r="B1473" s="3" t="str">
        <f>IFERROR(__xludf.DUMMYFUNCTION("GOOGLETRANSLATE(A1473, ""ar"", ""bn"")"),"পি Kulaih নাৎসি")</f>
        <v>পি Kulaih নাৎসি</v>
      </c>
    </row>
    <row r="1474">
      <c r="A1474" s="2" t="s">
        <v>1588</v>
      </c>
      <c r="B1474" s="3" t="str">
        <f>IFERROR(__xludf.DUMMYFUNCTION("GOOGLETRANSLATE(A1474, ""ar"", ""bn"")"),"নাত্সি")</f>
        <v>নাত্সি</v>
      </c>
    </row>
    <row r="1475">
      <c r="A1475" s="2" t="s">
        <v>1589</v>
      </c>
      <c r="B1475" s="3" t="str">
        <f>IFERROR(__xludf.DUMMYFUNCTION("GOOGLETRANSLATE(A1475, ""ar"", ""bn"")"),"পূর্ব কাছাকাছি")</f>
        <v>পূর্ব কাছাকাছি</v>
      </c>
    </row>
    <row r="1476">
      <c r="A1476" s="2" t="s">
        <v>1590</v>
      </c>
      <c r="B1476" s="3" t="str">
        <f>IFERROR(__xludf.DUMMYFUNCTION("GOOGLETRANSLATE(A1476, ""ar"", ""bn"")"),"কূটনৈতিক অবস্থান নেতিবাচক")</f>
        <v>কূটনৈতিক অবস্থান নেতিবাচক</v>
      </c>
    </row>
    <row r="1477">
      <c r="A1477" s="2" t="s">
        <v>1591</v>
      </c>
      <c r="B1477" s="3" t="str">
        <f>IFERROR(__xludf.DUMMYFUNCTION("GOOGLETRANSLATE(A1477, ""ar"", ""bn"")"),"সংলাপে নেতিবাচক পয়েন্ট")</f>
        <v>সংলাপে নেতিবাচক পয়েন্ট</v>
      </c>
    </row>
    <row r="1478">
      <c r="A1478" s="2" t="s">
        <v>1592</v>
      </c>
      <c r="B1478" s="3" t="str">
        <f>IFERROR(__xludf.DUMMYFUNCTION("GOOGLETRANSLATE(A1478, ""ar"", ""bn"")"),"প্রতিবেদনে কনস")</f>
        <v>প্রতিবেদনে কনস</v>
      </c>
    </row>
    <row r="1479">
      <c r="A1479" s="2" t="s">
        <v>367</v>
      </c>
      <c r="B1479" s="3" t="str">
        <f>IFERROR(__xludf.DUMMYFUNCTION("GOOGLETRANSLATE(A1479, ""ar"", ""bn"")"),"কূটনীতিজ্ঞ")</f>
        <v>কূটনীতিজ্ঞ</v>
      </c>
    </row>
    <row r="1480">
      <c r="A1480" s="2" t="s">
        <v>1593</v>
      </c>
      <c r="B1480" s="3" t="str">
        <f>IFERROR(__xludf.DUMMYFUNCTION("GOOGLETRANSLATE(A1480, ""ar"", ""bn"")"),"রাজনৈতিক মেরু নেতিবাচক")</f>
        <v>রাজনৈতিক মেরু নেতিবাচক</v>
      </c>
    </row>
    <row r="1481">
      <c r="A1481" s="2" t="s">
        <v>1594</v>
      </c>
      <c r="B1481" s="3" t="str">
        <f>IFERROR(__xludf.DUMMYFUNCTION("GOOGLETRANSLATE(A1481, ""ar"", ""bn"")"),"নেতিবাচক রাজনৈতিক ভূমিকা")</f>
        <v>নেতিবাচক রাজনৈতিক ভূমিকা</v>
      </c>
    </row>
    <row r="1482">
      <c r="A1482" s="2" t="s">
        <v>1595</v>
      </c>
      <c r="B1482" s="3" t="str">
        <f>IFERROR(__xludf.DUMMYFUNCTION("GOOGLETRANSLATE(A1482, ""ar"", ""bn"")"),"নেতিবাচক অধিকার")</f>
        <v>নেতিবাচক অধিকার</v>
      </c>
    </row>
    <row r="1483">
      <c r="A1483" s="2" t="s">
        <v>1596</v>
      </c>
      <c r="B1483" s="3" t="str">
        <f>IFERROR(__xludf.DUMMYFUNCTION("GOOGLETRANSLATE(A1483, ""ar"", ""bn"")"),"Amfawd শান্তি")</f>
        <v>Amfawd শান্তি</v>
      </c>
    </row>
    <row r="1484">
      <c r="A1484" s="2" t="s">
        <v>1597</v>
      </c>
      <c r="B1484" s="3" t="str">
        <f>IFERROR(__xludf.DUMMYFUNCTION("GOOGLETRANSLATE(A1484, ""ar"", ""bn"")"),"এম আলোচনার")</f>
        <v>এম আলোচনার</v>
      </c>
    </row>
    <row r="1485">
      <c r="A1485" s="2" t="s">
        <v>1598</v>
      </c>
      <c r="B1485" s="3" t="str">
        <f>IFERROR(__xludf.DUMMYFUNCTION("GOOGLETRANSLATE(A1485, ""ar"", ""bn"")"),"সমঝোতা চলছে")</f>
        <v>সমঝোতা চলছে</v>
      </c>
    </row>
    <row r="1486">
      <c r="A1486" s="2" t="s">
        <v>1599</v>
      </c>
      <c r="B1486" s="3" t="str">
        <f>IFERROR(__xludf.DUMMYFUNCTION("GOOGLETRANSLATE(A1486, ""ar"", ""bn"")"),"একটি সমান পথ এম আলোচনার")</f>
        <v>একটি সমান পথ এম আলোচনার</v>
      </c>
    </row>
    <row r="1487">
      <c r="A1487" s="2" t="s">
        <v>1600</v>
      </c>
      <c r="B1487" s="3" t="str">
        <f>IFERROR(__xludf.DUMMYFUNCTION("GOOGLETRANSLATE(A1487, ""ar"", ""bn"")"),"স্তরের উপর এম আলোচনার")</f>
        <v>স্তরের উপর এম আলোচনার</v>
      </c>
    </row>
    <row r="1488">
      <c r="A1488" s="2" t="s">
        <v>1601</v>
      </c>
      <c r="B1488" s="3" t="str">
        <f>IFERROR(__xludf.DUMMYFUNCTION("GOOGLETRANSLATE(A1488, ""ar"", ""bn"")"),"স্থানীয়")</f>
        <v>স্থানীয়</v>
      </c>
    </row>
    <row r="1489">
      <c r="A1489" s="2" t="s">
        <v>1602</v>
      </c>
      <c r="B1489" s="3" t="str">
        <f>IFERROR(__xludf.DUMMYFUNCTION("GOOGLETRANSLATE(A1489, ""ar"", ""bn"")"),"এম আলোচনার পর্যায়ে")</f>
        <v>এম আলোচনার পর্যায়ে</v>
      </c>
    </row>
    <row r="1490">
      <c r="A1490" s="2" t="s">
        <v>1603</v>
      </c>
      <c r="B1490" s="3" t="str">
        <f>IFERROR(__xludf.DUMMYFUNCTION("GOOGLETRANSLATE(A1490, ""ar"", ""bn"")"),"দূত")</f>
        <v>দূত</v>
      </c>
    </row>
    <row r="1491">
      <c r="A1491" s="2" t="s">
        <v>1600</v>
      </c>
      <c r="B1491" s="3" t="str">
        <f>IFERROR(__xludf.DUMMYFUNCTION("GOOGLETRANSLATE(A1491, ""ar"", ""bn"")"),"স্তরের উপর এম আলোচনার")</f>
        <v>স্তরের উপর এম আলোচনার</v>
      </c>
    </row>
    <row r="1492">
      <c r="A1492" s="2" t="s">
        <v>1604</v>
      </c>
      <c r="B1492" s="3" t="str">
        <f>IFERROR(__xludf.DUMMYFUNCTION("GOOGLETRANSLATE(A1492, ""ar"", ""bn"")"),"আন্তর্জাতিক")</f>
        <v>আন্তর্জাতিক</v>
      </c>
    </row>
    <row r="1493">
      <c r="A1493" s="2" t="s">
        <v>1605</v>
      </c>
      <c r="B1493" s="3" t="str">
        <f>IFERROR(__xludf.DUMMYFUNCTION("GOOGLETRANSLATE(A1493, ""ar"", ""bn"")"),"সমঝোতা কৌশল")</f>
        <v>সমঝোতা কৌশল</v>
      </c>
    </row>
    <row r="1494">
      <c r="A1494" s="2" t="s">
        <v>1606</v>
      </c>
      <c r="B1494" s="3" t="str">
        <f>IFERROR(__xludf.DUMMYFUNCTION("GOOGLETRANSLATE(A1494, ""ar"", ""bn"")"),"এম আলোচক")</f>
        <v>এম আলোচক</v>
      </c>
    </row>
    <row r="1495">
      <c r="A1495" s="2" t="s">
        <v>1607</v>
      </c>
      <c r="B1495" s="3" t="str">
        <f>IFERROR(__xludf.DUMMYFUNCTION("GOOGLETRANSLATE(A1495, ""ar"", ""bn"")"),"সুপ্রতিবেশীসুলভ সম্পর্কের")</f>
        <v>সুপ্রতিবেশীসুলভ সম্পর্কের</v>
      </c>
    </row>
    <row r="1496">
      <c r="A1496" s="2" t="s">
        <v>1608</v>
      </c>
      <c r="B1496" s="3" t="str">
        <f>IFERROR(__xludf.DUMMYFUNCTION("GOOGLETRANSLATE(A1496, ""ar"", ""bn"")"),"নিরপেক্ষ")</f>
        <v>নিরপেক্ষ</v>
      </c>
    </row>
    <row r="1497">
      <c r="A1497" s="2" t="s">
        <v>1609</v>
      </c>
      <c r="B1497" s="3" t="str">
        <f>IFERROR(__xludf.DUMMYFUNCTION("GOOGLETRANSLATE(A1497, ""ar"", ""bn"")"),"নিরপেক্ষ অক্ষ")</f>
        <v>নিরপেক্ষ অক্ষ</v>
      </c>
    </row>
    <row r="1498">
      <c r="A1498" s="2" t="s">
        <v>1610</v>
      </c>
      <c r="B1498" s="3" t="str">
        <f>IFERROR(__xludf.DUMMYFUNCTION("GOOGLETRANSLATE(A1498, ""ar"", ""bn"")"),"নিরপেক্ষ নীতি")</f>
        <v>নিরপেক্ষ নীতি</v>
      </c>
    </row>
    <row r="1499">
      <c r="A1499" s="2" t="s">
        <v>1611</v>
      </c>
      <c r="B1499" s="3" t="str">
        <f>IFERROR(__xludf.DUMMYFUNCTION("GOOGLETRANSLATE(A1499, ""ar"", ""bn"")"),"নিরপেক্ষ রাজনৈতিক অবস্থান")</f>
        <v>নিরপেক্ষ রাজনৈতিক অবস্থান</v>
      </c>
    </row>
    <row r="1500">
      <c r="A1500" s="2" t="s">
        <v>1612</v>
      </c>
      <c r="B1500" s="3" t="str">
        <f>IFERROR(__xludf.DUMMYFUNCTION("GOOGLETRANSLATE(A1500, ""ar"", ""bn"")"),"রাজনৈতিক মেরু নিরপেক্ষ")</f>
        <v>রাজনৈতিক মেরু নিরপেক্ষ</v>
      </c>
    </row>
    <row r="1501">
      <c r="A1501" s="2" t="s">
        <v>1613</v>
      </c>
      <c r="B1501" s="3" t="str">
        <f>IFERROR(__xludf.DUMMYFUNCTION("GOOGLETRANSLATE(A1501, ""ar"", ""bn"")"),"নিরপেক্ষ রাজনৈতিক ভূমিকা")</f>
        <v>নিরপেক্ষ রাজনৈতিক ভূমিকা</v>
      </c>
    </row>
    <row r="1502">
      <c r="A1502" s="2" t="s">
        <v>1614</v>
      </c>
      <c r="B1502" s="3" t="str">
        <f>IFERROR(__xludf.DUMMYFUNCTION("GOOGLETRANSLATE(A1502, ""ar"", ""bn"")"),"নিরপেক্ষ দেশ")</f>
        <v>নিরপেক্ষ দেশ</v>
      </c>
    </row>
    <row r="1503">
      <c r="A1503" s="2" t="s">
        <v>1615</v>
      </c>
      <c r="B1503" s="3" t="str">
        <f>IFERROR(__xludf.DUMMYFUNCTION("GOOGLETRANSLATE(A1503, ""ar"", ""bn"")"),"নিরপেক্ষ জোন")</f>
        <v>নিরপেক্ষ জোন</v>
      </c>
    </row>
    <row r="1504">
      <c r="A1504" s="2" t="s">
        <v>1616</v>
      </c>
      <c r="B1504" s="3" t="str">
        <f>IFERROR(__xludf.DUMMYFUNCTION("GOOGLETRANSLATE(A1504, ""ar"", ""bn"")"),"নিরপেক্ষতা")</f>
        <v>নিরপেক্ষতা</v>
      </c>
    </row>
    <row r="1505">
      <c r="A1505" s="2" t="s">
        <v>1617</v>
      </c>
      <c r="B1505" s="3" t="str">
        <f>IFERROR(__xludf.DUMMYFUNCTION("GOOGLETRANSLATE(A1505, ""ar"", ""bn"")"),"সম্পর্ক নতুন দিগন্ত")</f>
        <v>সম্পর্ক নতুন দিগন্ত</v>
      </c>
    </row>
    <row r="1506">
      <c r="A1506" s="2" t="s">
        <v>262</v>
      </c>
      <c r="B1506" s="3" t="str">
        <f>IFERROR(__xludf.DUMMYFUNCTION("GOOGLETRANSLATE(A1506, ""ar"", ""bn"")"),"কূটনীতি")</f>
        <v>কূটনীতি</v>
      </c>
    </row>
    <row r="1507">
      <c r="A1507" s="2" t="s">
        <v>1618</v>
      </c>
      <c r="B1507" s="3" t="str">
        <f>IFERROR(__xludf.DUMMYFUNCTION("GOOGLETRANSLATE(A1507, ""ar"", ""bn"")"),"এম প্রয়োজনীয়তা আভিজাত্য")</f>
        <v>এম প্রয়োজনীয়তা আভিজাত্য</v>
      </c>
    </row>
    <row r="1508">
      <c r="A1508" s="2" t="s">
        <v>1619</v>
      </c>
      <c r="B1508" s="3" t="str">
        <f>IFERROR(__xludf.DUMMYFUNCTION("GOOGLETRANSLATE(A1508, ""ar"", ""bn"")"),"কূটনৈতিক পোস্টের জন্য Amarch")</f>
        <v>কূটনৈতিক পোস্টের জন্য Amarch</v>
      </c>
    </row>
    <row r="1509">
      <c r="A1509" s="2" t="s">
        <v>1620</v>
      </c>
      <c r="B1509" s="3" t="str">
        <f>IFERROR(__xludf.DUMMYFUNCTION("GOOGLETRANSLATE(A1509, ""ar"", ""bn"")"),"অনাক্রমণ সনদ")</f>
        <v>অনাক্রমণ সনদ</v>
      </c>
    </row>
    <row r="1510">
      <c r="A1510" s="2" t="s">
        <v>1621</v>
      </c>
      <c r="B1510" s="3" t="str">
        <f>IFERROR(__xludf.DUMMYFUNCTION("GOOGLETRANSLATE(A1510, ""ar"", ""bn"")"),"অপক্ষপাতী")</f>
        <v>অপক্ষপাতী</v>
      </c>
    </row>
    <row r="1511">
      <c r="A1511" s="2" t="s">
        <v>1622</v>
      </c>
      <c r="B1511" s="3" t="str">
        <f>IFERROR(__xludf.DUMMYFUNCTION("GOOGLETRANSLATE(A1511, ""ar"", ""bn"")"),"ডি কঠোর না নীতি")</f>
        <v>ডি কঠোর না নীতি</v>
      </c>
    </row>
    <row r="1512">
      <c r="A1512" s="2" t="s">
        <v>1623</v>
      </c>
      <c r="B1512" s="3" t="str">
        <f>IFERROR(__xludf.DUMMYFUNCTION("GOOGLETRANSLATE(A1512, ""ar"", ""bn"")"),"আইন অ সম্মতি")</f>
        <v>আইন অ সম্মতি</v>
      </c>
    </row>
    <row r="1513">
      <c r="A1513" s="2" t="s">
        <v>1624</v>
      </c>
      <c r="B1513" s="3" t="str">
        <f>IFERROR(__xludf.DUMMYFUNCTION("GOOGLETRANSLATE(A1513, ""ar"", ""bn"")"),"অ সম্মতি আচরণ")</f>
        <v>অ সম্মতি আচরণ</v>
      </c>
    </row>
    <row r="1514">
      <c r="A1514" s="2" t="s">
        <v>367</v>
      </c>
      <c r="B1514" s="3" t="str">
        <f>IFERROR(__xludf.DUMMYFUNCTION("GOOGLETRANSLATE(A1514, ""ar"", ""bn"")"),"কূটনীতিজ্ঞ")</f>
        <v>কূটনীতিজ্ঞ</v>
      </c>
    </row>
    <row r="1515">
      <c r="A1515" s="2" t="s">
        <v>1625</v>
      </c>
      <c r="B1515" s="3" t="str">
        <f>IFERROR(__xludf.DUMMYFUNCTION("GOOGLETRANSLATE(A1515, ""ar"", ""bn"")"),"অ জাতিগত বৈষম্য ঞ")</f>
        <v>অ জাতিগত বৈষম্য ঞ</v>
      </c>
    </row>
    <row r="1516">
      <c r="A1516" s="2" t="s">
        <v>1626</v>
      </c>
      <c r="B1516" s="3" t="str">
        <f>IFERROR(__xludf.DUMMYFUNCTION("GOOGLETRANSLATE(A1516, ""ar"", ""bn"")"),"সদস্যরা অ নির্বাচিত")</f>
        <v>সদস্যরা অ নির্বাচিত</v>
      </c>
    </row>
    <row r="1517">
      <c r="A1517" s="2" t="s">
        <v>1627</v>
      </c>
      <c r="B1517" s="3" t="str">
        <f>IFERROR(__xludf.DUMMYFUNCTION("GOOGLETRANSLATE(A1517, ""ar"", ""bn"")"),"ভোট দিন অন্যায্য")</f>
        <v>ভোট দিন অন্যায্য</v>
      </c>
    </row>
    <row r="1518">
      <c r="A1518" s="2" t="s">
        <v>1628</v>
      </c>
      <c r="B1518" s="3" t="str">
        <f>IFERROR(__xludf.DUMMYFUNCTION("GOOGLETRANSLATE(A1518, ""ar"", ""bn"")"),"কোন হস্তক্ষেপ")</f>
        <v>কোন হস্তক্ষেপ</v>
      </c>
    </row>
    <row r="1519">
      <c r="A1519" s="2" t="s">
        <v>1629</v>
      </c>
      <c r="B1519" s="3" t="str">
        <f>IFERROR(__xludf.DUMMYFUNCTION("GOOGLETRANSLATE(A1519, ""ar"", ""bn"")"),"আমি কিছু মনে করিনা")</f>
        <v>আমি কিছু মনে করিনা</v>
      </c>
    </row>
    <row r="1520">
      <c r="A1520" s="2" t="s">
        <v>1630</v>
      </c>
      <c r="B1520" s="3" t="str">
        <f>IFERROR(__xludf.DUMMYFUNCTION("GOOGLETRANSLATE(A1520, ""ar"", ""bn"")"),"আন্তর্জাতিক আইনের অনিষ্ঠা")</f>
        <v>আন্তর্জাতিক আইনের অনিষ্ঠা</v>
      </c>
    </row>
    <row r="1521">
      <c r="A1521" s="2" t="s">
        <v>1631</v>
      </c>
      <c r="B1521" s="3" t="str">
        <f>IFERROR(__xludf.DUMMYFUNCTION("GOOGLETRANSLATE(A1521, ""ar"", ""bn"")"),"অ স্থায়ী সদস্য")</f>
        <v>অ স্থায়ী সদস্য</v>
      </c>
    </row>
    <row r="1522">
      <c r="A1522" s="2" t="s">
        <v>1632</v>
      </c>
      <c r="B1522" s="3" t="str">
        <f>IFERROR(__xludf.DUMMYFUNCTION("GOOGLETRANSLATE(A1522, ""ar"", ""bn"")"),"প্রতিরোধহীন নীতি")</f>
        <v>প্রতিরোধহীন নীতি</v>
      </c>
    </row>
    <row r="1523">
      <c r="A1523" s="2" t="s">
        <v>1633</v>
      </c>
      <c r="B1523" s="3" t="str">
        <f>IFERROR(__xludf.DUMMYFUNCTION("GOOGLETRANSLATE(A1523, ""ar"", ""bn"")"),"রাজনৈতিক ঐক্যমত্য অভাব")</f>
        <v>রাজনৈতিক ঐক্যমত্য অভাব</v>
      </c>
    </row>
    <row r="1524">
      <c r="A1524" s="2" t="s">
        <v>1634</v>
      </c>
      <c r="B1524" s="3" t="str">
        <f>IFERROR(__xludf.DUMMYFUNCTION("GOOGLETRANSLATE(A1524, ""ar"", ""bn"")"),"পারমানবিক অস্ত্র")</f>
        <v>পারমানবিক অস্ত্র</v>
      </c>
    </row>
    <row r="1525">
      <c r="A1525" s="2" t="s">
        <v>1635</v>
      </c>
      <c r="B1525" s="3" t="str">
        <f>IFERROR(__xludf.DUMMYFUNCTION("GOOGLETRANSLATE(A1525, ""ar"", ""bn"")"),"পারমাণবিক বিস্ফোরণ")</f>
        <v>পারমাণবিক বিস্ফোরণ</v>
      </c>
    </row>
    <row r="1526">
      <c r="A1526" s="2" t="s">
        <v>1636</v>
      </c>
      <c r="B1526" s="3" t="str">
        <f>IFERROR(__xludf.DUMMYFUNCTION("GOOGLETRANSLATE(A1526, ""ar"", ""bn"")"),"আপত্তি")</f>
        <v>আপত্তি</v>
      </c>
    </row>
    <row r="1527">
      <c r="A1527" s="2" t="s">
        <v>1637</v>
      </c>
      <c r="B1527" s="3" t="str">
        <f>IFERROR(__xludf.DUMMYFUNCTION("GOOGLETRANSLATE(A1527, ""ar"", ""bn"")"),"প্রক্রিয়া আপত্তি")</f>
        <v>প্রক্রিয়া আপত্তি</v>
      </c>
    </row>
    <row r="1528">
      <c r="A1528" s="2" t="s">
        <v>1638</v>
      </c>
      <c r="B1528" s="3" t="str">
        <f>IFERROR(__xludf.DUMMYFUNCTION("GOOGLETRANSLATE(A1528, ""ar"", ""bn"")"),"আপত্তি প্রত্যাখ্যাত")</f>
        <v>আপত্তি প্রত্যাখ্যাত</v>
      </c>
    </row>
    <row r="1529">
      <c r="A1529" s="2" t="s">
        <v>1639</v>
      </c>
      <c r="B1529" s="3" t="str">
        <f>IFERROR(__xludf.DUMMYFUNCTION("GOOGLETRANSLATE(A1529, ""ar"", ""bn"")"),"গ্রহনযোগ্য আপত্তি")</f>
        <v>গ্রহনযোগ্য আপত্তি</v>
      </c>
    </row>
    <row r="1530">
      <c r="A1530" s="2" t="s">
        <v>1640</v>
      </c>
      <c r="B1530" s="3" t="str">
        <f>IFERROR(__xludf.DUMMYFUNCTION("GOOGLETRANSLATE(A1530, ""ar"", ""bn"")"),"একাউন্টে গ্রহণ মধ্যে বন্ধুত্বপূর্ণ সম্পর্ক")</f>
        <v>একাউন্টে গ্রহণ মধ্যে বন্ধুত্বপূর্ণ সম্পর্ক</v>
      </c>
    </row>
    <row r="1531">
      <c r="A1531" s="2" t="s">
        <v>1159</v>
      </c>
      <c r="B1531" s="3" t="str">
        <f>IFERROR(__xludf.DUMMYFUNCTION("GOOGLETRANSLATE(A1531, ""ar"", ""bn"")"),"দেশ")</f>
        <v>দেশ</v>
      </c>
    </row>
    <row r="1532">
      <c r="A1532" s="2" t="s">
        <v>1641</v>
      </c>
      <c r="B1532" s="3" t="str">
        <f>IFERROR(__xludf.DUMMYFUNCTION("GOOGLETRANSLATE(A1532, ""ar"", ""bn"")"),"শান্তির নিয়ম সাপেক্ষে")</f>
        <v>শান্তির নিয়ম সাপেক্ষে</v>
      </c>
    </row>
    <row r="1533">
      <c r="A1533" s="2" t="s">
        <v>1642</v>
      </c>
      <c r="B1533" s="3" t="str">
        <f>IFERROR(__xludf.DUMMYFUNCTION("GOOGLETRANSLATE(A1533, ""ar"", ""bn"")"),"শান্তি প্রক্রিয়া পি রূপ বাধা")</f>
        <v>শান্তি প্রক্রিয়া পি রূপ বাধা</v>
      </c>
    </row>
    <row r="1534">
      <c r="A1534" s="2" t="s">
        <v>1643</v>
      </c>
      <c r="B1534" s="3" t="str">
        <f>IFERROR(__xludf.DUMMYFUNCTION("GOOGLETRANSLATE(A1534, ""ar"", ""bn"")"),"Amarql পদ্ধতি")</f>
        <v>Amarql পদ্ধতি</v>
      </c>
    </row>
    <row r="1535">
      <c r="A1535" s="2" t="s">
        <v>1644</v>
      </c>
      <c r="B1535" s="3" t="str">
        <f>IFERROR(__xludf.DUMMYFUNCTION("GOOGLETRANSLATE(A1535, ""ar"", ""bn"")"),"স্বাধীনতা পায়")</f>
        <v>স্বাধীনতা পায়</v>
      </c>
    </row>
    <row r="1536">
      <c r="A1536" s="2" t="s">
        <v>1645</v>
      </c>
      <c r="B1536" s="3" t="str">
        <f>IFERROR(__xludf.DUMMYFUNCTION("GOOGLETRANSLATE(A1536, ""ar"", ""bn"")"),"নির্দিষ্ট সময়সীমা সম্প্রসারণ পায়")</f>
        <v>নির্দিষ্ট সময়সীমা সম্প্রসারণ পায়</v>
      </c>
    </row>
    <row r="1537">
      <c r="A1537" s="2" t="s">
        <v>1646</v>
      </c>
      <c r="B1537" s="3" t="str">
        <f>IFERROR(__xludf.DUMMYFUNCTION("GOOGLETRANSLATE(A1537, ""ar"", ""bn"")"),"বৈধতা")</f>
        <v>বৈধতা</v>
      </c>
    </row>
    <row r="1538">
      <c r="A1538" s="2" t="s">
        <v>1647</v>
      </c>
      <c r="B1538" s="3" t="str">
        <f>IFERROR(__xludf.DUMMYFUNCTION("GOOGLETRANSLATE(A1538, ""ar"", ""bn"")"),"পশ্চিমা দেশগুলো")</f>
        <v>পশ্চিমা দেশগুলো</v>
      </c>
    </row>
    <row r="1539">
      <c r="A1539" s="2" t="s">
        <v>1648</v>
      </c>
      <c r="B1539" s="3" t="str">
        <f>IFERROR(__xludf.DUMMYFUNCTION("GOOGLETRANSLATE(A1539, ""ar"", ""bn"")"),"হানাদার বাহিনীর")</f>
        <v>হানাদার বাহিনীর</v>
      </c>
    </row>
    <row r="1540">
      <c r="A1540" s="2" t="s">
        <v>1649</v>
      </c>
      <c r="B1540" s="3" t="str">
        <f>IFERROR(__xludf.DUMMYFUNCTION("GOOGLETRANSLATE(A1540, ""ar"", ""bn"")"),"গু গুলি দখল")</f>
        <v>গু গুলি দখল</v>
      </c>
    </row>
    <row r="1541">
      <c r="A1541" s="2" t="s">
        <v>1650</v>
      </c>
      <c r="B1541" s="3" t="str">
        <f>IFERROR(__xludf.DUMMYFUNCTION("GOOGLETRANSLATE(A1541, ""ar"", ""bn"")"),"দখলকৃত অঞ্চল")</f>
        <v>দখলকৃত অঞ্চল</v>
      </c>
    </row>
    <row r="1542">
      <c r="A1542" s="2" t="s">
        <v>1651</v>
      </c>
      <c r="B1542" s="3" t="str">
        <f>IFERROR(__xludf.DUMMYFUNCTION("GOOGLETRANSLATE(A1542, ""ar"", ""bn"")"),"অধিকৃত এলাকায়")</f>
        <v>অধিকৃত এলাকায়</v>
      </c>
    </row>
    <row r="1543">
      <c r="A1543" s="2" t="s">
        <v>1652</v>
      </c>
      <c r="B1543" s="3" t="str">
        <f>IFERROR(__xludf.DUMMYFUNCTION("GOOGLETRANSLATE(A1543, ""ar"", ""bn"")"),"প্রত্যক্ষদর্শীর সাক্ষ্য")</f>
        <v>প্রত্যক্ষদর্শীর সাক্ষ্য</v>
      </c>
    </row>
    <row r="1544">
      <c r="A1544" s="2" t="s">
        <v>1653</v>
      </c>
      <c r="B1544" s="3" t="str">
        <f>IFERROR(__xludf.DUMMYFUNCTION("GOOGLETRANSLATE(A1544, ""ar"", ""bn"")"),"জোট অশোভন")</f>
        <v>জোট অশোভন</v>
      </c>
    </row>
    <row r="1545">
      <c r="A1545" s="2" t="s">
        <v>1654</v>
      </c>
      <c r="B1545" s="3" t="str">
        <f>IFERROR(__xludf.DUMMYFUNCTION("GOOGLETRANSLATE(A1545, ""ar"", ""bn"")"),"অশোভন অস্ত্র")</f>
        <v>অশোভন অস্ত্র</v>
      </c>
    </row>
    <row r="1546">
      <c r="A1546" s="2" t="s">
        <v>1655</v>
      </c>
      <c r="B1546" s="3" t="str">
        <f>IFERROR(__xludf.DUMMYFUNCTION("GOOGLETRANSLATE(A1546, ""ar"", ""bn"")"),"এক কর্মকর্তা স্টপ যুদ্ধ")</f>
        <v>এক কর্মকর্তা স্টপ যুদ্ধ</v>
      </c>
    </row>
    <row r="1547">
      <c r="A1547" s="2" t="s">
        <v>1656</v>
      </c>
      <c r="B1547" s="3" t="str">
        <f>IFERROR(__xludf.DUMMYFUNCTION("GOOGLETRANSLATE(A1547, ""ar"", ""bn"")"),"অফিসিয়াল উপায়ে")</f>
        <v>অফিসিয়াল উপায়ে</v>
      </c>
    </row>
    <row r="1548">
      <c r="A1548" s="2" t="s">
        <v>1657</v>
      </c>
      <c r="B1548" s="3" t="str">
        <f>IFERROR(__xludf.DUMMYFUNCTION("GOOGLETRANSLATE(A1548, ""ar"", ""bn"")"),"অফিসিয়াল প্রকাশন")</f>
        <v>অফিসিয়াল প্রকাশন</v>
      </c>
    </row>
    <row r="1549">
      <c r="A1549" s="2" t="s">
        <v>1658</v>
      </c>
      <c r="B1549" s="3" t="str">
        <f>IFERROR(__xludf.DUMMYFUNCTION("GOOGLETRANSLATE(A1549, ""ar"", ""bn"")"),"আনুষ্ঠানিক কূটনৈতিক অ্যাপয়েন্টমেন্ট")</f>
        <v>আনুষ্ঠানিক কূটনৈতিক অ্যাপয়েন্টমেন্ট</v>
      </c>
    </row>
    <row r="1550">
      <c r="A1550" s="2" t="s">
        <v>1659</v>
      </c>
      <c r="B1550" s="3" t="str">
        <f>IFERROR(__xludf.DUMMYFUNCTION("GOOGLETRANSLATE(A1550, ""ar"", ""bn"")"),"কূটনৈতিক কর্মকর্তা নিশ্চিতকরণ")</f>
        <v>কূটনৈতিক কর্মকর্তা নিশ্চিতকরণ</v>
      </c>
    </row>
    <row r="1551">
      <c r="A1551" s="2" t="s">
        <v>1660</v>
      </c>
      <c r="B1551" s="3" t="str">
        <f>IFERROR(__xludf.DUMMYFUNCTION("GOOGLETRANSLATE(A1551, ""ar"", ""bn"")"),"অফিসের নথিপত্র")</f>
        <v>অফিসের নথিপত্র</v>
      </c>
    </row>
    <row r="1552">
      <c r="A1552" s="2" t="s">
        <v>1661</v>
      </c>
      <c r="B1552" s="3" t="str">
        <f>IFERROR(__xludf.DUMMYFUNCTION("GOOGLETRANSLATE(A1552, ""ar"", ""bn"")"),"সরকারী গেজেটে")</f>
        <v>সরকারী গেজেটে</v>
      </c>
    </row>
    <row r="1553">
      <c r="A1553" s="2" t="s">
        <v>1662</v>
      </c>
      <c r="B1553" s="3" t="str">
        <f>IFERROR(__xludf.DUMMYFUNCTION("GOOGLETRANSLATE(A1553, ""ar"", ""bn"")"),"সরকারী ভাষা")</f>
        <v>সরকারী ভাষা</v>
      </c>
    </row>
    <row r="1554">
      <c r="A1554" s="2" t="s">
        <v>1663</v>
      </c>
      <c r="B1554" s="3" t="str">
        <f>IFERROR(__xludf.DUMMYFUNCTION("GOOGLETRANSLATE(A1554, ""ar"", ""bn"")"),"আনুষ্ঠানিক বৈঠক")</f>
        <v>আনুষ্ঠানিক বৈঠক</v>
      </c>
    </row>
    <row r="1555">
      <c r="A1555" s="2" t="s">
        <v>1664</v>
      </c>
      <c r="B1555" s="3" t="str">
        <f>IFERROR(__xludf.DUMMYFUNCTION("GOOGLETRANSLATE(A1555, ""ar"", ""bn"")"),"অফিসিয়াল স্বীকৃতি")</f>
        <v>অফিসিয়াল স্বীকৃতি</v>
      </c>
    </row>
    <row r="1556">
      <c r="A1556" s="2" t="s">
        <v>1665</v>
      </c>
      <c r="B1556" s="3" t="str">
        <f>IFERROR(__xludf.DUMMYFUNCTION("GOOGLETRANSLATE(A1556, ""ar"", ""bn"")"),"আনুষ্ঠানিক সম্পর্ক")</f>
        <v>আনুষ্ঠানিক সম্পর্ক</v>
      </c>
    </row>
    <row r="1557">
      <c r="A1557" s="2" t="s">
        <v>1666</v>
      </c>
      <c r="B1557" s="3" t="str">
        <f>IFERROR(__xludf.DUMMYFUNCTION("GOOGLETRANSLATE(A1557, ""ar"", ""bn"")"),"অফিসিয়াল মুখপাত্র")</f>
        <v>অফিসিয়াল মুখপাত্র</v>
      </c>
    </row>
    <row r="1558">
      <c r="A1558" s="2" t="s">
        <v>1667</v>
      </c>
      <c r="B1558" s="3" t="str">
        <f>IFERROR(__xludf.DUMMYFUNCTION("GOOGLETRANSLATE(A1558, ""ar"", ""bn"")"),"সরকারী বিবৃতি")</f>
        <v>সরকারী বিবৃতি</v>
      </c>
    </row>
    <row r="1559">
      <c r="A1559" s="2" t="s">
        <v>1668</v>
      </c>
      <c r="B1559" s="3" t="str">
        <f>IFERROR(__xludf.DUMMYFUNCTION("GOOGLETRANSLATE(A1559, ""ar"", ""bn"")"),"অফিসিয়াল সমর্থন")</f>
        <v>অফিসিয়াল সমর্থন</v>
      </c>
    </row>
    <row r="1560">
      <c r="A1560" s="2" t="s">
        <v>1669</v>
      </c>
      <c r="B1560" s="3" t="str">
        <f>IFERROR(__xludf.DUMMYFUNCTION("GOOGLETRANSLATE(A1560, ""ar"", ""bn"")"),"এম আনুষ্ঠানিক বৈঠক")</f>
        <v>এম আনুষ্ঠানিক বৈঠক</v>
      </c>
    </row>
    <row r="1561">
      <c r="A1561" s="2" t="s">
        <v>1670</v>
      </c>
      <c r="B1561" s="3" t="str">
        <f>IFERROR(__xludf.DUMMYFUNCTION("GOOGLETRANSLATE(A1561, ""ar"", ""bn"")"),"সরকারি সফরে")</f>
        <v>সরকারি সফরে</v>
      </c>
    </row>
    <row r="1562">
      <c r="A1562" s="2" t="s">
        <v>1671</v>
      </c>
      <c r="B1562" s="3" t="str">
        <f>IFERROR(__xludf.DUMMYFUNCTION("GOOGLETRANSLATE(A1562, ""ar"", ""bn"")"),"সরকারী হিসাবে")</f>
        <v>সরকারী হিসাবে</v>
      </c>
    </row>
    <row r="1563">
      <c r="A1563" s="2" t="s">
        <v>1672</v>
      </c>
      <c r="B1563" s="3" t="str">
        <f>IFERROR(__xludf.DUMMYFUNCTION("GOOGLETRANSLATE(A1563, ""ar"", ""bn"")"),"অন্তত ইয়ে এ নিয়ম")</f>
        <v>অন্তত ইয়ে এ নিয়ম</v>
      </c>
    </row>
    <row r="1564">
      <c r="A1564" s="2" t="s">
        <v>1673</v>
      </c>
      <c r="B1564" s="3" t="str">
        <f>IFERROR(__xludf.DUMMYFUNCTION("GOOGLETRANSLATE(A1564, ""ar"", ""bn"")"),"একটি উপদেষ্টা ধারণক্ষমতা ইন")</f>
        <v>একটি উপদেষ্টা ধারণক্ষমতা ইন</v>
      </c>
    </row>
    <row r="1565">
      <c r="A1565" s="2" t="s">
        <v>1674</v>
      </c>
      <c r="B1565" s="3" t="str">
        <f>IFERROR(__xludf.DUMMYFUNCTION("GOOGLETRANSLATE(A1565, ""ar"", ""bn"")"),"আবেদনপত্র")</f>
        <v>আবেদনপত্র</v>
      </c>
    </row>
    <row r="1566">
      <c r="A1566" s="2" t="s">
        <v>1675</v>
      </c>
      <c r="B1566" s="3" t="str">
        <f>IFERROR(__xludf.DUMMYFUNCTION("GOOGLETRANSLATE(A1566, ""ar"", ""bn"")"),"অনুমোদনের")</f>
        <v>অনুমোদনের</v>
      </c>
    </row>
    <row r="1567">
      <c r="A1567" s="2" t="s">
        <v>1676</v>
      </c>
      <c r="B1567" s="3" t="str">
        <f>IFERROR(__xludf.DUMMYFUNCTION("GOOGLETRANSLATE(A1567, ""ar"", ""bn"")"),"আমার সহকর্মীরা পক্ষ থেকে")</f>
        <v>আমার সহকর্মীরা পক্ষ থেকে</v>
      </c>
    </row>
    <row r="1568">
      <c r="A1568" s="2" t="s">
        <v>1677</v>
      </c>
      <c r="B1568" s="3" t="str">
        <f>IFERROR(__xludf.DUMMYFUNCTION("GOOGLETRANSLATE(A1568, ""ar"", ""bn"")"),"একদলীয় ব্যবস্থা")</f>
        <v>একদলীয় ব্যবস্থা</v>
      </c>
    </row>
    <row r="1569">
      <c r="A1569" s="2" t="s">
        <v>1678</v>
      </c>
      <c r="B1569" s="3" t="str">
        <f>IFERROR(__xludf.DUMMYFUNCTION("GOOGLETRANSLATE(A1569, ""ar"", ""bn"")"),"দেশের মধ্যে সীমানা খুলুন")</f>
        <v>দেশের মধ্যে সীমানা খুলুন</v>
      </c>
    </row>
    <row r="1570">
      <c r="A1570" s="2" t="s">
        <v>1679</v>
      </c>
      <c r="B1570" s="3" t="str">
        <f>IFERROR(__xludf.DUMMYFUNCTION("GOOGLETRANSLATE(A1570, ""ar"", ""bn"")"),"ওপেন কূটনীতি")</f>
        <v>ওপেন কূটনীতি</v>
      </c>
    </row>
    <row r="1571">
      <c r="A1571" s="2" t="s">
        <v>1680</v>
      </c>
      <c r="B1571" s="3" t="str">
        <f>IFERROR(__xludf.DUMMYFUNCTION("GOOGLETRANSLATE(A1571, ""ar"", ""bn"")"),"এম খোলা আলোচনা")</f>
        <v>এম খোলা আলোচনা</v>
      </c>
    </row>
    <row r="1572">
      <c r="A1572" s="2" t="s">
        <v>1681</v>
      </c>
      <c r="B1572" s="3" t="str">
        <f>IFERROR(__xludf.DUMMYFUNCTION("GOOGLETRANSLATE(A1572, ""ar"", ""bn"")"),"খোলা দরজা নীতি")</f>
        <v>খোলা দরজা নীতি</v>
      </c>
    </row>
    <row r="1573">
      <c r="A1573" s="2" t="s">
        <v>1682</v>
      </c>
      <c r="B1573" s="3" t="str">
        <f>IFERROR(__xludf.DUMMYFUNCTION("GOOGLETRANSLATE(A1573, ""ar"", ""bn"")"),"ফ্রি প্ল্যাটফর্ম")</f>
        <v>ফ্রি প্ল্যাটফর্ম</v>
      </c>
    </row>
    <row r="1574">
      <c r="A1574" s="2" t="s">
        <v>1683</v>
      </c>
      <c r="B1574" s="3" t="str">
        <f>IFERROR(__xludf.DUMMYFUNCTION("GOOGLETRANSLATE(A1574, ""ar"", ""bn"")"),"ওপেন সভা")</f>
        <v>ওপেন সভা</v>
      </c>
    </row>
    <row r="1575">
      <c r="A1575" s="2" t="s">
        <v>1684</v>
      </c>
      <c r="B1575" s="3" t="str">
        <f>IFERROR(__xludf.DUMMYFUNCTION("GOOGLETRANSLATE(A1575, ""ar"", ""bn"")"),"ওপেন সেশন")</f>
        <v>ওপেন সেশন</v>
      </c>
    </row>
    <row r="1576">
      <c r="A1576" s="2" t="s">
        <v>1685</v>
      </c>
      <c r="B1576" s="3" t="str">
        <f>IFERROR(__xludf.DUMMYFUNCTION("GOOGLETRANSLATE(A1576, ""ar"", ""bn"")"),"সেশন খোলার উদযাপন")</f>
        <v>সেশন খোলার উদযাপন</v>
      </c>
    </row>
    <row r="1577">
      <c r="A1577" s="2" t="s">
        <v>1686</v>
      </c>
      <c r="B1577" s="3" t="str">
        <f>IFERROR(__xludf.DUMMYFUNCTION("GOOGLETRANSLATE(A1577, ""ar"", ""bn"")"),"খোলা বেল")</f>
        <v>খোলা বেল</v>
      </c>
    </row>
    <row r="1578">
      <c r="A1578" s="2" t="s">
        <v>1687</v>
      </c>
      <c r="B1578" s="3" t="str">
        <f>IFERROR(__xludf.DUMMYFUNCTION("GOOGLETRANSLATE(A1578, ""ar"", ""bn"")"),"উদ্বোধনী অধিবেশনে")</f>
        <v>উদ্বোধনী অধিবেশনে</v>
      </c>
    </row>
    <row r="1579">
      <c r="A1579" s="2" t="s">
        <v>1688</v>
      </c>
      <c r="B1579" s="3" t="str">
        <f>IFERROR(__xludf.DUMMYFUNCTION("GOOGLETRANSLATE(A1579, ""ar"", ""bn"")"),"সুবিধাবাদ")</f>
        <v>সুবিধাবাদ</v>
      </c>
    </row>
    <row r="1580">
      <c r="A1580" s="2" t="s">
        <v>1689</v>
      </c>
      <c r="B1580" s="3" t="str">
        <f>IFERROR(__xludf.DUMMYFUNCTION("GOOGLETRANSLATE(A1580, ""ar"", ""bn"")"),"একটি ভেটো বিরোধিতা")</f>
        <v>একটি ভেটো বিরোধিতা</v>
      </c>
    </row>
    <row r="1581">
      <c r="A1581" s="2" t="s">
        <v>1690</v>
      </c>
      <c r="B1581" s="3" t="str">
        <f>IFERROR(__xludf.DUMMYFUNCTION("GOOGLETRANSLATE(A1581, ""ar"", ""bn"")"),"বিরোধী দলীয় রেডিও")</f>
        <v>বিরোধী দলীয় রেডিও</v>
      </c>
    </row>
    <row r="1582">
      <c r="A1582" s="2" t="s">
        <v>1691</v>
      </c>
      <c r="B1582" s="3" t="str">
        <f>IFERROR(__xludf.DUMMYFUNCTION("GOOGLETRANSLATE(A1582, ""ar"", ""bn"")"),"বিরোধী দলীয় নীতি")</f>
        <v>বিরোধী দলীয় নীতি</v>
      </c>
    </row>
    <row r="1583">
      <c r="A1583" s="2" t="s">
        <v>1692</v>
      </c>
      <c r="B1583" s="3" t="str">
        <f>IFERROR(__xludf.DUMMYFUNCTION("GOOGLETRANSLATE(A1583, ""ar"", ""bn"")"),"এম শো")</f>
        <v>এম শো</v>
      </c>
    </row>
    <row r="1584">
      <c r="A1584" s="2" t="s">
        <v>1693</v>
      </c>
      <c r="B1584" s="3" t="str">
        <f>IFERROR(__xludf.DUMMYFUNCTION("GOOGLETRANSLATE(A1584, ""ar"", ""bn"")"),"লেয়ার অত্যাচারিত")</f>
        <v>লেয়ার অত্যাচারিত</v>
      </c>
    </row>
    <row r="1585">
      <c r="A1585" s="2" t="s">
        <v>1694</v>
      </c>
      <c r="B1585" s="3" t="str">
        <f>IFERROR(__xludf.DUMMYFUNCTION("GOOGLETRANSLATE(A1585, ""ar"", ""bn"")"),"একজন সংখ্যালঘু অত্যাচারিত")</f>
        <v>একজন সংখ্যালঘু অত্যাচারিত</v>
      </c>
    </row>
    <row r="1586">
      <c r="A1586" s="2" t="s">
        <v>1695</v>
      </c>
      <c r="B1586" s="3" t="str">
        <f>IFERROR(__xludf.DUMMYFUNCTION("GOOGLETRANSLATE(A1586, ""ar"", ""bn"")"),"অত্যাচারিত দলগুলোর")</f>
        <v>অত্যাচারিত দলগুলোর</v>
      </c>
    </row>
    <row r="1587">
      <c r="A1587" s="2" t="s">
        <v>1696</v>
      </c>
      <c r="B1587" s="3" t="str">
        <f>IFERROR(__xludf.DUMMYFUNCTION("GOOGLETRANSLATE(A1587, ""ar"", ""bn"")"),"অত্যাচারিত মানুষদের")</f>
        <v>অত্যাচারিত মানুষদের</v>
      </c>
    </row>
    <row r="1588">
      <c r="A1588" s="2" t="s">
        <v>1697</v>
      </c>
      <c r="B1588" s="3" t="str">
        <f>IFERROR(__xludf.DUMMYFUNCTION("GOOGLETRANSLATE(A1588, ""ar"", ""bn"")"),"নিপীড়ন দমন")</f>
        <v>নিপীড়ন দমন</v>
      </c>
    </row>
    <row r="1589">
      <c r="A1589" s="2" t="s">
        <v>1698</v>
      </c>
      <c r="B1589" s="3" t="str">
        <f>IFERROR(__xludf.DUMMYFUNCTION("GOOGLETRANSLATE(A1589, ""ar"", ""bn"")"),"পছন্দের অধিকার")</f>
        <v>পছন্দের অধিকার</v>
      </c>
    </row>
    <row r="1590">
      <c r="A1590" s="2" t="s">
        <v>1699</v>
      </c>
      <c r="B1590" s="3" t="str">
        <f>IFERROR(__xludf.DUMMYFUNCTION("GOOGLETRANSLATE(A1590, ""ar"", ""bn"")"),"রাজনৈতিক বিবৃতি মৌখিক")</f>
        <v>রাজনৈতিক বিবৃতি মৌখিক</v>
      </c>
    </row>
    <row r="1591">
      <c r="A1591" s="2" t="s">
        <v>1700</v>
      </c>
      <c r="B1591" s="3" t="str">
        <f>IFERROR(__xludf.DUMMYFUNCTION("GOOGLETRANSLATE(A1591, ""ar"", ""bn"")"),"অর্ডার অফ মেরিট")</f>
        <v>অর্ডার অফ মেরিট</v>
      </c>
    </row>
    <row r="1592">
      <c r="A1592" s="2" t="s">
        <v>1701</v>
      </c>
      <c r="B1592" s="3" t="str">
        <f>IFERROR(__xludf.DUMMYFUNCTION("GOOGLETRANSLATE(A1592, ""ar"", ""bn"")"),"পরবর্তী ঘোষণা না হওয়া পর্যন্ত অর্ডার")</f>
        <v>পরবর্তী ঘোষণা না হওয়া পর্যন্ত অর্ডার</v>
      </c>
    </row>
    <row r="1593">
      <c r="A1593" s="2" t="s">
        <v>1702</v>
      </c>
      <c r="B1593" s="3" t="str">
        <f>IFERROR(__xludf.DUMMYFUNCTION("GOOGLETRANSLATE(A1593, ""ar"", ""bn"")"),"কর্তৃপক্ষের সদস্য")</f>
        <v>কর্তৃপক্ষের সদস্য</v>
      </c>
    </row>
    <row r="1594">
      <c r="A1594" s="2" t="s">
        <v>1703</v>
      </c>
      <c r="B1594" s="3" t="str">
        <f>IFERROR(__xludf.DUMMYFUNCTION("GOOGLETRANSLATE(A1594, ""ar"", ""bn"")"),"শ্লীলতা")</f>
        <v>শ্লীলতা</v>
      </c>
    </row>
    <row r="1595">
      <c r="A1595" s="2" t="s">
        <v>1704</v>
      </c>
      <c r="B1595" s="3" t="str">
        <f>IFERROR(__xludf.DUMMYFUNCTION("GOOGLETRANSLATE(A1595, ""ar"", ""bn"")"),"কূটনৈতিক আলোচনা ফলাফল")</f>
        <v>কূটনৈতিক আলোচনা ফলাফল</v>
      </c>
    </row>
    <row r="1596">
      <c r="A1596" s="2" t="s">
        <v>213</v>
      </c>
      <c r="B1596" s="3" t="str">
        <f>IFERROR(__xludf.DUMMYFUNCTION("GOOGLETRANSLATE(A1596, ""ar"", ""bn"")"),"স্ট্রেঞ্জ দেশ")</f>
        <v>স্ট্রেঞ্জ দেশ</v>
      </c>
    </row>
    <row r="1597">
      <c r="A1597" s="2" t="s">
        <v>1705</v>
      </c>
      <c r="B1597" s="3" t="str">
        <f>IFERROR(__xludf.DUMMYFUNCTION("GOOGLETRANSLATE(A1597, ""ar"", ""bn"")"),"ইসস গুলি নির্বাচনী ভোট")</f>
        <v>ইসস গুলি নির্বাচনী ভোট</v>
      </c>
    </row>
    <row r="1598">
      <c r="A1598" s="2" t="s">
        <v>1706</v>
      </c>
      <c r="B1598" s="3" t="str">
        <f>IFERROR(__xludf.DUMMYFUNCTION("GOOGLETRANSLATE(A1598, ""ar"", ""bn"")"),"রাজনৈতিক অবমুক্ত বিয়ন্ড")</f>
        <v>রাজনৈতিক অবমুক্ত বিয়ন্ড</v>
      </c>
    </row>
    <row r="1599">
      <c r="A1599" s="2" t="s">
        <v>1707</v>
      </c>
      <c r="B1599" s="3" t="str">
        <f>IFERROR(__xludf.DUMMYFUNCTION("GOOGLETRANSLATE(A1599, ""ar"", ""bn"")"),"বেশির ভাগ")</f>
        <v>বেশির ভাগ</v>
      </c>
    </row>
    <row r="1600">
      <c r="A1600" s="2" t="s">
        <v>1708</v>
      </c>
      <c r="B1600" s="3" t="str">
        <f>IFERROR(__xludf.DUMMYFUNCTION("GOOGLETRANSLATE(A1600, ""ar"", ""bn"")"),"শান্তিপূর্ণ অবরোধ")</f>
        <v>শান্তিপূর্ণ অবরোধ</v>
      </c>
    </row>
    <row r="1601">
      <c r="A1601" s="2" t="s">
        <v>1709</v>
      </c>
      <c r="B1601" s="3" t="str">
        <f>IFERROR(__xludf.DUMMYFUNCTION("GOOGLETRANSLATE(A1601, ""ar"", ""bn"")"),"শান্তিপূর্ণ সহাবস্থান")</f>
        <v>শান্তিপূর্ণ সহাবস্থান</v>
      </c>
    </row>
    <row r="1602">
      <c r="A1602" s="2" t="s">
        <v>1710</v>
      </c>
      <c r="B1602" s="3" t="str">
        <f>IFERROR(__xludf.DUMMYFUNCTION("GOOGLETRANSLATE(A1602, ""ar"", ""bn"")"),"চার্টার চুক্তি")</f>
        <v>চার্টার চুক্তি</v>
      </c>
    </row>
    <row r="1603">
      <c r="A1603" s="2" t="s">
        <v>1711</v>
      </c>
      <c r="B1603" s="3" t="str">
        <f>IFERROR(__xludf.DUMMYFUNCTION("GOOGLETRANSLATE(A1603, ""ar"", ""bn"")"),"প্রার্থীদের তালিকা")</f>
        <v>প্রার্থীদের তালিকা</v>
      </c>
    </row>
    <row r="1604">
      <c r="A1604" s="2" t="s">
        <v>1712</v>
      </c>
      <c r="B1604" s="3" t="str">
        <f>IFERROR(__xludf.DUMMYFUNCTION("GOOGLETRANSLATE(A1604, ""ar"", ""bn"")"),"ওয়ার কাগজ")</f>
        <v>ওয়ার কাগজ</v>
      </c>
    </row>
    <row r="1605">
      <c r="A1605" s="2" t="s">
        <v>1713</v>
      </c>
      <c r="B1605" s="3" t="str">
        <f>IFERROR(__xludf.DUMMYFUNCTION("GOOGLETRANSLATE(A1605, ""ar"", ""bn"")"),"সেমিটিক কর্তৃপক্ষ")</f>
        <v>সেমিটিক কর্তৃপক্ষ</v>
      </c>
    </row>
    <row r="1606">
      <c r="A1606" s="2" t="s">
        <v>1714</v>
      </c>
      <c r="B1606" s="3" t="str">
        <f>IFERROR(__xludf.DUMMYFUNCTION("GOOGLETRANSLATE(A1606, ""ar"", ""bn"")"),"একজন সংসদ")</f>
        <v>একজন সংসদ</v>
      </c>
    </row>
    <row r="1607">
      <c r="A1607" s="2" t="s">
        <v>1715</v>
      </c>
      <c r="B1607" s="3" t="str">
        <f>IFERROR(__xludf.DUMMYFUNCTION("GOOGLETRANSLATE(A1607, ""ar"", ""bn"")"),"ভারতবর্ষের লোকসভা আলোচনার মধ্যে")</f>
        <v>ভারতবর্ষের লোকসভা আলোচনার মধ্যে</v>
      </c>
    </row>
    <row r="1608">
      <c r="A1608" s="2" t="s">
        <v>1716</v>
      </c>
      <c r="B1608" s="3" t="str">
        <f>IFERROR(__xludf.DUMMYFUNCTION("GOOGLETRANSLATE(A1608, ""ar"", ""bn"")"),"সংসদ সদস্য")</f>
        <v>সংসদ সদস্য</v>
      </c>
    </row>
    <row r="1609">
      <c r="A1609" s="2" t="s">
        <v>1717</v>
      </c>
      <c r="B1609" s="3" t="str">
        <f>IFERROR(__xludf.DUMMYFUNCTION("GOOGLETRANSLATE(A1609, ""ar"", ""bn"")"),"সংসদীয় কক্ষ")</f>
        <v>সংসদীয় কক্ষ</v>
      </c>
    </row>
    <row r="1610">
      <c r="A1610" s="2" t="s">
        <v>1718</v>
      </c>
      <c r="B1610" s="3" t="str">
        <f>IFERROR(__xludf.DUMMYFUNCTION("GOOGLETRANSLATE(A1610, ""ar"", ""bn"")"),"সংসদ নির্বাচনে")</f>
        <v>সংসদ নির্বাচনে</v>
      </c>
    </row>
    <row r="1611">
      <c r="A1611" s="2" t="s">
        <v>1719</v>
      </c>
      <c r="B1611" s="3" t="str">
        <f>IFERROR(__xludf.DUMMYFUNCTION("GOOGLETRANSLATE(A1611, ""ar"", ""bn"")"),"সংসদীয় অনাক্রম্যতা")</f>
        <v>সংসদীয় অনাক্রম্যতা</v>
      </c>
    </row>
    <row r="1612">
      <c r="A1612" s="2" t="s">
        <v>1720</v>
      </c>
      <c r="B1612" s="3" t="str">
        <f>IFERROR(__xludf.DUMMYFUNCTION("GOOGLETRANSLATE(A1612, ""ar"", ""bn"")"),"একজন সংসদে সংখ্যাগুরু")</f>
        <v>একজন সংসদে সংখ্যাগুরু</v>
      </c>
    </row>
    <row r="1613">
      <c r="A1613" s="2" t="s">
        <v>1721</v>
      </c>
      <c r="B1613" s="3" t="str">
        <f>IFERROR(__xludf.DUMMYFUNCTION("GOOGLETRANSLATE(A1613, ""ar"", ""bn"")"),"সংসদীয় উপস্থাপনা")</f>
        <v>সংসদীয় উপস্থাপনা</v>
      </c>
    </row>
    <row r="1614">
      <c r="A1614" s="2" t="s">
        <v>1722</v>
      </c>
      <c r="B1614" s="3" t="str">
        <f>IFERROR(__xludf.DUMMYFUNCTION("GOOGLETRANSLATE(A1614, ""ar"", ""bn"")"),"সংসদীয় অধিবেশন")</f>
        <v>সংসদীয় অধিবেশন</v>
      </c>
    </row>
    <row r="1615">
      <c r="A1615" s="2" t="s">
        <v>1723</v>
      </c>
      <c r="B1615" s="3" t="str">
        <f>IFERROR(__xludf.DUMMYFUNCTION("GOOGLETRANSLATE(A1615, ""ar"", ""bn"")"),"সূচি স্বাগতম! সেশন")</f>
        <v>সূচি স্বাগতম! সেশন</v>
      </c>
    </row>
    <row r="1616">
      <c r="A1616" s="2" t="s">
        <v>1724</v>
      </c>
      <c r="B1616" s="3" t="str">
        <f>IFERROR(__xludf.DUMMYFUNCTION("GOOGLETRANSLATE(A1616, ""ar"", ""bn"")"),"ভারতবর্ষের লোকসভা")</f>
        <v>ভারতবর্ষের লোকসভা</v>
      </c>
    </row>
    <row r="1617">
      <c r="A1617" s="2" t="s">
        <v>1725</v>
      </c>
      <c r="B1617" s="3" t="str">
        <f>IFERROR(__xludf.DUMMYFUNCTION("GOOGLETRANSLATE(A1617, ""ar"", ""bn"")"),"সংসদীয় শাসন ব্যবস্থা")</f>
        <v>সংসদীয় শাসন ব্যবস্থা</v>
      </c>
    </row>
    <row r="1618">
      <c r="A1618" s="2" t="s">
        <v>1726</v>
      </c>
      <c r="B1618" s="3" t="str">
        <f>IFERROR(__xludf.DUMMYFUNCTION("GOOGLETRANSLATE(A1618, ""ar"", ""bn"")"),"তথ্য গু এর আংশিক প্রত্যাহার")</f>
        <v>তথ্য গু এর আংশিক প্রত্যাহার</v>
      </c>
    </row>
    <row r="1619">
      <c r="A1619" s="2" t="s">
        <v>329</v>
      </c>
      <c r="B1619" s="3" t="str">
        <f>IFERROR(__xludf.DUMMYFUNCTION("GOOGLETRANSLATE(A1619, ""ar"", ""bn"")"),"সামরিক")</f>
        <v>সামরিক</v>
      </c>
    </row>
    <row r="1620">
      <c r="A1620" s="2" t="s">
        <v>1727</v>
      </c>
      <c r="B1620" s="3" t="str">
        <f>IFERROR(__xludf.DUMMYFUNCTION("GOOGLETRANSLATE(A1620, ""ar"", ""bn"")"),"এম পোস্ট সংখ্যালঘু")</f>
        <v>এম পোস্ট সংখ্যালঘু</v>
      </c>
    </row>
    <row r="1621">
      <c r="A1621" s="2" t="s">
        <v>1728</v>
      </c>
      <c r="B1621" s="3" t="str">
        <f>IFERROR(__xludf.DUMMYFUNCTION("GOOGLETRANSLATE(A1621, ""ar"", ""bn"")"),"জীবনে এম প্রকাশ্য অংশগ্রহণ")</f>
        <v>জীবনে এম প্রকাশ্য অংশগ্রহণ</v>
      </c>
    </row>
    <row r="1622">
      <c r="A1622" s="2" t="s">
        <v>468</v>
      </c>
      <c r="B1622" s="3" t="str">
        <f>IFERROR(__xludf.DUMMYFUNCTION("GOOGLETRANSLATE(A1622, ""ar"", ""bn"")"),"রাজনৈতিক")</f>
        <v>রাজনৈতিক</v>
      </c>
    </row>
    <row r="1623">
      <c r="A1623" s="2" t="s">
        <v>1729</v>
      </c>
      <c r="B1623" s="3" t="str">
        <f>IFERROR(__xludf.DUMMYFUNCTION("GOOGLETRANSLATE(A1623, ""ar"", ""bn"")"),"অন্তত ইয়াত এ শাসন এম অংশগ্রহণ")</f>
        <v>অন্তত ইয়াত এ শাসন এম অংশগ্রহণ</v>
      </c>
    </row>
    <row r="1624">
      <c r="A1624" s="2" t="s">
        <v>1730</v>
      </c>
      <c r="B1624" s="3" t="str">
        <f>IFERROR(__xludf.DUMMYFUNCTION("GOOGLETRANSLATE(A1624, ""ar"", ""bn"")"),"পার্টি")</f>
        <v>পার্টি</v>
      </c>
    </row>
    <row r="1625">
      <c r="A1625" s="2" t="s">
        <v>1731</v>
      </c>
      <c r="B1625" s="3" t="str">
        <f>IFERROR(__xludf.DUMMYFUNCTION("GOOGLETRANSLATE(A1625, ""ar"", ""bn"")"),"TAS খ পার্টি")</f>
        <v>TAS খ পার্টি</v>
      </c>
    </row>
    <row r="1626">
      <c r="A1626" s="2" t="s">
        <v>1732</v>
      </c>
      <c r="B1626" s="3" t="str">
        <f>IFERROR(__xludf.DUMMYFUNCTION("GOOGLETRANSLATE(A1626, ""ar"", ""bn"")"),"নেতিবাচক আনুগত্য")</f>
        <v>নেতিবাচক আনুগত্য</v>
      </c>
    </row>
    <row r="1627">
      <c r="A1627" s="2" t="s">
        <v>1733</v>
      </c>
      <c r="B1627" s="3" t="str">
        <f>IFERROR(__xludf.DUMMYFUNCTION("GOOGLETRANSLATE(A1627, ""ar"", ""bn"")"),"নেতিবাচক নীতি")</f>
        <v>নেতিবাচক নীতি</v>
      </c>
    </row>
    <row r="1628">
      <c r="A1628" s="2" t="s">
        <v>1734</v>
      </c>
      <c r="B1628" s="3" t="str">
        <f>IFERROR(__xludf.DUMMYFUNCTION("GOOGLETRANSLATE(A1628, ""ar"", ""bn"")"),"এম নেতিবাচক প্রতিরোধের")</f>
        <v>এম নেতিবাচক প্রতিরোধের</v>
      </c>
    </row>
    <row r="1629">
      <c r="A1629" s="2" t="s">
        <v>1735</v>
      </c>
      <c r="B1629" s="3" t="str">
        <f>IFERROR(__xludf.DUMMYFUNCTION("GOOGLETRANSLATE(A1629, ""ar"", ""bn"")"),"এম শান্তিপূর্ণ নেতিবাচক")</f>
        <v>এম শান্তিপূর্ণ নেতিবাচক</v>
      </c>
    </row>
    <row r="1630">
      <c r="A1630" s="2" t="s">
        <v>1736</v>
      </c>
      <c r="B1630" s="3" t="str">
        <f>IFERROR(__xludf.DUMMYFUNCTION("GOOGLETRANSLATE(A1630, ""ar"", ""bn"")"),"নাগরিক")</f>
        <v>নাগরিক</v>
      </c>
    </row>
    <row r="1631">
      <c r="A1631" s="2" t="s">
        <v>1737</v>
      </c>
      <c r="B1631" s="3" t="str">
        <f>IFERROR(__xludf.DUMMYFUNCTION("GOOGLETRANSLATE(A1631, ""ar"", ""bn"")"),"স্বদেশপ্রেম")</f>
        <v>স্বদেশপ্রেম</v>
      </c>
    </row>
    <row r="1632">
      <c r="A1632" s="2" t="s">
        <v>1738</v>
      </c>
      <c r="B1632" s="3" t="str">
        <f>IFERROR(__xludf.DUMMYFUNCTION("GOOGLETRANSLATE(A1632, ""ar"", ""bn"")"),"শান্তি উপকারিতা")</f>
        <v>শান্তি উপকারিতা</v>
      </c>
    </row>
    <row r="1633">
      <c r="A1633" s="2" t="s">
        <v>1739</v>
      </c>
      <c r="B1633" s="3" t="str">
        <f>IFERROR(__xludf.DUMMYFUNCTION("GOOGLETRANSLATE(A1633, ""ar"", ""bn"")"),"মীমাংসা নম্বর হোল্ডিংয়ে ভোট")</f>
        <v>মীমাংসা নম্বর হোল্ডিংয়ে ভোট</v>
      </c>
    </row>
    <row r="1634">
      <c r="A1634" s="2" t="s">
        <v>1740</v>
      </c>
      <c r="B1634" s="3" t="str">
        <f>IFERROR(__xludf.DUMMYFUNCTION("GOOGLETRANSLATE(A1634, ""ar"", ""bn"")"),"এম সূর্যের শান্তি খাতের")</f>
        <v>এম সূর্যের শান্তি খাতের</v>
      </c>
    </row>
    <row r="1635">
      <c r="A1635" s="2" t="s">
        <v>1741</v>
      </c>
      <c r="B1635" s="3" t="str">
        <f>IFERROR(__xludf.DUMMYFUNCTION("GOOGLETRANSLATE(A1635, ""ar"", ""bn"")"),"সাহসী শান্তি")</f>
        <v>সাহসী শান্তি</v>
      </c>
    </row>
    <row r="1636">
      <c r="A1636" s="2" t="s">
        <v>1742</v>
      </c>
      <c r="B1636" s="3" t="str">
        <f>IFERROR(__xludf.DUMMYFUNCTION("GOOGLETRANSLATE(A1636, ""ar"", ""bn"")"),"দেখুন পিস")</f>
        <v>দেখুন পিস</v>
      </c>
    </row>
    <row r="1637">
      <c r="A1637" s="2" t="s">
        <v>1743</v>
      </c>
      <c r="B1637" s="3" t="str">
        <f>IFERROR(__xludf.DUMMYFUNCTION("GOOGLETRANSLATE(A1637, ""ar"", ""bn"")"),"শান্তি প্রক্রিয়া")</f>
        <v>শান্তি প্রক্রিয়া</v>
      </c>
    </row>
    <row r="1638">
      <c r="A1638" s="2" t="s">
        <v>1744</v>
      </c>
      <c r="B1638" s="3" t="str">
        <f>IFERROR(__xludf.DUMMYFUNCTION("GOOGLETRANSLATE(A1638, ""ar"", ""bn"")"),"শান্তি প্রস্তাব")</f>
        <v>শান্তি প্রস্তাব</v>
      </c>
    </row>
    <row r="1639">
      <c r="A1639" s="2" t="s">
        <v>1745</v>
      </c>
      <c r="B1639" s="3" t="str">
        <f>IFERROR(__xludf.DUMMYFUNCTION("GOOGLETRANSLATE(A1639, ""ar"", ""bn"")"),"শান্তি কৌশল")</f>
        <v>শান্তি কৌশল</v>
      </c>
    </row>
    <row r="1640">
      <c r="A1640" s="2" t="s">
        <v>1746</v>
      </c>
      <c r="B1640" s="3" t="str">
        <f>IFERROR(__xludf.DUMMYFUNCTION("GOOGLETRANSLATE(A1640, ""ar"", ""bn"")"),"শান্তি আলোচনা")</f>
        <v>শান্তি আলোচনা</v>
      </c>
    </row>
    <row r="1641">
      <c r="A1641" s="2" t="s">
        <v>1747</v>
      </c>
      <c r="B1641" s="3" t="str">
        <f>IFERROR(__xludf.DUMMYFUNCTION("GOOGLETRANSLATE(A1641, ""ar"", ""bn"")"),"শান্তি চুক্তি")</f>
        <v>শান্তি চুক্তি</v>
      </c>
    </row>
    <row r="1642">
      <c r="A1642" s="2" t="s">
        <v>1748</v>
      </c>
      <c r="B1642" s="3" t="str">
        <f>IFERROR(__xludf.DUMMYFUNCTION("GOOGLETRANSLATE(A1642, ""ar"", ""bn"")"),"শান্তিপূর্ণ সহাবস্থান")</f>
        <v>শান্তিপূর্ণ সহাবস্থান</v>
      </c>
    </row>
    <row r="1643">
      <c r="A1643" s="2" t="s">
        <v>1749</v>
      </c>
      <c r="B1643" s="3" t="str">
        <f>IFERROR(__xludf.DUMMYFUNCTION("GOOGLETRANSLATE(A1643, ""ar"", ""bn"")"),"এম শান্তিপূর্ণ বিক্ষোভের")</f>
        <v>এম শান্তিপূর্ণ বিক্ষোভের</v>
      </c>
    </row>
    <row r="1644">
      <c r="A1644" s="2" t="s">
        <v>1750</v>
      </c>
      <c r="B1644" s="3" t="str">
        <f>IFERROR(__xludf.DUMMYFUNCTION("GOOGLETRANSLATE(A1644, ""ar"", ""bn"")"),"শান্তিপূর্ণ দেশ")</f>
        <v>শান্তিপূর্ণ দেশ</v>
      </c>
    </row>
    <row r="1645">
      <c r="A1645" s="2" t="s">
        <v>1751</v>
      </c>
      <c r="B1645" s="3" t="str">
        <f>IFERROR(__xludf.DUMMYFUNCTION("GOOGLETRANSLATE(A1645, ""ar"", ""bn"")"),"শান্তি সম্পর্ক")</f>
        <v>শান্তি সম্পর্ক</v>
      </c>
    </row>
    <row r="1646">
      <c r="A1646" s="2" t="s">
        <v>1752</v>
      </c>
      <c r="B1646" s="3" t="str">
        <f>IFERROR(__xludf.DUMMYFUNCTION("GOOGLETRANSLATE(A1646, ""ar"", ""bn"")"),"শক্তির শান্তিপূর্ণ ব্যবহারের")</f>
        <v>শক্তির শান্তিপূর্ণ ব্যবহারের</v>
      </c>
    </row>
    <row r="1647">
      <c r="A1647" s="2" t="s">
        <v>1753</v>
      </c>
      <c r="B1647" s="3" t="str">
        <f>IFERROR(__xludf.DUMMYFUNCTION("GOOGLETRANSLATE(A1647, ""ar"", ""bn"")"),"পারমাণবিক")</f>
        <v>পারমাণবিক</v>
      </c>
    </row>
    <row r="1648">
      <c r="A1648" s="2" t="s">
        <v>1752</v>
      </c>
      <c r="B1648" s="3" t="str">
        <f>IFERROR(__xludf.DUMMYFUNCTION("GOOGLETRANSLATE(A1648, ""ar"", ""bn"")"),"শক্তির শান্তিপূর্ণ ব্যবহারের")</f>
        <v>শক্তির শান্তিপূর্ণ ব্যবহারের</v>
      </c>
    </row>
    <row r="1649">
      <c r="A1649" s="2" t="s">
        <v>1754</v>
      </c>
      <c r="B1649" s="3" t="str">
        <f>IFERROR(__xludf.DUMMYFUNCTION("GOOGLETRANSLATE(A1649, ""ar"", ""bn"")"),"পারমাণবিক")</f>
        <v>পারমাণবিক</v>
      </c>
    </row>
    <row r="1650">
      <c r="A1650" s="2" t="s">
        <v>1755</v>
      </c>
      <c r="B1650" s="3" t="str">
        <f>IFERROR(__xludf.DUMMYFUNCTION("GOOGLETRANSLATE(A1650, ""ar"", ""bn"")"),"সংসদ")</f>
        <v>সংসদ</v>
      </c>
    </row>
    <row r="1651">
      <c r="A1651" s="2" t="s">
        <v>1756</v>
      </c>
      <c r="B1651" s="3" t="str">
        <f>IFERROR(__xludf.DUMMYFUNCTION("GOOGLETRANSLATE(A1651, ""ar"", ""bn"")"),"জনপ্রিয় ভোট")</f>
        <v>জনপ্রিয় ভোট</v>
      </c>
    </row>
    <row r="1652">
      <c r="A1652" s="2" t="s">
        <v>1757</v>
      </c>
      <c r="B1652" s="3" t="str">
        <f>IFERROR(__xludf.DUMMYFUNCTION("GOOGLETRANSLATE(A1652, ""ar"", ""bn"")"),"মানুষের সাধারণ সংস্কৃতি")</f>
        <v>মানুষের সাধারণ সংস্কৃতি</v>
      </c>
    </row>
    <row r="1653">
      <c r="A1653" s="2" t="s">
        <v>1758</v>
      </c>
      <c r="B1653" s="3" t="str">
        <f>IFERROR(__xludf.DUMMYFUNCTION("GOOGLETRANSLATE(A1653, ""ar"", ""bn"")"),"জনগণের সাধারণ স্বার্থ")</f>
        <v>জনগণের সাধারণ স্বার্থ</v>
      </c>
    </row>
    <row r="1654">
      <c r="A1654" s="2" t="s">
        <v>1759</v>
      </c>
      <c r="B1654" s="3" t="str">
        <f>IFERROR(__xludf.DUMMYFUNCTION("GOOGLETRANSLATE(A1654, ""ar"", ""bn"")"),"মানুষের উত্তরাধিকার")</f>
        <v>মানুষের উত্তরাধিকার</v>
      </c>
    </row>
    <row r="1655">
      <c r="A1655" s="2" t="s">
        <v>1760</v>
      </c>
      <c r="B1655" s="3" t="str">
        <f>IFERROR(__xludf.DUMMYFUNCTION("GOOGLETRANSLATE(A1655, ""ar"", ""bn"")"),"জনপ্রিয় প্রত্যাখ্যান")</f>
        <v>জনপ্রিয় প্রত্যাখ্যান</v>
      </c>
    </row>
    <row r="1656">
      <c r="A1656" s="2" t="s">
        <v>1761</v>
      </c>
      <c r="B1656" s="3" t="str">
        <f>IFERROR(__xludf.DUMMYFUNCTION("GOOGLETRANSLATE(A1656, ""ar"", ""bn"")"),"মানুষের ইচ্ছার")</f>
        <v>মানুষের ইচ্ছার</v>
      </c>
    </row>
    <row r="1657">
      <c r="A1657" s="2" t="s">
        <v>1762</v>
      </c>
      <c r="B1657" s="3" t="str">
        <f>IFERROR(__xludf.DUMMYFUNCTION("GOOGLETRANSLATE(A1657, ""ar"", ""bn"")"),"পক্ষে")</f>
        <v>পক্ষে</v>
      </c>
    </row>
    <row r="1658">
      <c r="A1658" s="2" t="s">
        <v>1763</v>
      </c>
      <c r="B1658" s="3" t="str">
        <f>IFERROR(__xludf.DUMMYFUNCTION("GOOGLETRANSLATE(A1658, ""ar"", ""bn"")"),"আন্তর্জাতিক বিষয় Tbes")</f>
        <v>আন্তর্জাতিক বিষয় Tbes</v>
      </c>
    </row>
    <row r="1659">
      <c r="A1659" s="2" t="s">
        <v>1764</v>
      </c>
      <c r="B1659" s="3" t="str">
        <f>IFERROR(__xludf.DUMMYFUNCTION("GOOGLETRANSLATE(A1659, ""ar"", ""bn"")"),"idealists হয় তত্ত্ব")</f>
        <v>idealists হয় তত্ত্ব</v>
      </c>
    </row>
    <row r="1660">
      <c r="A1660" s="2" t="s">
        <v>1765</v>
      </c>
      <c r="B1660" s="3" t="str">
        <f>IFERROR(__xludf.DUMMYFUNCTION("GOOGLETRANSLATE(A1660, ""ar"", ""bn"")"),"যোগাযোগমন্ত্রী চিত্রাবলী")</f>
        <v>যোগাযোগমন্ত্রী চিত্রাবলী</v>
      </c>
    </row>
    <row r="1661">
      <c r="A1661" s="2" t="s">
        <v>262</v>
      </c>
      <c r="B1661" s="3" t="str">
        <f>IFERROR(__xludf.DUMMYFUNCTION("GOOGLETRANSLATE(A1661, ""ar"", ""bn"")"),"কূটনীতি")</f>
        <v>কূটনীতি</v>
      </c>
    </row>
    <row r="1662">
      <c r="A1662" s="2" t="s">
        <v>1766</v>
      </c>
      <c r="B1662" s="3" t="str">
        <f>IFERROR(__xludf.DUMMYFUNCTION("GOOGLETRANSLATE(A1662, ""ar"", ""bn"")"),"স্থায়ী প্রতিনিধি")</f>
        <v>স্থায়ী প্রতিনিধি</v>
      </c>
    </row>
    <row r="1663">
      <c r="A1663" s="2" t="s">
        <v>1767</v>
      </c>
      <c r="B1663" s="3" t="str">
        <f>IFERROR(__xludf.DUMMYFUNCTION("GOOGLETRANSLATE(A1663, ""ar"", ""bn"")"),"একটি স্থায়ী কূটনৈতিক মিশন")</f>
        <v>একটি স্থায়ী কূটনৈতিক মিশন</v>
      </c>
    </row>
    <row r="1664">
      <c r="A1664" s="2" t="s">
        <v>1768</v>
      </c>
      <c r="B1664" s="3" t="str">
        <f>IFERROR(__xludf.DUMMYFUNCTION("GOOGLETRANSLATE(A1664, ""ar"", ""bn"")"),"এম স্থায়ী মিশন")</f>
        <v>এম স্থায়ী মিশন</v>
      </c>
    </row>
    <row r="1665">
      <c r="A1665" s="2" t="s">
        <v>1769</v>
      </c>
      <c r="B1665" s="3" t="str">
        <f>IFERROR(__xludf.DUMMYFUNCTION("GOOGLETRANSLATE(A1665, ""ar"", ""bn"")"),"অস্বীকৃত যাবজ্জীবন সাজা")</f>
        <v>অস্বীকৃত যাবজ্জীবন সাজা</v>
      </c>
    </row>
    <row r="1666">
      <c r="A1666" s="2" t="s">
        <v>1770</v>
      </c>
      <c r="B1666" s="3" t="str">
        <f>IFERROR(__xludf.DUMMYFUNCTION("GOOGLETRANSLATE(A1666, ""ar"", ""bn"")"),"তাড়না রাজনৈতিক বন্দীদের")</f>
        <v>তাড়না রাজনৈতিক বন্দীদের</v>
      </c>
    </row>
    <row r="1667">
      <c r="A1667" s="2" t="s">
        <v>1771</v>
      </c>
      <c r="B1667" s="3" t="str">
        <f>IFERROR(__xludf.DUMMYFUNCTION("GOOGLETRANSLATE(A1667, ""ar"", ""bn"")"),"এটি একটি গুরুত্বপূর্ণ কূটনৈতিক ভূমিকা পালন করে")</f>
        <v>এটি একটি গুরুত্বপূর্ণ কূটনৈতিক ভূমিকা পালন করে</v>
      </c>
    </row>
    <row r="1668">
      <c r="A1668" s="2" t="s">
        <v>1772</v>
      </c>
      <c r="B1668" s="3" t="str">
        <f>IFERROR(__xludf.DUMMYFUNCTION("GOOGLETRANSLATE(A1668, ""ar"", ""bn"")"),"শব্দের ম্যানিপুলেশন")</f>
        <v>শব্দের ম্যানিপুলেশন</v>
      </c>
    </row>
    <row r="1669">
      <c r="A1669" s="2" t="s">
        <v>1773</v>
      </c>
      <c r="B1669" s="3" t="str">
        <f>IFERROR(__xludf.DUMMYFUNCTION("GOOGLETRANSLATE(A1669, ""ar"", ""bn"")"),"পদ্ধতি দুর্বলতা পেই")</f>
        <v>পদ্ধতি দুর্বলতা পেই</v>
      </c>
    </row>
    <row r="1670">
      <c r="A1670" s="2" t="s">
        <v>1774</v>
      </c>
      <c r="B1670" s="3" t="str">
        <f>IFERROR(__xludf.DUMMYFUNCTION("GOOGLETRANSLATE(A1670, ""ar"", ""bn"")"),"আইনগত")</f>
        <v>আইনগত</v>
      </c>
    </row>
    <row r="1671">
      <c r="A1671" s="2" t="s">
        <v>1775</v>
      </c>
      <c r="B1671" s="3" t="str">
        <f>IFERROR(__xludf.DUMMYFUNCTION("GOOGLETRANSLATE(A1671, ""ar"", ""bn"")"),"গণভোট")</f>
        <v>গণভোট</v>
      </c>
    </row>
    <row r="1672">
      <c r="A1672" s="2" t="s">
        <v>1776</v>
      </c>
      <c r="B1672" s="3" t="str">
        <f>IFERROR(__xludf.DUMMYFUNCTION("GOOGLETRANSLATE(A1672, ""ar"", ""bn"")"),"Mmtalegh কর্তৃপক্ষ")</f>
        <v>Mmtalegh কর্তৃপক্ষ</v>
      </c>
    </row>
    <row r="1673">
      <c r="A1673" s="2" t="s">
        <v>1777</v>
      </c>
      <c r="B1673" s="3" t="str">
        <f>IFERROR(__xludf.DUMMYFUNCTION("GOOGLETRANSLATE(A1673, ""ar"", ""bn"")"),"সকলের সামনে ফুল অধিবেশন")</f>
        <v>সকলের সামনে ফুল অধিবেশন</v>
      </c>
    </row>
    <row r="1674">
      <c r="A1674" s="2" t="s">
        <v>1778</v>
      </c>
      <c r="B1674" s="3" t="str">
        <f>IFERROR(__xludf.DUMMYFUNCTION("GOOGLETRANSLATE(A1674, ""ar"", ""bn"")"),"সদস্য")</f>
        <v>সদস্য</v>
      </c>
    </row>
    <row r="1675">
      <c r="A1675" s="2" t="s">
        <v>1779</v>
      </c>
      <c r="B1675" s="3" t="str">
        <f>IFERROR(__xludf.DUMMYFUNCTION("GOOGLETRANSLATE(A1675, ""ar"", ""bn"")"),"এম কমিশনার পরম সঙ্গে ক্ষমতা")</f>
        <v>এম কমিশনার পরম সঙ্গে ক্ষমতা</v>
      </c>
    </row>
    <row r="1676">
      <c r="A1676" s="2" t="s">
        <v>1780</v>
      </c>
      <c r="B1676" s="3" t="str">
        <f>IFERROR(__xludf.DUMMYFUNCTION("GOOGLETRANSLATE(A1676, ""ar"", ""bn"")"),"বন্ধুত্বপূর্ণ")</f>
        <v>বন্ধুত্বপূর্ণ</v>
      </c>
    </row>
    <row r="1677">
      <c r="A1677" s="2" t="s">
        <v>1781</v>
      </c>
      <c r="B1677" s="3" t="str">
        <f>IFERROR(__xludf.DUMMYFUNCTION("GOOGLETRANSLATE(A1677, ""ar"", ""bn"")"),"বহুদলীয়")</f>
        <v>বহুদলীয়</v>
      </c>
    </row>
    <row r="1678">
      <c r="A1678" s="2" t="s">
        <v>1782</v>
      </c>
      <c r="B1678" s="3" t="str">
        <f>IFERROR(__xludf.DUMMYFUNCTION("GOOGLETRANSLATE(A1678, ""ar"", ""bn"")"),"ঘ রাজনৈতিক দলগুলোর")</f>
        <v>ঘ রাজনৈতিক দলগুলোর</v>
      </c>
    </row>
    <row r="1679">
      <c r="A1679" s="2" t="s">
        <v>1783</v>
      </c>
      <c r="B1679" s="3" t="str">
        <f>IFERROR(__xludf.DUMMYFUNCTION("GOOGLETRANSLATE(A1679, ""ar"", ""bn"")"),"নিয়ন্ত্রণ কেন্দ্র")</f>
        <v>নিয়ন্ত্রণ কেন্দ্র</v>
      </c>
    </row>
    <row r="1680">
      <c r="A1680" s="2" t="s">
        <v>1784</v>
      </c>
      <c r="B1680" s="3" t="str">
        <f>IFERROR(__xludf.DUMMYFUNCTION("GOOGLETRANSLATE(A1680, ""ar"", ""bn"")"),"নীতি")</f>
        <v>নীতি</v>
      </c>
    </row>
    <row r="1681">
      <c r="A1681" s="2" t="s">
        <v>1785</v>
      </c>
      <c r="B1681" s="3" t="str">
        <f>IFERROR(__xludf.DUMMYFUNCTION("GOOGLETRANSLATE(A1681, ""ar"", ""bn"")"),"তোষণ নীতি")</f>
        <v>তোষণ নীতি</v>
      </c>
    </row>
    <row r="1682">
      <c r="A1682" s="2" t="s">
        <v>1786</v>
      </c>
      <c r="B1682" s="3" t="str">
        <f>IFERROR(__xludf.DUMMYFUNCTION("GOOGLETRANSLATE(A1682, ""ar"", ""bn"")"),"নীতি এইচ-বয়স আশপাশ")</f>
        <v>নীতি এইচ-বয়স আশপাশ</v>
      </c>
    </row>
    <row r="1683">
      <c r="A1683" s="2" t="s">
        <v>1787</v>
      </c>
      <c r="B1683" s="3" t="str">
        <f>IFERROR(__xludf.DUMMYFUNCTION("GOOGLETRANSLATE(A1683, ""ar"", ""bn"")"),"কন্ট্রোল পুলিশ অফিস")</f>
        <v>কন্ট্রোল পুলিশ অফিস</v>
      </c>
    </row>
    <row r="1684">
      <c r="A1684" s="2" t="s">
        <v>1788</v>
      </c>
      <c r="B1684" s="3" t="str">
        <f>IFERROR(__xludf.DUMMYFUNCTION("GOOGLETRANSLATE(A1684, ""ar"", ""bn"")"),"রাজনৈতিক তথ্য")</f>
        <v>রাজনৈতিক তথ্য</v>
      </c>
    </row>
    <row r="1685">
      <c r="A1685" s="2" t="s">
        <v>1789</v>
      </c>
      <c r="B1685" s="3" t="str">
        <f>IFERROR(__xludf.DUMMYFUNCTION("GOOGLETRANSLATE(A1685, ""ar"", ""bn"")"),"রাজনৈতিক কর্তৃপক্ষের ভারসাম্য")</f>
        <v>রাজনৈতিক কর্তৃপক্ষের ভারসাম্য</v>
      </c>
    </row>
    <row r="1686">
      <c r="A1686" s="2" t="s">
        <v>1790</v>
      </c>
      <c r="B1686" s="3" t="str">
        <f>IFERROR(__xludf.DUMMYFUNCTION("GOOGLETRANSLATE(A1686, ""ar"", ""bn"")"),"রাজনৈতিক নিয়ন্ত্রণ")</f>
        <v>রাজনৈতিক নিয়ন্ত্রণ</v>
      </c>
    </row>
    <row r="1687">
      <c r="A1687" s="2" t="s">
        <v>1791</v>
      </c>
      <c r="B1687" s="3" t="str">
        <f>IFERROR(__xludf.DUMMYFUNCTION("GOOGLETRANSLATE(A1687, ""ar"", ""bn"")"),"Tugod রাজনৈতিক গোলক")</f>
        <v>Tugod রাজনৈতিক গোলক</v>
      </c>
    </row>
    <row r="1688">
      <c r="A1688" s="2" t="s">
        <v>1792</v>
      </c>
      <c r="B1688" s="3" t="str">
        <f>IFERROR(__xludf.DUMMYFUNCTION("GOOGLETRANSLATE(A1688, ""ar"", ""bn"")"),"রাজনৈতিক সিদ্ধান্ত")</f>
        <v>রাজনৈতিক সিদ্ধান্ত</v>
      </c>
    </row>
    <row r="1689">
      <c r="A1689" s="2" t="s">
        <v>1793</v>
      </c>
      <c r="B1689" s="3" t="str">
        <f>IFERROR(__xludf.DUMMYFUNCTION("GOOGLETRANSLATE(A1689, ""ar"", ""bn"")"),"রাজনৈতিক ঝুঁকি")</f>
        <v>রাজনৈতিক ঝুঁকি</v>
      </c>
    </row>
    <row r="1690">
      <c r="A1690" s="2" t="s">
        <v>1794</v>
      </c>
      <c r="B1690" s="3" t="str">
        <f>IFERROR(__xludf.DUMMYFUNCTION("GOOGLETRANSLATE(A1690, ""ar"", ""bn"")"),"রাজনৈতিক লাভ")</f>
        <v>রাজনৈতিক লাভ</v>
      </c>
    </row>
    <row r="1691">
      <c r="A1691" s="2" t="s">
        <v>1795</v>
      </c>
      <c r="B1691" s="3" t="str">
        <f>IFERROR(__xludf.DUMMYFUNCTION("GOOGLETRANSLATE(A1691, ""ar"", ""bn"")"),"রাজনৈতিক কার্যকলাপ")</f>
        <v>রাজনৈতিক কার্যকলাপ</v>
      </c>
    </row>
    <row r="1692">
      <c r="A1692" s="2" t="s">
        <v>1796</v>
      </c>
      <c r="B1692" s="3" t="str">
        <f>IFERROR(__xludf.DUMMYFUNCTION("GOOGLETRANSLATE(A1692, ""ar"", ""bn"")"),"অরাজকতা")</f>
        <v>অরাজকতা</v>
      </c>
    </row>
    <row r="1693">
      <c r="A1693" s="2" t="s">
        <v>1797</v>
      </c>
      <c r="B1693" s="3" t="str">
        <f>IFERROR(__xludf.DUMMYFUNCTION("GOOGLETRANSLATE(A1693, ""ar"", ""bn"")"),"রাজনৈতিক বিতর্ক")</f>
        <v>রাজনৈতিক বিতর্ক</v>
      </c>
    </row>
    <row r="1694">
      <c r="A1694" s="2" t="s">
        <v>1798</v>
      </c>
      <c r="B1694" s="3" t="str">
        <f>IFERROR(__xludf.DUMMYFUNCTION("GOOGLETRANSLATE(A1694, ""ar"", ""bn"")"),"রাজনৈতিক হত্যা")</f>
        <v>রাজনৈতিক হত্যা</v>
      </c>
    </row>
    <row r="1695">
      <c r="A1695" s="2" t="s">
        <v>1799</v>
      </c>
      <c r="B1695" s="3" t="str">
        <f>IFERROR(__xludf.DUMMYFUNCTION("GOOGLETRANSLATE(A1695, ""ar"", ""bn"")"),"রাজনৈতিক সমিতি")</f>
        <v>রাজনৈতিক সমিতি</v>
      </c>
    </row>
    <row r="1696">
      <c r="A1696" s="2" t="s">
        <v>1800</v>
      </c>
      <c r="B1696" s="3" t="str">
        <f>IFERROR(__xludf.DUMMYFUNCTION("GOOGLETRANSLATE(A1696, ""ar"", ""bn"")"),"রাজনৈতিক আশ্রয়")</f>
        <v>রাজনৈতিক আশ্রয়</v>
      </c>
    </row>
    <row r="1697">
      <c r="A1697" s="2" t="s">
        <v>1801</v>
      </c>
      <c r="B1697" s="3" t="str">
        <f>IFERROR(__xludf.DUMMYFUNCTION("GOOGLETRANSLATE(A1697, ""ar"", ""bn"")"),"এম এক্সটেনশন রাজনীতিবিদ")</f>
        <v>এম এক্সটেনশন রাজনীতিবিদ</v>
      </c>
    </row>
    <row r="1698">
      <c r="A1698" s="2" t="s">
        <v>1802</v>
      </c>
      <c r="B1698" s="3" t="str">
        <f>IFERROR(__xludf.DUMMYFUNCTION("GOOGLETRANSLATE(A1698, ""ar"", ""bn"")"),"এম রাজনৈতিক দরকষাকষি")</f>
        <v>এম রাজনৈতিক দরকষাকষি</v>
      </c>
    </row>
    <row r="1699">
      <c r="A1699" s="2" t="s">
        <v>1803</v>
      </c>
      <c r="B1699" s="3" t="str">
        <f>IFERROR(__xludf.DUMMYFUNCTION("GOOGLETRANSLATE(A1699, ""ar"", ""bn"")"),"এম রাজনৈতিক বিশ্বাসের")</f>
        <v>এম রাজনৈতিক বিশ্বাসের</v>
      </c>
    </row>
    <row r="1700">
      <c r="A1700" s="2" t="s">
        <v>1804</v>
      </c>
      <c r="B1700" s="3" t="str">
        <f>IFERROR(__xludf.DUMMYFUNCTION("GOOGLETRANSLATE(A1700, ""ar"", ""bn"")"),"রাজনৈতিক কেন্দ্র")</f>
        <v>রাজনৈতিক কেন্দ্র</v>
      </c>
    </row>
    <row r="1701">
      <c r="A1701" s="2" t="s">
        <v>1805</v>
      </c>
      <c r="B1701" s="3" t="str">
        <f>IFERROR(__xludf.DUMMYFUNCTION("GOOGLETRANSLATE(A1701, ""ar"", ""bn"")"),"রাজনৈতিক চেনাশোনা")</f>
        <v>রাজনৈতিক চেনাশোনা</v>
      </c>
    </row>
    <row r="1702">
      <c r="A1702" s="2" t="s">
        <v>1806</v>
      </c>
      <c r="B1702" s="3" t="str">
        <f>IFERROR(__xludf.DUMMYFUNCTION("GOOGLETRANSLATE(A1702, ""ar"", ""bn"")"),"রাজনৈতিক প্রকাশন")</f>
        <v>রাজনৈতিক প্রকাশন</v>
      </c>
    </row>
    <row r="1703">
      <c r="A1703" s="2" t="s">
        <v>1807</v>
      </c>
      <c r="B1703" s="3" t="str">
        <f>IFERROR(__xludf.DUMMYFUNCTION("GOOGLETRANSLATE(A1703, ""ar"", ""bn"")"),"রাজনৈতিক বুলেটিন")</f>
        <v>রাজনৈতিক বুলেটিন</v>
      </c>
    </row>
    <row r="1704">
      <c r="A1704" s="2" t="s">
        <v>1808</v>
      </c>
      <c r="B1704" s="3" t="str">
        <f>IFERROR(__xludf.DUMMYFUNCTION("GOOGLETRANSLATE(A1704, ""ar"", ""bn"")"),"রাজনৈতিক শ্রেণী")</f>
        <v>রাজনৈতিক শ্রেণী</v>
      </c>
    </row>
    <row r="1705">
      <c r="A1705" s="2" t="s">
        <v>1809</v>
      </c>
      <c r="B1705" s="3" t="str">
        <f>IFERROR(__xludf.DUMMYFUNCTION("GOOGLETRANSLATE(A1705, ""ar"", ""bn"")"),"রাজনৈতিক জোট")</f>
        <v>রাজনৈতিক জোট</v>
      </c>
    </row>
    <row r="1706">
      <c r="A1706" s="2" t="s">
        <v>1810</v>
      </c>
      <c r="B1706" s="3" t="str">
        <f>IFERROR(__xludf.DUMMYFUNCTION("GOOGLETRANSLATE(A1706, ""ar"", ""bn"")"),"সামরিক জান্তা")</f>
        <v>সামরিক জান্তা</v>
      </c>
    </row>
    <row r="1707">
      <c r="A1707" s="2" t="s">
        <v>1811</v>
      </c>
      <c r="B1707" s="3" t="str">
        <f>IFERROR(__xludf.DUMMYFUNCTION("GOOGLETRANSLATE(A1707, ""ar"", ""bn"")"),"রাজনৈতিক অধিক্ষেত্র")</f>
        <v>রাজনৈতিক অধিক্ষেত্র</v>
      </c>
    </row>
    <row r="1708">
      <c r="A1708" s="2" t="s">
        <v>1812</v>
      </c>
      <c r="B1708" s="3" t="str">
        <f>IFERROR(__xludf.DUMMYFUNCTION("GOOGLETRANSLATE(A1708, ""ar"", ""bn"")"),"রাজনৈতিক দ্বন্দ্ব কারণগুলো")</f>
        <v>রাজনৈতিক দ্বন্দ্ব কারণগুলো</v>
      </c>
    </row>
    <row r="1709">
      <c r="A1709" s="2" t="s">
        <v>1813</v>
      </c>
      <c r="B1709" s="3" t="str">
        <f>IFERROR(__xludf.DUMMYFUNCTION("GOOGLETRANSLATE(A1709, ""ar"", ""bn"")"),"এম রাজনৈতিক মোকাবিলার")</f>
        <v>এম রাজনৈতিক মোকাবিলার</v>
      </c>
    </row>
    <row r="1710">
      <c r="A1710" s="2" t="s">
        <v>1814</v>
      </c>
      <c r="B1710" s="3" t="str">
        <f>IFERROR(__xludf.DUMMYFUNCTION("GOOGLETRANSLATE(A1710, ""ar"", ""bn"")"),"একটি রাজনৈতিক শরীর")</f>
        <v>একটি রাজনৈতিক শরীর</v>
      </c>
    </row>
    <row r="1711">
      <c r="A1711" s="2" t="s">
        <v>1815</v>
      </c>
      <c r="B1711" s="3" t="str">
        <f>IFERROR(__xludf.DUMMYFUNCTION("GOOGLETRANSLATE(A1711, ""ar"", ""bn"")"),"Squalor")</f>
        <v>Squalor</v>
      </c>
    </row>
    <row r="1712">
      <c r="A1712" s="2" t="s">
        <v>1816</v>
      </c>
      <c r="B1712" s="3" t="str">
        <f>IFERROR(__xludf.DUMMYFUNCTION("GOOGLETRANSLATE(A1712, ""ar"", ""bn"")"),"রাজনৈতিক মতাদর্শের")</f>
        <v>রাজনৈতিক মতাদর্শের</v>
      </c>
    </row>
    <row r="1713">
      <c r="A1713" s="2" t="s">
        <v>1817</v>
      </c>
      <c r="B1713" s="3" t="str">
        <f>IFERROR(__xludf.DUMMYFUNCTION("GOOGLETRANSLATE(A1713, ""ar"", ""bn"")"),"রাজনৈতিক অপরাধ")</f>
        <v>রাজনৈতিক অপরাধ</v>
      </c>
    </row>
    <row r="1714">
      <c r="A1714" s="2" t="s">
        <v>1818</v>
      </c>
      <c r="B1714" s="3" t="str">
        <f>IFERROR(__xludf.DUMMYFUNCTION("GOOGLETRANSLATE(A1714, ""ar"", ""bn"")"),"রাজনৈতিক সমালোচনা")</f>
        <v>রাজনৈতিক সমালোচনা</v>
      </c>
    </row>
    <row r="1715">
      <c r="A1715" s="2" t="s">
        <v>1819</v>
      </c>
      <c r="B1715" s="3" t="str">
        <f>IFERROR(__xludf.DUMMYFUNCTION("GOOGLETRANSLATE(A1715, ""ar"", ""bn"")"),"এম রাজনৈতিক বিতর্ক")</f>
        <v>এম রাজনৈতিক বিতর্ক</v>
      </c>
    </row>
    <row r="1716">
      <c r="A1716" s="2" t="s">
        <v>1819</v>
      </c>
      <c r="B1716" s="3" t="str">
        <f>IFERROR(__xludf.DUMMYFUNCTION("GOOGLETRANSLATE(A1716, ""ar"", ""bn"")"),"এম রাজনৈতিক বিতর্ক")</f>
        <v>এম রাজনৈতিক বিতর্ক</v>
      </c>
    </row>
    <row r="1717">
      <c r="A1717" s="2" t="s">
        <v>1820</v>
      </c>
      <c r="B1717" s="3" t="str">
        <f>IFERROR(__xludf.DUMMYFUNCTION("GOOGLETRANSLATE(A1717, ""ar"", ""bn"")"),"রাজনৈতিক পরাজয়")</f>
        <v>রাজনৈতিক পরাজয়</v>
      </c>
    </row>
    <row r="1718">
      <c r="A1718" s="2" t="s">
        <v>1821</v>
      </c>
      <c r="B1718" s="3" t="str">
        <f>IFERROR(__xludf.DUMMYFUNCTION("GOOGLETRANSLATE(A1718, ""ar"", ""bn"")"),"রাজনৈতিক প্রতিনিধি দল")</f>
        <v>রাজনৈতিক প্রতিনিধি দল</v>
      </c>
    </row>
    <row r="1719">
      <c r="A1719" s="2" t="s">
        <v>1822</v>
      </c>
      <c r="B1719" s="3" t="str">
        <f>IFERROR(__xludf.DUMMYFUNCTION("GOOGLETRANSLATE(A1719, ""ar"", ""bn"")"),"এম রাজনৈতিক কুরিয়ার")</f>
        <v>এম রাজনৈতিক কুরিয়ার</v>
      </c>
    </row>
    <row r="1720">
      <c r="A1720" s="2" t="s">
        <v>1823</v>
      </c>
      <c r="B1720" s="3" t="str">
        <f>IFERROR(__xludf.DUMMYFUNCTION("GOOGLETRANSLATE(A1720, ""ar"", ""bn"")"),"রাজনৈতিক গণতন্ত্র")</f>
        <v>রাজনৈতিক গণতন্ত্র</v>
      </c>
    </row>
    <row r="1721">
      <c r="A1721" s="2" t="s">
        <v>1824</v>
      </c>
      <c r="B1721" s="3" t="str">
        <f>IFERROR(__xludf.DUMMYFUNCTION("GOOGLETRANSLATE(A1721, ""ar"", ""bn"")"),"এম রাজনৈতিক বিক্ষোভের")</f>
        <v>এম রাজনৈতিক বিক্ষোভের</v>
      </c>
    </row>
    <row r="1722">
      <c r="A1722" s="2" t="s">
        <v>1825</v>
      </c>
      <c r="B1722" s="3" t="str">
        <f>IFERROR(__xludf.DUMMYFUNCTION("GOOGLETRANSLATE(A1722, ""ar"", ""bn"")"),"রাজনৈতিক Subordination")</f>
        <v>রাজনৈতিক Subordination</v>
      </c>
    </row>
    <row r="1723">
      <c r="A1723" s="2" t="s">
        <v>1826</v>
      </c>
      <c r="B1723" s="3" t="str">
        <f>IFERROR(__xludf.DUMMYFUNCTION("GOOGLETRANSLATE(A1723, ""ar"", ""bn"")"),"রাজনৈতিক স্বৈরশাসন")</f>
        <v>রাজনৈতিক স্বৈরশাসন</v>
      </c>
    </row>
    <row r="1724">
      <c r="A1724" s="2" t="s">
        <v>1827</v>
      </c>
      <c r="B1724" s="3" t="str">
        <f>IFERROR(__xludf.DUMMYFUNCTION("GOOGLETRANSLATE(A1724, ""ar"", ""bn"")"),"এইচ রাজনৈতিক লোয়ার")</f>
        <v>এইচ রাজনৈতিক লোয়ার</v>
      </c>
    </row>
    <row r="1725">
      <c r="A1725" s="2" t="s">
        <v>1828</v>
      </c>
      <c r="B1725" s="3" t="str">
        <f>IFERROR(__xludf.DUMMYFUNCTION("GOOGLETRANSLATE(A1725, ""ar"", ""bn"")"),"রাজনৈতিক দিক নির্দেশনা")</f>
        <v>রাজনৈতিক দিক নির্দেশনা</v>
      </c>
    </row>
    <row r="1726">
      <c r="A1726" s="2" t="s">
        <v>1829</v>
      </c>
      <c r="B1726" s="3" t="str">
        <f>IFERROR(__xludf.DUMMYFUNCTION("GOOGLETRANSLATE(A1726, ""ar"", ""bn"")"),"রাজনৈতিক ভিন্ন")</f>
        <v>রাজনৈতিক ভিন্ন</v>
      </c>
    </row>
    <row r="1727">
      <c r="A1727" s="2" t="s">
        <v>1830</v>
      </c>
      <c r="B1727" s="3" t="str">
        <f>IFERROR(__xludf.DUMMYFUNCTION("GOOGLETRANSLATE(A1727, ""ar"", ""bn"")"),"বি একটি রাজনৈতিক পার্থক্য বিচ্ছুরণ")</f>
        <v>বি একটি রাজনৈতিক পার্থক্য বিচ্ছুরণ</v>
      </c>
    </row>
    <row r="1728">
      <c r="A1728" s="2" t="s">
        <v>1831</v>
      </c>
      <c r="B1728" s="3" t="str">
        <f>IFERROR(__xludf.DUMMYFUNCTION("GOOGLETRANSLATE(A1728, ""ar"", ""bn"")"),"রাজনৈতিক লেখক")</f>
        <v>রাজনৈতিক লেখক</v>
      </c>
    </row>
    <row r="1729">
      <c r="A1729" s="2" t="s">
        <v>1832</v>
      </c>
      <c r="B1729" s="3" t="str">
        <f>IFERROR(__xludf.DUMMYFUNCTION("GOOGLETRANSLATE(A1729, ""ar"", ""bn"")"),"রাজনৈতিক Nmbh")</f>
        <v>রাজনৈতিক Nmbh</v>
      </c>
    </row>
    <row r="1730">
      <c r="A1730" s="2" t="s">
        <v>1833</v>
      </c>
      <c r="B1730" s="3" t="str">
        <f>IFERROR(__xludf.DUMMYFUNCTION("GOOGLETRANSLATE(A1730, ""ar"", ""bn"")"),"রাজনৈতিক পরিবেশ")</f>
        <v>রাজনৈতিক পরিবেশ</v>
      </c>
    </row>
    <row r="1731">
      <c r="A1731" s="2" t="s">
        <v>1834</v>
      </c>
      <c r="B1731" s="3" t="str">
        <f>IFERROR(__xludf.DUMMYFUNCTION("GOOGLETRANSLATE(A1731, ""ar"", ""bn"")"),"আন্তর্জাতিক দূত")</f>
        <v>আন্তর্জাতিক দূত</v>
      </c>
    </row>
    <row r="1732">
      <c r="A1732" s="2" t="s">
        <v>1835</v>
      </c>
      <c r="B1732" s="3" t="str">
        <f>IFERROR(__xludf.DUMMYFUNCTION("GOOGLETRANSLATE(A1732, ""ar"", ""bn"")"),"রাজনৈতিক ভারসাম্য")</f>
        <v>রাজনৈতিক ভারসাম্য</v>
      </c>
    </row>
    <row r="1733">
      <c r="A1733" s="2" t="s">
        <v>1836</v>
      </c>
      <c r="B1733" s="3" t="str">
        <f>IFERROR(__xludf.DUMMYFUNCTION("GOOGLETRANSLATE(A1733, ""ar"", ""bn"")"),"প্রশ্নঃ একটি রাজনৈতিক উদ্ভব")</f>
        <v>প্রশ্নঃ একটি রাজনৈতিক উদ্ভব</v>
      </c>
    </row>
    <row r="1734">
      <c r="A1734" s="2" t="s">
        <v>1837</v>
      </c>
      <c r="B1734" s="3" t="str">
        <f>IFERROR(__xludf.DUMMYFUNCTION("GOOGLETRANSLATE(A1734, ""ar"", ""bn"")"),"রাজনৈতিক দৃশ্যের উপর উপস্থিতি")</f>
        <v>রাজনৈতিক দৃশ্যের উপর উপস্থিতি</v>
      </c>
    </row>
    <row r="1735">
      <c r="A1735" s="2" t="s">
        <v>1838</v>
      </c>
      <c r="B1735" s="3" t="str">
        <f>IFERROR(__xludf.DUMMYFUNCTION("GOOGLETRANSLATE(A1735, ""ar"", ""bn"")"),"কমিটি রাজনৈতিক বিশেষজ্ঞরা")</f>
        <v>কমিটি রাজনৈতিক বিশেষজ্ঞরা</v>
      </c>
    </row>
    <row r="1736">
      <c r="A1736" s="2" t="s">
        <v>1839</v>
      </c>
      <c r="B1736" s="3" t="str">
        <f>IFERROR(__xludf.DUMMYFUNCTION("GOOGLETRANSLATE(A1736, ""ar"", ""bn"")"),"রাজনৈতিক কারণের")</f>
        <v>রাজনৈতিক কারণের</v>
      </c>
    </row>
    <row r="1737">
      <c r="A1737" s="2" t="s">
        <v>1840</v>
      </c>
      <c r="B1737" s="3" t="str">
        <f>IFERROR(__xludf.DUMMYFUNCTION("GOOGLETRANSLATE(A1737, ""ar"", ""bn"")"),"ঘটনা রাজনৈতিক প্রতিবেদন")</f>
        <v>ঘটনা রাজনৈতিক প্রতিবেদন</v>
      </c>
    </row>
    <row r="1738">
      <c r="A1738" s="2" t="s">
        <v>1841</v>
      </c>
      <c r="B1738" s="3" t="str">
        <f>IFERROR(__xludf.DUMMYFUNCTION("GOOGLETRANSLATE(A1738, ""ar"", ""bn"")"),"রাজনৈতিক উত্সব")</f>
        <v>রাজনৈতিক উত্সব</v>
      </c>
    </row>
    <row r="1739">
      <c r="A1739" s="2" t="s">
        <v>1842</v>
      </c>
      <c r="B1739" s="3" t="str">
        <f>IFERROR(__xludf.DUMMYFUNCTION("GOOGLETRANSLATE(A1739, ""ar"", ""bn"")"),"রাজনৈতিক কাঠামো")</f>
        <v>রাজনৈতিক কাঠামো</v>
      </c>
    </row>
    <row r="1740">
      <c r="A1740" s="2" t="s">
        <v>1843</v>
      </c>
      <c r="B1740" s="3" t="str">
        <f>IFERROR(__xludf.DUMMYFUNCTION("GOOGLETRANSLATE(A1740, ""ar"", ""bn"")"),"রাজনৈতিক কর্ম")</f>
        <v>রাজনৈতিক কর্ম</v>
      </c>
    </row>
    <row r="1741">
      <c r="A1741" s="2" t="s">
        <v>1844</v>
      </c>
      <c r="B1741" s="3" t="str">
        <f>IFERROR(__xludf.DUMMYFUNCTION("GOOGLETRANSLATE(A1741, ""ar"", ""bn"")"),"রাজনৈতিক গোল")</f>
        <v>রাজনৈতিক গোল</v>
      </c>
    </row>
    <row r="1742">
      <c r="A1742" s="2" t="s">
        <v>1845</v>
      </c>
      <c r="B1742" s="3" t="str">
        <f>IFERROR(__xludf.DUMMYFUNCTION("GOOGLETRANSLATE(A1742, ""ar"", ""bn"")"),"রাজনৈতিক ক্রম")</f>
        <v>রাজনৈতিক ক্রম</v>
      </c>
    </row>
    <row r="1743">
      <c r="A1743" s="2" t="s">
        <v>1846</v>
      </c>
      <c r="B1743" s="3" t="str">
        <f>IFERROR(__xludf.DUMMYFUNCTION("GOOGLETRANSLATE(A1743, ""ar"", ""bn"")"),"রাজনৈতিক জিম্মি")</f>
        <v>রাজনৈতিক জিম্মি</v>
      </c>
    </row>
    <row r="1744">
      <c r="A1744" s="2" t="s">
        <v>1847</v>
      </c>
      <c r="B1744" s="3" t="str">
        <f>IFERROR(__xludf.DUMMYFUNCTION("GOOGLETRANSLATE(A1744, ""ar"", ""bn"")"),"রাজনৈতিক অনাক্রম্যতা")</f>
        <v>রাজনৈতিক অনাক্রম্যতা</v>
      </c>
    </row>
    <row r="1745">
      <c r="A1745" s="2" t="s">
        <v>1848</v>
      </c>
      <c r="B1745" s="3" t="str">
        <f>IFERROR(__xludf.DUMMYFUNCTION("GOOGLETRANSLATE(A1745, ""ar"", ""bn"")"),"রাজনৈতিক প্রভাব")</f>
        <v>রাজনৈতিক প্রভাব</v>
      </c>
    </row>
    <row r="1746">
      <c r="A1746" s="2" t="s">
        <v>1849</v>
      </c>
      <c r="B1746" s="3" t="str">
        <f>IFERROR(__xludf.DUMMYFUNCTION("GOOGLETRANSLATE(A1746, ""ar"", ""bn"")"),"রাজনৈতিক অস্থিরতা")</f>
        <v>রাজনৈতিক অস্থিরতা</v>
      </c>
    </row>
    <row r="1747">
      <c r="A1747" s="2" t="s">
        <v>1850</v>
      </c>
      <c r="B1747" s="3" t="str">
        <f>IFERROR(__xludf.DUMMYFUNCTION("GOOGLETRANSLATE(A1747, ""ar"", ""bn"")"),"রাজনৈতিক প্রতিষ্ঠান")</f>
        <v>রাজনৈতিক প্রতিষ্ঠান</v>
      </c>
    </row>
    <row r="1748">
      <c r="A1748" s="2" t="s">
        <v>1851</v>
      </c>
      <c r="B1748" s="3" t="str">
        <f>IFERROR(__xludf.DUMMYFUNCTION("GOOGLETRANSLATE(A1748, ""ar"", ""bn"")"),"রাজনৈতিক ইন্টিগ্রেশন")</f>
        <v>রাজনৈতিক ইন্টিগ্রেশন</v>
      </c>
    </row>
    <row r="1749">
      <c r="A1749" s="2" t="s">
        <v>1852</v>
      </c>
      <c r="B1749" s="3" t="str">
        <f>IFERROR(__xludf.DUMMYFUNCTION("GOOGLETRANSLATE(A1749, ""ar"", ""bn"")"),"রাজনৈতিক চক্রান্ত")</f>
        <v>রাজনৈতিক চক্রান্ত</v>
      </c>
    </row>
    <row r="1750">
      <c r="A1750" s="2" t="s">
        <v>1853</v>
      </c>
      <c r="B1750" s="3" t="str">
        <f>IFERROR(__xludf.DUMMYFUNCTION("GOOGLETRANSLATE(A1750, ""ar"", ""bn"")"),"একটি রাজনৈতিক সমীক্ষা")</f>
        <v>একটি রাজনৈতিক সমীক্ষা</v>
      </c>
    </row>
    <row r="1751">
      <c r="A1751" s="2" t="s">
        <v>1854</v>
      </c>
      <c r="B1751" s="3" t="str">
        <f>IFERROR(__xludf.DUMMYFUNCTION("GOOGLETRANSLATE(A1751, ""ar"", ""bn"")"),"রাজনৈতিক নেতৃত্ব")</f>
        <v>রাজনৈতিক নেতৃত্ব</v>
      </c>
    </row>
    <row r="1752">
      <c r="A1752" s="2" t="s">
        <v>1855</v>
      </c>
      <c r="B1752" s="3" t="str">
        <f>IFERROR(__xludf.DUMMYFUNCTION("GOOGLETRANSLATE(A1752, ""ar"", ""bn"")"),"রাজনৈতিক স্বাধীনতা")</f>
        <v>রাজনৈতিক স্বাধীনতা</v>
      </c>
    </row>
    <row r="1753">
      <c r="A1753" s="2" t="s">
        <v>1856</v>
      </c>
      <c r="B1753" s="3" t="str">
        <f>IFERROR(__xludf.DUMMYFUNCTION("GOOGLETRANSLATE(A1753, ""ar"", ""bn"")"),"জীবন বক্ররেখা এ জন্য লিপ্সা")</f>
        <v>জীবন বক্ররেখা এ জন্য লিপ্সা</v>
      </c>
    </row>
    <row r="1754">
      <c r="A1754" s="2" t="s">
        <v>468</v>
      </c>
      <c r="B1754" s="3" t="str">
        <f>IFERROR(__xludf.DUMMYFUNCTION("GOOGLETRANSLATE(A1754, ""ar"", ""bn"")"),"রাজনৈতিক")</f>
        <v>রাজনৈতিক</v>
      </c>
    </row>
    <row r="1755">
      <c r="A1755" s="2" t="s">
        <v>1857</v>
      </c>
      <c r="B1755" s="3" t="str">
        <f>IFERROR(__xludf.DUMMYFUNCTION("GOOGLETRANSLATE(A1755, ""ar"", ""bn"")"),"রাজনৈতিক সংযোগগুলি")</f>
        <v>রাজনৈতিক সংযোগগুলি</v>
      </c>
    </row>
    <row r="1756">
      <c r="A1756" s="2" t="s">
        <v>1858</v>
      </c>
      <c r="B1756" s="3" t="str">
        <f>IFERROR(__xludf.DUMMYFUNCTION("GOOGLETRANSLATE(A1756, ""ar"", ""bn"")"),"রাজনৈতিক প্রক্রিয়া")</f>
        <v>রাজনৈতিক প্রক্রিয়া</v>
      </c>
    </row>
    <row r="1757">
      <c r="A1757" s="2" t="s">
        <v>1859</v>
      </c>
      <c r="B1757" s="3" t="str">
        <f>IFERROR(__xludf.DUMMYFUNCTION("GOOGLETRANSLATE(A1757, ""ar"", ""bn"")"),"রাজনৈতিক পূর্ণতা")</f>
        <v>রাজনৈতিক পূর্ণতা</v>
      </c>
    </row>
    <row r="1758">
      <c r="A1758" s="2" t="s">
        <v>1860</v>
      </c>
      <c r="B1758" s="3" t="str">
        <f>IFERROR(__xludf.DUMMYFUNCTION("GOOGLETRANSLATE(A1758, ""ar"", ""bn"")"),"রাজনৈতিক মিশন")</f>
        <v>রাজনৈতিক মিশন</v>
      </c>
    </row>
    <row r="1759">
      <c r="A1759" s="2" t="s">
        <v>1861</v>
      </c>
      <c r="B1759" s="3" t="str">
        <f>IFERROR(__xludf.DUMMYFUNCTION("GOOGLETRANSLATE(A1759, ""ar"", ""bn"")"),"রাজনৈতিক আন্দোলনে")</f>
        <v>রাজনৈতিক আন্দোলনে</v>
      </c>
    </row>
    <row r="1760">
      <c r="A1760" s="2" t="s">
        <v>1862</v>
      </c>
      <c r="B1760" s="3" t="str">
        <f>IFERROR(__xludf.DUMMYFUNCTION("GOOGLETRANSLATE(A1760, ""ar"", ""bn"")"),"পি রাজনৈতিক গম্বুজ")</f>
        <v>পি রাজনৈতিক গম্বুজ</v>
      </c>
    </row>
    <row r="1761">
      <c r="A1761" s="2" t="s">
        <v>1863</v>
      </c>
      <c r="B1761" s="3" t="str">
        <f>IFERROR(__xludf.DUMMYFUNCTION("GOOGLETRANSLATE(A1761, ""ar"", ""bn"")"),"রাজনৈতিক নির্যাতনের")</f>
        <v>রাজনৈতিক নির্যাতনের</v>
      </c>
    </row>
    <row r="1762">
      <c r="A1762" s="2" t="s">
        <v>1864</v>
      </c>
      <c r="B1762" s="3" t="str">
        <f>IFERROR(__xludf.DUMMYFUNCTION("GOOGLETRANSLATE(A1762, ""ar"", ""bn"")"),"রাজনৈতিক মতামত")</f>
        <v>রাজনৈতিক মতামত</v>
      </c>
    </row>
    <row r="1763">
      <c r="A1763" s="2" t="s">
        <v>1865</v>
      </c>
      <c r="B1763" s="3" t="str">
        <f>IFERROR(__xludf.DUMMYFUNCTION("GOOGLETRANSLATE(A1763, ""ar"", ""bn"")"),"এম রাজনৈতিক বিরোধী")</f>
        <v>এম রাজনৈতিক বিরোধী</v>
      </c>
    </row>
    <row r="1764">
      <c r="A1764" s="2" t="s">
        <v>1866</v>
      </c>
      <c r="B1764" s="3" t="str">
        <f>IFERROR(__xludf.DUMMYFUNCTION("GOOGLETRANSLATE(A1764, ""ar"", ""bn"")"),"রাজনৈতিক দিক নির্দেশনা")</f>
        <v>রাজনৈতিক দিক নির্দেশনা</v>
      </c>
    </row>
    <row r="1765">
      <c r="A1765" s="2" t="s">
        <v>1867</v>
      </c>
      <c r="B1765" s="3" t="str">
        <f>IFERROR(__xludf.DUMMYFUNCTION("GOOGLETRANSLATE(A1765, ""ar"", ""bn"")"),"রাজনৈতিক দলগুলো")</f>
        <v>রাজনৈতিক দলগুলো</v>
      </c>
    </row>
    <row r="1766">
      <c r="A1766" s="2" t="s">
        <v>1868</v>
      </c>
      <c r="B1766" s="3" t="str">
        <f>IFERROR(__xludf.DUMMYFUNCTION("GOOGLETRANSLATE(A1766, ""ar"", ""bn"")"),"রাজনৈতিক প্রপঞ্চ")</f>
        <v>রাজনৈতিক প্রপঞ্চ</v>
      </c>
    </row>
    <row r="1767">
      <c r="A1767" s="2" t="s">
        <v>1869</v>
      </c>
      <c r="B1767" s="3" t="str">
        <f>IFERROR(__xludf.DUMMYFUNCTION("GOOGLETRANSLATE(A1767, ""ar"", ""bn"")"),"রাজনীতি দর্শনশাস্ত্র")</f>
        <v>রাজনীতি দর্শনশাস্ত্র</v>
      </c>
    </row>
    <row r="1768">
      <c r="A1768" s="2" t="s">
        <v>1870</v>
      </c>
      <c r="B1768" s="3" t="str">
        <f>IFERROR(__xludf.DUMMYFUNCTION("GOOGLETRANSLATE(A1768, ""ar"", ""bn"")"),"রাজনৈতিক ষড়যন্ত্র")</f>
        <v>রাজনৈতিক ষড়যন্ত্র</v>
      </c>
    </row>
    <row r="1769">
      <c r="A1769" s="2" t="s">
        <v>1871</v>
      </c>
      <c r="B1769" s="3" t="str">
        <f>IFERROR(__xludf.DUMMYFUNCTION("GOOGLETRANSLATE(A1769, ""ar"", ""bn"")"),"দৃশ্য রাজনৈতিক বিন্দু")</f>
        <v>দৃশ্য রাজনৈতিক বিন্দু</v>
      </c>
    </row>
    <row r="1770">
      <c r="A1770" s="2" t="s">
        <v>1872</v>
      </c>
      <c r="B1770" s="3" t="str">
        <f>IFERROR(__xludf.DUMMYFUNCTION("GOOGLETRANSLATE(A1770, ""ar"", ""bn"")"),"পুলিশ রাজনৈতিক ভূমিকা")</f>
        <v>পুলিশ রাজনৈতিক ভূমিকা</v>
      </c>
    </row>
    <row r="1771">
      <c r="A1771" s="2" t="s">
        <v>1873</v>
      </c>
      <c r="B1771" s="3" t="str">
        <f>IFERROR(__xludf.DUMMYFUNCTION("GOOGLETRANSLATE(A1771, ""ar"", ""bn"")"),"উপযুক্ত কর্তৃপক্ষ স্থিতি")</f>
        <v>উপযুক্ত কর্তৃপক্ষ স্থিতি</v>
      </c>
    </row>
    <row r="1772">
      <c r="A1772" s="2" t="s">
        <v>1874</v>
      </c>
      <c r="B1772" s="3" t="str">
        <f>IFERROR(__xludf.DUMMYFUNCTION("GOOGLETRANSLATE(A1772, ""ar"", ""bn"")"),"রাজনৈতিক পরিকল্পনা")</f>
        <v>রাজনৈতিক পরিকল্পনা</v>
      </c>
    </row>
    <row r="1773">
      <c r="A1773" s="2" t="s">
        <v>1875</v>
      </c>
      <c r="B1773" s="3" t="str">
        <f>IFERROR(__xludf.DUMMYFUNCTION("GOOGLETRANSLATE(A1773, ""ar"", ""bn"")"),"রাজনৈতিক অফিস")</f>
        <v>রাজনৈতিক অফিস</v>
      </c>
    </row>
    <row r="1774">
      <c r="A1774" s="2" t="s">
        <v>1876</v>
      </c>
      <c r="B1774" s="3" t="str">
        <f>IFERROR(__xludf.DUMMYFUNCTION("GOOGLETRANSLATE(A1774, ""ar"", ""bn"")"),"রাজনৈতিক ক্ষমতা")</f>
        <v>রাজনৈতিক ক্ষমতা</v>
      </c>
    </row>
    <row r="1775">
      <c r="A1775" s="2" t="s">
        <v>1877</v>
      </c>
      <c r="B1775" s="3" t="str">
        <f>IFERROR(__xludf.DUMMYFUNCTION("GOOGLETRANSLATE(A1775, ""ar"", ""bn"")"),"রাজনৈতিক চাপে")</f>
        <v>রাজনৈতিক চাপে</v>
      </c>
    </row>
    <row r="1776">
      <c r="A1776" s="2" t="s">
        <v>1878</v>
      </c>
      <c r="B1776" s="3" t="str">
        <f>IFERROR(__xludf.DUMMYFUNCTION("GOOGLETRANSLATE(A1776, ""ar"", ""bn"")"),"ইসস গুলি রাজনৈতিক")</f>
        <v>ইসস গুলি রাজনৈতিক</v>
      </c>
    </row>
    <row r="1777">
      <c r="A1777" s="2" t="s">
        <v>1879</v>
      </c>
      <c r="B1777" s="3" t="str">
        <f>IFERROR(__xludf.DUMMYFUNCTION("GOOGLETRANSLATE(A1777, ""ar"", ""bn"")"),"হেফাজতে রাজনৈতিক বন্দী")</f>
        <v>হেফাজতে রাজনৈতিক বন্দী</v>
      </c>
    </row>
    <row r="1778">
      <c r="A1778" s="2" t="s">
        <v>1880</v>
      </c>
      <c r="B1778" s="3" t="str">
        <f>IFERROR(__xludf.DUMMYFUNCTION("GOOGLETRANSLATE(A1778, ""ar"", ""bn"")"),"নির্জন")</f>
        <v>নির্জন</v>
      </c>
    </row>
    <row r="1779">
      <c r="A1779" s="2" t="s">
        <v>1881</v>
      </c>
      <c r="B1779" s="3" t="str">
        <f>IFERROR(__xludf.DUMMYFUNCTION("GOOGLETRANSLATE(A1779, ""ar"", ""bn"")"),"নির্যাতনকারীদের জন্য সাধারণ ক্ষমা")</f>
        <v>নির্যাতনকারীদের জন্য সাধারণ ক্ষমা</v>
      </c>
    </row>
    <row r="1780">
      <c r="A1780" s="2" t="s">
        <v>229</v>
      </c>
      <c r="B1780" s="3" t="str">
        <f>IFERROR(__xludf.DUMMYFUNCTION("GOOGLETRANSLATE(A1780, ""ar"", ""bn"")"),"রাজনীতিবিদরা")</f>
        <v>রাজনীতিবিদরা</v>
      </c>
    </row>
    <row r="1781">
      <c r="A1781" s="2" t="s">
        <v>1882</v>
      </c>
      <c r="B1781" s="3" t="str">
        <f>IFERROR(__xludf.DUMMYFUNCTION("GOOGLETRANSLATE(A1781, ""ar"", ""bn"")"),"রাজনৈতিক বন্দীদের অধিকার")</f>
        <v>রাজনৈতিক বন্দীদের অধিকার</v>
      </c>
    </row>
    <row r="1782">
      <c r="A1782" s="2" t="s">
        <v>1883</v>
      </c>
      <c r="B1782" s="3" t="str">
        <f>IFERROR(__xludf.DUMMYFUNCTION("GOOGLETRANSLATE(A1782, ""ar"", ""bn"")"),"রাজনৈতিক রেফারেন্স")</f>
        <v>রাজনৈতিক রেফারেন্স</v>
      </c>
    </row>
    <row r="1783">
      <c r="A1783" s="2" t="s">
        <v>1884</v>
      </c>
      <c r="B1783" s="3" t="str">
        <f>IFERROR(__xludf.DUMMYFUNCTION("GOOGLETRANSLATE(A1783, ""ar"", ""bn"")"),"রাজনৈতিক সংস্কার")</f>
        <v>রাজনৈতিক সংস্কার</v>
      </c>
    </row>
    <row r="1784">
      <c r="A1784" s="2" t="s">
        <v>1885</v>
      </c>
      <c r="B1784" s="3" t="str">
        <f>IFERROR(__xludf.DUMMYFUNCTION("GOOGLETRANSLATE(A1784, ""ar"", ""bn"")"),"রাজনৈতিক শরণার্থী")</f>
        <v>রাজনৈতিক শরণার্থী</v>
      </c>
    </row>
    <row r="1785">
      <c r="A1785" s="2" t="s">
        <v>1886</v>
      </c>
      <c r="B1785" s="3" t="str">
        <f>IFERROR(__xludf.DUMMYFUNCTION("GOOGLETRANSLATE(A1785, ""ar"", ""bn"")"),"রাজনৈতিক ব্যবস্থা")</f>
        <v>রাজনৈতিক ব্যবস্থা</v>
      </c>
    </row>
    <row r="1786">
      <c r="A1786" s="2" t="s">
        <v>1887</v>
      </c>
      <c r="B1786" s="3" t="str">
        <f>IFERROR(__xludf.DUMMYFUNCTION("GOOGLETRANSLATE(A1786, ""ar"", ""bn"")"),"রাজনৈতিক প্রতিবেদন")</f>
        <v>রাজনৈতিক প্রতিবেদন</v>
      </c>
    </row>
    <row r="1787">
      <c r="A1787" s="2" t="s">
        <v>1888</v>
      </c>
      <c r="B1787" s="3" t="str">
        <f>IFERROR(__xludf.DUMMYFUNCTION("GOOGLETRANSLATE(A1787, ""ar"", ""bn"")"),"রাজনৈতিক প্রতিনিধিত্ব")</f>
        <v>রাজনৈতিক প্রতিনিধিত্ব</v>
      </c>
    </row>
    <row r="1788">
      <c r="A1788" s="2" t="s">
        <v>1889</v>
      </c>
      <c r="B1788" s="3" t="str">
        <f>IFERROR(__xludf.DUMMYFUNCTION("GOOGLETRANSLATE(A1788, ""ar"", ""bn"")"),"রাজনৈতিক সঙ্গে এস")</f>
        <v>রাজনৈতিক সঙ্গে এস</v>
      </c>
    </row>
    <row r="1789">
      <c r="A1789" s="2" t="s">
        <v>1890</v>
      </c>
      <c r="B1789" s="3" t="str">
        <f>IFERROR(__xludf.DUMMYFUNCTION("GOOGLETRANSLATE(A1789, ""ar"", ""bn"")"),"একটি রাজনৈতিক সিদ্ধান্ত")</f>
        <v>একটি রাজনৈতিক সিদ্ধান্ত</v>
      </c>
    </row>
    <row r="1790">
      <c r="A1790" s="2" t="s">
        <v>1891</v>
      </c>
      <c r="B1790" s="3" t="str">
        <f>IFERROR(__xludf.DUMMYFUNCTION("GOOGLETRANSLATE(A1790, ""ar"", ""bn"")"),"রাজনৈতিক দায়িত্ব")</f>
        <v>রাজনৈতিক দায়িত্ব</v>
      </c>
    </row>
    <row r="1791">
      <c r="A1791" s="2" t="s">
        <v>1892</v>
      </c>
      <c r="B1791" s="3" t="str">
        <f>IFERROR(__xludf.DUMMYFUNCTION("GOOGLETRANSLATE(A1791, ""ar"", ""bn"")"),"এম রাজনৈতিক প্রতিযোগিতা")</f>
        <v>এম রাজনৈতিক প্রতিযোগিতা</v>
      </c>
    </row>
    <row r="1792">
      <c r="A1792" s="2" t="s">
        <v>1893</v>
      </c>
      <c r="B1792" s="3" t="str">
        <f>IFERROR(__xludf.DUMMYFUNCTION("GOOGLETRANSLATE(A1792, ""ar"", ""bn"")"),"রাজনৈতিক নিষ্পত্তির")</f>
        <v>রাজনৈতিক নিষ্পত্তির</v>
      </c>
    </row>
    <row r="1793">
      <c r="A1793" s="2" t="s">
        <v>1894</v>
      </c>
      <c r="B1793" s="3" t="str">
        <f>IFERROR(__xludf.DUMMYFUNCTION("GOOGLETRANSLATE(A1793, ""ar"", ""bn"")"),"আলোচনার রাজনৈতিক দৃষ্টিভঙ্গি")</f>
        <v>আলোচনার রাজনৈতিক দৃষ্টিভঙ্গি</v>
      </c>
    </row>
    <row r="1794">
      <c r="A1794" s="2" t="s">
        <v>1895</v>
      </c>
      <c r="B1794" s="3" t="str">
        <f>IFERROR(__xludf.DUMMYFUNCTION("GOOGLETRANSLATE(A1794, ""ar"", ""bn"")"),"রাজনৈতিক অবস্থা")</f>
        <v>রাজনৈতিক অবস্থা</v>
      </c>
    </row>
    <row r="1795">
      <c r="A1795" s="2" t="s">
        <v>1896</v>
      </c>
      <c r="B1795" s="3" t="str">
        <f>IFERROR(__xludf.DUMMYFUNCTION("GOOGLETRANSLATE(A1795, ""ar"", ""bn"")"),"রাজনৈতিক বক্তৃতা")</f>
        <v>রাজনৈতিক বক্তৃতা</v>
      </c>
    </row>
    <row r="1796">
      <c r="A1796" s="2" t="s">
        <v>1897</v>
      </c>
      <c r="B1796" s="3" t="str">
        <f>IFERROR(__xludf.DUMMYFUNCTION("GOOGLETRANSLATE(A1796, ""ar"", ""bn"")"),"রাজনৈতিক স্থিতিশীলতা")</f>
        <v>রাজনৈতিক স্থিতিশীলতা</v>
      </c>
    </row>
    <row r="1797">
      <c r="A1797" s="2" t="s">
        <v>1898</v>
      </c>
      <c r="B1797" s="3" t="str">
        <f>IFERROR(__xludf.DUMMYFUNCTION("GOOGLETRANSLATE(A1797, ""ar"", ""bn"")"),"রাজনৈতিক বিবৃতি")</f>
        <v>রাজনৈতিক বিবৃতি</v>
      </c>
    </row>
    <row r="1798">
      <c r="A1798" s="2" t="s">
        <v>1899</v>
      </c>
      <c r="B1798" s="3" t="str">
        <f>IFERROR(__xludf.DUMMYFUNCTION("GOOGLETRANSLATE(A1798, ""ar"", ""bn"")"),"কন্ট্রোল নীতি")</f>
        <v>কন্ট্রোল নীতি</v>
      </c>
    </row>
    <row r="1799">
      <c r="A1799" s="2" t="s">
        <v>1886</v>
      </c>
      <c r="B1799" s="3" t="str">
        <f>IFERROR(__xludf.DUMMYFUNCTION("GOOGLETRANSLATE(A1799, ""ar"", ""bn"")"),"রাজনৈতিক ব্যবস্থা")</f>
        <v>রাজনৈতিক ব্যবস্থা</v>
      </c>
    </row>
    <row r="1800">
      <c r="A1800" s="2" t="s">
        <v>1900</v>
      </c>
      <c r="B1800" s="3" t="str">
        <f>IFERROR(__xludf.DUMMYFUNCTION("GOOGLETRANSLATE(A1800, ""ar"", ""bn"")"),"রাজনৈতিক পরিকল্পনা")</f>
        <v>রাজনৈতিক পরিকল্পনা</v>
      </c>
    </row>
    <row r="1801">
      <c r="A1801" s="2" t="s">
        <v>1901</v>
      </c>
      <c r="B1801" s="3" t="str">
        <f>IFERROR(__xludf.DUMMYFUNCTION("GOOGLETRANSLATE(A1801, ""ar"", ""bn"")"),"স্বৈরতন্ত্র")</f>
        <v>স্বৈরতন্ত্র</v>
      </c>
    </row>
    <row r="1802">
      <c r="A1802" s="2" t="s">
        <v>1902</v>
      </c>
      <c r="B1802" s="3" t="str">
        <f>IFERROR(__xludf.DUMMYFUNCTION("GOOGLETRANSLATE(A1802, ""ar"", ""bn"")"),"রাজনৈতিক গোলযোগ")</f>
        <v>রাজনৈতিক গোলযোগ</v>
      </c>
    </row>
    <row r="1803">
      <c r="A1803" s="2" t="s">
        <v>1903</v>
      </c>
      <c r="B1803" s="3" t="str">
        <f>IFERROR(__xludf.DUMMYFUNCTION("GOOGLETRANSLATE(A1803, ""ar"", ""bn"")"),"রাজনৈতিক দাঙ্গা")</f>
        <v>রাজনৈতিক দাঙ্গা</v>
      </c>
    </row>
    <row r="1804">
      <c r="A1804" s="2" t="s">
        <v>1904</v>
      </c>
      <c r="B1804" s="3" t="str">
        <f>IFERROR(__xludf.DUMMYFUNCTION("GOOGLETRANSLATE(A1804, ""ar"", ""bn"")"),"রাজনৈতিক ঐক্য")</f>
        <v>রাজনৈতিক ঐক্য</v>
      </c>
    </row>
    <row r="1805">
      <c r="A1805" s="2" t="s">
        <v>1905</v>
      </c>
      <c r="B1805" s="3" t="str">
        <f>IFERROR(__xludf.DUMMYFUNCTION("GOOGLETRANSLATE(A1805, ""ar"", ""bn"")"),"রাজনৈতিক সহিংসতা")</f>
        <v>রাজনৈতিক সহিংসতা</v>
      </c>
    </row>
    <row r="1806">
      <c r="A1806" s="2" t="s">
        <v>1906</v>
      </c>
      <c r="B1806" s="3" t="str">
        <f>IFERROR(__xludf.DUMMYFUNCTION("GOOGLETRANSLATE(A1806, ""ar"", ""bn"")"),"এইচ রাজনৈতিক গেঁড়ি")</f>
        <v>এইচ রাজনৈতিক গেঁড়ি</v>
      </c>
    </row>
    <row r="1807">
      <c r="A1807" s="2" t="s">
        <v>1907</v>
      </c>
      <c r="B1807" s="3" t="str">
        <f>IFERROR(__xludf.DUMMYFUNCTION("GOOGLETRANSLATE(A1807, ""ar"", ""bn"")"),"একটি কর্মশালার বা রাজনৈতিক")</f>
        <v>একটি কর্মশালার বা রাজনৈতিক</v>
      </c>
    </row>
    <row r="1808">
      <c r="A1808" s="2" t="s">
        <v>1908</v>
      </c>
      <c r="B1808" s="3" t="str">
        <f>IFERROR(__xludf.DUMMYFUNCTION("GOOGLETRANSLATE(A1808, ""ar"", ""bn"")"),"অভিজ্ঞ রাজনীতিবিদ")</f>
        <v>অভিজ্ঞ রাজনীতিবিদ</v>
      </c>
    </row>
    <row r="1809">
      <c r="A1809" s="2" t="s">
        <v>1909</v>
      </c>
      <c r="B1809" s="3" t="str">
        <f>IFERROR(__xludf.DUMMYFUNCTION("GOOGLETRANSLATE(A1809, ""ar"", ""bn"")"),"প্রশ্নঃ আন্তর্জাতিক তদন্ত সন্ধ্যা আসে")</f>
        <v>প্রশ্নঃ আন্তর্জাতিক তদন্ত সন্ধ্যা আসে</v>
      </c>
    </row>
    <row r="1810">
      <c r="A1810" s="2" t="s">
        <v>1910</v>
      </c>
      <c r="B1810" s="3" t="str">
        <f>IFERROR(__xludf.DUMMYFUNCTION("GOOGLETRANSLATE(A1810, ""ar"", ""bn"")"),"রাষ্ট্রবিজ্ঞান")</f>
        <v>রাষ্ট্রবিজ্ঞান</v>
      </c>
    </row>
    <row r="1811">
      <c r="A1811" s="2" t="s">
        <v>1911</v>
      </c>
      <c r="B1811" s="3" t="str">
        <f>IFERROR(__xludf.DUMMYFUNCTION("GOOGLETRANSLATE(A1811, ""ar"", ""bn"")"),"জনমত আহকাম চাইতে")</f>
        <v>জনমত আহকাম চাইতে</v>
      </c>
    </row>
    <row r="1812">
      <c r="A1812" s="2" t="s">
        <v>1912</v>
      </c>
      <c r="B1812" s="3" t="str">
        <f>IFERROR(__xludf.DUMMYFUNCTION("GOOGLETRANSLATE(A1812, ""ar"", ""bn"")"),"মতামত জরিপে")</f>
        <v>মতামত জরিপে</v>
      </c>
    </row>
    <row r="1813">
      <c r="A1813" s="2" t="s">
        <v>1913</v>
      </c>
      <c r="B1813" s="3" t="str">
        <f>IFERROR(__xludf.DUMMYFUNCTION("GOOGLETRANSLATE(A1813, ""ar"", ""bn"")"),"জনপ্রিয় নিয়ন্ত্রণ")</f>
        <v>জনপ্রিয় নিয়ন্ত্রণ</v>
      </c>
    </row>
    <row r="1814">
      <c r="A1814" s="2" t="s">
        <v>1914</v>
      </c>
      <c r="B1814" s="3" t="str">
        <f>IFERROR(__xludf.DUMMYFUNCTION("GOOGLETRANSLATE(A1814, ""ar"", ""bn"")"),"এম জনপ্রিয় অংশগ্রহণ")</f>
        <v>এম জনপ্রিয় অংশগ্রহণ</v>
      </c>
    </row>
    <row r="1815">
      <c r="A1815" s="2" t="s">
        <v>1915</v>
      </c>
      <c r="B1815" s="3" t="str">
        <f>IFERROR(__xludf.DUMMYFUNCTION("GOOGLETRANSLATE(A1815, ""ar"", ""bn"")"),"চিৎকার শুরু")</f>
        <v>চিৎকার শুরু</v>
      </c>
    </row>
    <row r="1816">
      <c r="A1816" s="2" t="s">
        <v>1916</v>
      </c>
      <c r="B1816" s="3" t="str">
        <f>IFERROR(__xludf.DUMMYFUNCTION("GOOGLETRANSLATE(A1816, ""ar"", ""bn"")"),"গণভোট")</f>
        <v>গণভোট</v>
      </c>
    </row>
    <row r="1817">
      <c r="A1817" s="2" t="s">
        <v>1917</v>
      </c>
      <c r="B1817" s="3" t="str">
        <f>IFERROR(__xludf.DUMMYFUNCTION("GOOGLETRANSLATE(A1817, ""ar"", ""bn"")"),"জনপ্রিয় প্রতিরোধ")</f>
        <v>জনপ্রিয় প্রতিরোধ</v>
      </c>
    </row>
    <row r="1818">
      <c r="A1818" s="2" t="s">
        <v>1918</v>
      </c>
      <c r="B1818" s="3" t="str">
        <f>IFERROR(__xludf.DUMMYFUNCTION("GOOGLETRANSLATE(A1818, ""ar"", ""bn"")"),"জনপ্রিয় সংহতি")</f>
        <v>জনপ্রিয় সংহতি</v>
      </c>
    </row>
    <row r="1819">
      <c r="A1819" s="2" t="s">
        <v>1919</v>
      </c>
      <c r="B1819" s="3" t="str">
        <f>IFERROR(__xludf.DUMMYFUNCTION("GOOGLETRANSLATE(A1819, ""ar"", ""bn"")"),"জনপ্রিয় সার্বভৌমত্ব")</f>
        <v>জনপ্রিয় সার্বভৌমত্ব</v>
      </c>
    </row>
    <row r="1820">
      <c r="A1820" s="2" t="s">
        <v>1920</v>
      </c>
      <c r="B1820" s="3" t="str">
        <f>IFERROR(__xludf.DUMMYFUNCTION("GOOGLETRANSLATE(A1820, ""ar"", ""bn"")"),"জনপ্রিয় বিদ্রোহ")</f>
        <v>জনপ্রিয় বিদ্রোহ</v>
      </c>
    </row>
    <row r="1821">
      <c r="A1821" s="2" t="s">
        <v>1921</v>
      </c>
      <c r="B1821" s="3" t="str">
        <f>IFERROR(__xludf.DUMMYFUNCTION("GOOGLETRANSLATE(A1821, ""ar"", ""bn"")"),"অথবা মানুষের চেষ্টা")</f>
        <v>অথবা মানুষের চেষ্টা</v>
      </c>
    </row>
    <row r="1822">
      <c r="A1822" s="2" t="s">
        <v>1922</v>
      </c>
      <c r="B1822" s="3" t="str">
        <f>IFERROR(__xludf.DUMMYFUNCTION("GOOGLETRANSLATE(A1822, ""ar"", ""bn"")"),"এম উপনিবেশ উদ্ভাবন")</f>
        <v>এম উপনিবেশ উদ্ভাবন</v>
      </c>
    </row>
    <row r="1823">
      <c r="A1823" s="2" t="s">
        <v>1923</v>
      </c>
      <c r="B1823" s="3" t="str">
        <f>IFERROR(__xludf.DUMMYFUNCTION("GOOGLETRANSLATE(A1823, ""ar"", ""bn"")"),"উপনিবেশ মানুষদের")</f>
        <v>উপনিবেশ মানুষদের</v>
      </c>
    </row>
    <row r="1824">
      <c r="A1824" s="2" t="s">
        <v>1924</v>
      </c>
      <c r="B1824" s="3" t="str">
        <f>IFERROR(__xludf.DUMMYFUNCTION("GOOGLETRANSLATE(A1824, ""ar"", ""bn"")"),"অথবা যে মানুষ রাজধানী চাইতে")</f>
        <v>অথবা যে মানুষ রাজধানী চাইতে</v>
      </c>
    </row>
    <row r="1825">
      <c r="A1825" s="2" t="s">
        <v>1925</v>
      </c>
      <c r="B1825" s="3" t="str">
        <f>IFERROR(__xludf.DUMMYFUNCTION("GOOGLETRANSLATE(A1825, ""ar"", ""bn"")"),"পোস্ট নির্বাচন অধীনে")</f>
        <v>পোস্ট নির্বাচন অধীনে</v>
      </c>
    </row>
    <row r="1826">
      <c r="A1826" s="2" t="s">
        <v>1926</v>
      </c>
      <c r="B1826" s="3" t="str">
        <f>IFERROR(__xludf.DUMMYFUNCTION("GOOGLETRANSLATE(A1826, ""ar"", ""bn"")"),"কূটনীতিক ইতিবাচক মনোভাব")</f>
        <v>কূটনীতিক ইতিবাচক মনোভাব</v>
      </c>
    </row>
    <row r="1827">
      <c r="A1827" s="2" t="s">
        <v>1927</v>
      </c>
      <c r="B1827" s="3" t="str">
        <f>IFERROR(__xludf.DUMMYFUNCTION("GOOGLETRANSLATE(A1827, ""ar"", ""bn"")"),"ইতিবাচক নিরপেক্ষতা")</f>
        <v>ইতিবাচক নিরপেক্ষতা</v>
      </c>
    </row>
    <row r="1828">
      <c r="A1828" s="2" t="s">
        <v>1928</v>
      </c>
      <c r="B1828" s="3" t="str">
        <f>IFERROR(__xludf.DUMMYFUNCTION("GOOGLETRANSLATE(A1828, ""ar"", ""bn"")"),"রাজনৈতিক মেরু ইতিবাচক")</f>
        <v>রাজনৈতিক মেরু ইতিবাচক</v>
      </c>
    </row>
    <row r="1829">
      <c r="A1829" s="2" t="s">
        <v>1929</v>
      </c>
      <c r="B1829" s="3" t="str">
        <f>IFERROR(__xludf.DUMMYFUNCTION("GOOGLETRANSLATE(A1829, ""ar"", ""bn"")"),"সমস্যা একটি ইতিবাচক সমাধান")</f>
        <v>সমস্যা একটি ইতিবাচক সমাধান</v>
      </c>
    </row>
    <row r="1830">
      <c r="A1830" s="2" t="s">
        <v>579</v>
      </c>
      <c r="B1830" s="3" t="str">
        <f>IFERROR(__xludf.DUMMYFUNCTION("GOOGLETRANSLATE(A1830, ""ar"", ""bn"")"),"আন্তর্জাতিক")</f>
        <v>আন্তর্জাতিক</v>
      </c>
    </row>
    <row r="1831">
      <c r="A1831" s="2" t="s">
        <v>1930</v>
      </c>
      <c r="B1831" s="3" t="str">
        <f>IFERROR(__xludf.DUMMYFUNCTION("GOOGLETRANSLATE(A1831, ""ar"", ""bn"")"),"Amarji সেশন")</f>
        <v>Amarji সেশন</v>
      </c>
    </row>
    <row r="1832">
      <c r="A1832" s="2" t="s">
        <v>1931</v>
      </c>
      <c r="B1832" s="3" t="str">
        <f>IFERROR(__xludf.DUMMYFUNCTION("GOOGLETRANSLATE(A1832, ""ar"", ""bn"")"),"সরকারের কর্তৃপক্ষের সঙ্গে")</f>
        <v>সরকারের কর্তৃপক্ষের সঙ্গে</v>
      </c>
    </row>
    <row r="1833">
      <c r="A1833" s="2" t="s">
        <v>1932</v>
      </c>
      <c r="B1833" s="3" t="str">
        <f>IFERROR(__xludf.DUMMYFUNCTION("GOOGLETRANSLATE(A1833, ""ar"", ""bn"")"),"সার্বভৌম রাষ্ট্র সমূহ")</f>
        <v>সার্বভৌম রাষ্ট্র সমূহ</v>
      </c>
    </row>
    <row r="1834">
      <c r="A1834" s="2" t="s">
        <v>1933</v>
      </c>
      <c r="B1834" s="3" t="str">
        <f>IFERROR(__xludf.DUMMYFUNCTION("GOOGLETRANSLATE(A1834, ""ar"", ""bn"")"),"অগ্রিম সিদ্ধান্তে প্রস্তুত")</f>
        <v>অগ্রিম সিদ্ধান্তে প্রস্তুত</v>
      </c>
    </row>
    <row r="1835">
      <c r="A1835" s="2" t="s">
        <v>1934</v>
      </c>
      <c r="B1835" s="3" t="str">
        <f>IFERROR(__xludf.DUMMYFUNCTION("GOOGLETRANSLATE(A1835, ""ar"", ""bn"")"),"প্রাক যুদ্ধের জন্য প্রস্তুতি")</f>
        <v>প্রাক যুদ্ধের জন্য প্রস্তুতি</v>
      </c>
    </row>
    <row r="1836">
      <c r="A1836" s="2" t="s">
        <v>1935</v>
      </c>
      <c r="B1836" s="3" t="str">
        <f>IFERROR(__xludf.DUMMYFUNCTION("GOOGLETRANSLATE(A1836, ""ar"", ""bn"")"),"উপর ইয়ে অগ্রাধিকার")</f>
        <v>উপর ইয়ে অগ্রাধিকার</v>
      </c>
    </row>
    <row r="1837">
      <c r="A1837" s="2" t="s">
        <v>1936</v>
      </c>
      <c r="B1837" s="3" t="str">
        <f>IFERROR(__xludf.DUMMYFUNCTION("GOOGLETRANSLATE(A1837, ""ar"", ""bn"")"),"নির্বাচনের পদ্ধতি জন্য প্রস্তুতি")</f>
        <v>নির্বাচনের পদ্ধতি জন্য প্রস্তুতি</v>
      </c>
    </row>
    <row r="1838">
      <c r="A1838" s="2" t="s">
        <v>1937</v>
      </c>
      <c r="B1838" s="3" t="str">
        <f>IFERROR(__xludf.DUMMYFUNCTION("GOOGLETRANSLATE(A1838, ""ar"", ""bn"")"),"রাইটস ইস্যু")</f>
        <v>রাইটস ইস্যু</v>
      </c>
    </row>
    <row r="1839">
      <c r="A1839" s="2" t="s">
        <v>1938</v>
      </c>
      <c r="B1839" s="3" t="str">
        <f>IFERROR(__xludf.DUMMYFUNCTION("GOOGLETRANSLATE(A1839, ""ar"", ""bn"")"),"কূটনৈতিক অবস্থান পক্ষপাতদুষ্ট")</f>
        <v>কূটনৈতিক অবস্থান পক্ষপাতদুষ্ট</v>
      </c>
    </row>
    <row r="1840">
      <c r="A1840" s="2" t="s">
        <v>1939</v>
      </c>
      <c r="B1840" s="3" t="str">
        <f>IFERROR(__xludf.DUMMYFUNCTION("GOOGLETRANSLATE(A1840, ""ar"", ""bn"")"),"রাজনৈতিক অবস্থান পক্ষপাতদুষ্ট")</f>
        <v>রাজনৈতিক অবস্থান পক্ষপাতদুষ্ট</v>
      </c>
    </row>
    <row r="1841">
      <c r="A1841" s="2" t="s">
        <v>1940</v>
      </c>
      <c r="B1841" s="3" t="str">
        <f>IFERROR(__xludf.DUMMYFUNCTION("GOOGLETRANSLATE(A1841, ""ar"", ""bn"")"),"একটি প্রাথমিক সিদ্ধান্ত")</f>
        <v>একটি প্রাথমিক সিদ্ধান্ত</v>
      </c>
    </row>
    <row r="1842">
      <c r="A1842" s="2" t="s">
        <v>1941</v>
      </c>
      <c r="B1842" s="3" t="str">
        <f>IFERROR(__xludf.DUMMYFUNCTION("GOOGLETRANSLATE(A1842, ""ar"", ""bn"")"),"একটি প্রাথমিক বৈঠক")</f>
        <v>একটি প্রাথমিক বৈঠক</v>
      </c>
    </row>
    <row r="1843">
      <c r="A1843" s="2" t="s">
        <v>1942</v>
      </c>
      <c r="B1843" s="3" t="str">
        <f>IFERROR(__xludf.DUMMYFUNCTION("GOOGLETRANSLATE(A1843, ""ar"", ""bn"")"),"এম প্রাথমিক আলোচনার")</f>
        <v>এম প্রাথমিক আলোচনার</v>
      </c>
    </row>
    <row r="1844">
      <c r="A1844" s="2" t="s">
        <v>1943</v>
      </c>
      <c r="B1844" s="3" t="str">
        <f>IFERROR(__xludf.DUMMYFUNCTION("GOOGLETRANSLATE(A1844, ""ar"", ""bn"")"),"সাউন্ড নির্বাচন তৃণভূমি জ")</f>
        <v>সাউন্ড নির্বাচন তৃণভূমি জ</v>
      </c>
    </row>
    <row r="1845">
      <c r="A1845" s="2" t="s">
        <v>1944</v>
      </c>
      <c r="B1845" s="3" t="str">
        <f>IFERROR(__xludf.DUMMYFUNCTION("GOOGLETRANSLATE(A1845, ""ar"", ""bn"")"),"সুবিধাদি")</f>
        <v>সুবিধাদি</v>
      </c>
    </row>
    <row r="1846">
      <c r="A1846" s="2" t="s">
        <v>1945</v>
      </c>
      <c r="B1846" s="3" t="str">
        <f>IFERROR(__xludf.DUMMYFUNCTION("GOOGLETRANSLATE(A1846, ""ar"", ""bn"")"),"সংসদে উপস্থিতি")</f>
        <v>সংসদে উপস্থিতি</v>
      </c>
    </row>
    <row r="1847">
      <c r="A1847" s="2" t="s">
        <v>1946</v>
      </c>
      <c r="B1847" s="3" t="str">
        <f>IFERROR(__xludf.DUMMYFUNCTION("GOOGLETRANSLATE(A1847, ""ar"", ""bn"")"),"কূটনৈতিক পিটিশন গন্গনে")</f>
        <v>কূটনৈতিক পিটিশন গন্গনে</v>
      </c>
    </row>
    <row r="1848">
      <c r="A1848" s="2" t="s">
        <v>1947</v>
      </c>
      <c r="B1848" s="3" t="str">
        <f>IFERROR(__xludf.DUMMYFUNCTION("GOOGLETRANSLATE(A1848, ""ar"", ""bn"")"),"পরিচয়পত্রের জমা")</f>
        <v>পরিচয়পত্রের জমা</v>
      </c>
    </row>
    <row r="1849">
      <c r="A1849" s="2" t="s">
        <v>1948</v>
      </c>
      <c r="B1849" s="3" t="str">
        <f>IFERROR(__xludf.DUMMYFUNCTION("GOOGLETRANSLATE(A1849, ""ar"", ""bn"")"),"মানবাধিকার সুরক্ষা")</f>
        <v>মানবাধিকার সুরক্ষা</v>
      </c>
    </row>
    <row r="1850">
      <c r="A1850" s="2" t="s">
        <v>1949</v>
      </c>
      <c r="B1850" s="3" t="str">
        <f>IFERROR(__xludf.DUMMYFUNCTION("GOOGLETRANSLATE(A1850, ""ar"", ""bn"")"),"বিশ্ব শান্তি সংরক্ষণ")</f>
        <v>বিশ্ব শান্তি সংরক্ষণ</v>
      </c>
    </row>
    <row r="1851">
      <c r="A1851" s="2" t="s">
        <v>1950</v>
      </c>
      <c r="B1851" s="3" t="str">
        <f>IFERROR(__xludf.DUMMYFUNCTION("GOOGLETRANSLATE(A1851, ""ar"", ""bn"")"),"শান্তি রক্ষা করে")</f>
        <v>শান্তি রক্ষা করে</v>
      </c>
    </row>
    <row r="1852">
      <c r="A1852" s="2" t="s">
        <v>1951</v>
      </c>
      <c r="B1852" s="3" t="str">
        <f>IFERROR(__xludf.DUMMYFUNCTION("GOOGLETRANSLATE(A1852, ""ar"", ""bn"")"),"রাষ্ট্রের কর্তৃত্বের রক্ষা")</f>
        <v>রাষ্ট্রের কর্তৃত্বের রক্ষা</v>
      </c>
    </row>
    <row r="1853">
      <c r="A1853" s="2" t="s">
        <v>1952</v>
      </c>
      <c r="B1853" s="3" t="str">
        <f>IFERROR(__xludf.DUMMYFUNCTION("GOOGLETRANSLATE(A1853, ""ar"", ""bn"")"),"সাংবিধানিক সুরক্ষা")</f>
        <v>সাংবিধানিক সুরক্ষা</v>
      </c>
    </row>
    <row r="1854">
      <c r="A1854" s="2" t="s">
        <v>1953</v>
      </c>
      <c r="B1854" s="3" t="str">
        <f>IFERROR(__xludf.DUMMYFUNCTION("GOOGLETRANSLATE(A1854, ""ar"", ""bn"")"),"সেফগার্ড জননিরাপত্তা")</f>
        <v>সেফগার্ড জননিরাপত্তা</v>
      </c>
    </row>
    <row r="1855">
      <c r="A1855" s="2" t="s">
        <v>1954</v>
      </c>
      <c r="B1855" s="3" t="str">
        <f>IFERROR(__xludf.DUMMYFUNCTION("GOOGLETRANSLATE(A1855, ""ar"", ""bn"")"),"সভাপতিত্ব")</f>
        <v>সভাপতিত্ব</v>
      </c>
    </row>
    <row r="1856">
      <c r="A1856" s="2" t="s">
        <v>1955</v>
      </c>
      <c r="B1856" s="3" t="str">
        <f>IFERROR(__xludf.DUMMYFUNCTION("GOOGLETRANSLATE(A1856, ""ar"", ""bn"")"),"বয়স প্রেসিডেন্সির অধীনে")</f>
        <v>বয়স প্রেসিডেন্সির অধীনে</v>
      </c>
    </row>
    <row r="1857">
      <c r="A1857" s="2" t="s">
        <v>1956</v>
      </c>
      <c r="B1857" s="3" t="str">
        <f>IFERROR(__xludf.DUMMYFUNCTION("GOOGLETRANSLATE(A1857, ""ar"", ""bn"")"),"জাতি")</f>
        <v>জাতি</v>
      </c>
    </row>
    <row r="1858">
      <c r="A1858" s="2" t="s">
        <v>1957</v>
      </c>
      <c r="B1858" s="3" t="str">
        <f>IFERROR(__xludf.DUMMYFUNCTION("GOOGLETRANSLATE(A1858, ""ar"", ""bn"")"),"রাষ্ট্র প্রধান")</f>
        <v>রাষ্ট্র প্রধান</v>
      </c>
    </row>
    <row r="1859">
      <c r="A1859" s="2" t="s">
        <v>1958</v>
      </c>
      <c r="B1859" s="3" t="str">
        <f>IFERROR(__xludf.DUMMYFUNCTION("GOOGLETRANSLATE(A1859, ""ar"", ""bn"")"),"প্রজাতন্ত্রের রাষ্ট্রপতি")</f>
        <v>প্রজাতন্ত্রের রাষ্ট্রপতি</v>
      </c>
    </row>
    <row r="1860">
      <c r="A1860" s="2" t="s">
        <v>1959</v>
      </c>
      <c r="B1860" s="3" t="str">
        <f>IFERROR(__xludf.DUMMYFUNCTION("GOOGLETRANSLATE(A1860, ""ar"", ""bn"")"),"অনার হল")</f>
        <v>অনার হল</v>
      </c>
    </row>
    <row r="1861">
      <c r="A1861" s="2" t="s">
        <v>1960</v>
      </c>
      <c r="B1861" s="3" t="str">
        <f>IFERROR(__xludf.DUMMYFUNCTION("GOOGLETRANSLATE(A1861, ""ar"", ""bn"")"),"রাষ্ট্রপতি ফরমান")</f>
        <v>রাষ্ট্রপতি ফরমান</v>
      </c>
    </row>
    <row r="1862">
      <c r="A1862" s="2" t="s">
        <v>1961</v>
      </c>
      <c r="B1862" s="3" t="str">
        <f>IFERROR(__xludf.DUMMYFUNCTION("GOOGLETRANSLATE(A1862, ""ar"", ""bn"")"),"রাষ্ট্রপতি তদন্ত")</f>
        <v>রাষ্ট্রপতি তদন্ত</v>
      </c>
    </row>
    <row r="1863">
      <c r="A1863" s="2" t="s">
        <v>1962</v>
      </c>
      <c r="B1863" s="3" t="str">
        <f>IFERROR(__xludf.DUMMYFUNCTION("GOOGLETRANSLATE(A1863, ""ar"", ""bn"")"),"প্রেসিডেন্সি Cut")</f>
        <v>প্রেসিডেন্সি Cut</v>
      </c>
    </row>
    <row r="1864">
      <c r="A1864" s="2" t="s">
        <v>1963</v>
      </c>
      <c r="B1864" s="3" t="str">
        <f>IFERROR(__xludf.DUMMYFUNCTION("GOOGLETRANSLATE(A1864, ""ar"", ""bn"")"),"ইসস গুলি রাষ্ট্রপতি")</f>
        <v>ইসস গুলি রাষ্ট্রপতি</v>
      </c>
    </row>
    <row r="1865">
      <c r="A1865" s="2" t="s">
        <v>1964</v>
      </c>
      <c r="B1865" s="3" t="str">
        <f>IFERROR(__xludf.DUMMYFUNCTION("GOOGLETRANSLATE(A1865, ""ar"", ""bn"")"),"রাষ্ট্রপতি রায়গুলো")</f>
        <v>রাষ্ট্রপতি রায়গুলো</v>
      </c>
    </row>
    <row r="1866">
      <c r="A1866" s="2" t="s">
        <v>1965</v>
      </c>
      <c r="B1866" s="3" t="str">
        <f>IFERROR(__xludf.DUMMYFUNCTION("GOOGLETRANSLATE(A1866, ""ar"", ""bn"")"),"রাষ্ট্রপতি দায়িত্ব")</f>
        <v>রাষ্ট্রপতি দায়িত্ব</v>
      </c>
    </row>
    <row r="1867">
      <c r="A1867" s="2" t="s">
        <v>1966</v>
      </c>
      <c r="B1867" s="3" t="str">
        <f>IFERROR(__xludf.DUMMYFUNCTION("GOOGLETRANSLATE(A1867, ""ar"", ""bn"")"),"সরকারের প্রেসিডেন্ট পদ্ধতির")</f>
        <v>সরকারের প্রেসিডেন্ট পদ্ধতির</v>
      </c>
    </row>
    <row r="1868">
      <c r="A1868" s="2" t="s">
        <v>1967</v>
      </c>
      <c r="B1868" s="3" t="str">
        <f>IFERROR(__xludf.DUMMYFUNCTION("GOOGLETRANSLATE(A1868, ""ar"", ""bn"")"),"এইচ নিম্নতর রাষ্ট্রপতি")</f>
        <v>এইচ নিম্নতর রাষ্ট্রপতি</v>
      </c>
    </row>
    <row r="1869">
      <c r="A1869" s="2" t="s">
        <v>1968</v>
      </c>
      <c r="B1869" s="3" t="str">
        <f>IFERROR(__xludf.DUMMYFUNCTION("GOOGLETRANSLATE(A1869, ""ar"", ""bn"")"),"রাষ্ট্রপতি সভা")</f>
        <v>রাষ্ট্রপতি সভা</v>
      </c>
    </row>
    <row r="1870">
      <c r="A1870" s="2" t="s">
        <v>1969</v>
      </c>
      <c r="B1870" s="3" t="str">
        <f>IFERROR(__xludf.DUMMYFUNCTION("GOOGLETRANSLATE(A1870, ""ar"", ""bn"")"),"প্রেসিডেন্টদের সামিট")</f>
        <v>প্রেসিডেন্টদের সামিট</v>
      </c>
    </row>
    <row r="1871">
      <c r="A1871" s="2" t="s">
        <v>1970</v>
      </c>
      <c r="B1871" s="3" t="str">
        <f>IFERROR(__xludf.DUMMYFUNCTION("GOOGLETRANSLATE(A1871, ""ar"", ""bn"")"),"সংবাদ সম্মেলন")</f>
        <v>সংবাদ সম্মেলন</v>
      </c>
    </row>
    <row r="1872">
      <c r="A1872" s="2" t="s">
        <v>1971</v>
      </c>
      <c r="B1872" s="3" t="str">
        <f>IFERROR(__xludf.DUMMYFUNCTION("GOOGLETRANSLATE(A1872, ""ar"", ""bn"")"),"এম দলবলের প্রেস")</f>
        <v>এম দলবলের প্রেস</v>
      </c>
    </row>
    <row r="1873">
      <c r="A1873" s="2" t="s">
        <v>1972</v>
      </c>
      <c r="B1873" s="3" t="str">
        <f>IFERROR(__xludf.DUMMYFUNCTION("GOOGLETRANSLATE(A1873, ""ar"", ""bn"")"),"প্রেস মিশন")</f>
        <v>প্রেস মিশন</v>
      </c>
    </row>
    <row r="1874">
      <c r="A1874" s="2" t="s">
        <v>1973</v>
      </c>
      <c r="B1874" s="3" t="str">
        <f>IFERROR(__xludf.DUMMYFUNCTION("GOOGLETRANSLATE(A1874, ""ar"", ""bn"")"),"Amaz ছ মানবাধিকার")</f>
        <v>Amaz ছ মানবাধিকার</v>
      </c>
    </row>
    <row r="1875">
      <c r="A1875" s="2" t="s">
        <v>1974</v>
      </c>
      <c r="B1875" s="3" t="str">
        <f>IFERROR(__xludf.DUMMYFUNCTION("GOOGLETRANSLATE(A1875, ""ar"", ""bn"")"),"পরমাণু যুদ্ধের আটকান।")</f>
        <v>পরমাণু যুদ্ধের আটকান।</v>
      </c>
    </row>
    <row r="1876">
      <c r="A1876" s="2" t="s">
        <v>1975</v>
      </c>
      <c r="B1876" s="3" t="str">
        <f>IFERROR(__xludf.DUMMYFUNCTION("GOOGLETRANSLATE(A1876, ""ar"", ""bn"")"),"উদ্বুদ্ধ রক্ত")</f>
        <v>উদ্বুদ্ধ রক্ত</v>
      </c>
    </row>
    <row r="1877">
      <c r="A1877" s="2" t="s">
        <v>1976</v>
      </c>
      <c r="B1877" s="3" t="str">
        <f>IFERROR(__xludf.DUMMYFUNCTION("GOOGLETRANSLATE(A1877, ""ar"", ""bn"")"),"রাজনৈতিক মোকাবিলার প্রতিরোধ করে")</f>
        <v>রাজনৈতিক মোকাবিলার প্রতিরোধ করে</v>
      </c>
    </row>
    <row r="1878">
      <c r="A1878" s="2" t="s">
        <v>1977</v>
      </c>
      <c r="B1878" s="3" t="str">
        <f>IFERROR(__xludf.DUMMYFUNCTION("GOOGLETRANSLATE(A1878, ""ar"", ""bn"")"),"রাজনৈতিক ও প্রতিরোধমূলক ব্যবস্থা")</f>
        <v>রাজনৈতিক ও প্রতিরোধমূলক ব্যবস্থা</v>
      </c>
    </row>
    <row r="1879">
      <c r="A1879" s="2" t="s">
        <v>1978</v>
      </c>
      <c r="B1879" s="3" t="str">
        <f>IFERROR(__xludf.DUMMYFUNCTION("GOOGLETRANSLATE(A1879, ""ar"", ""bn"")"),"প্রিলিমিনারী আলোচনার")</f>
        <v>প্রিলিমিনারী আলোচনার</v>
      </c>
    </row>
    <row r="1880">
      <c r="A1880" s="2" t="s">
        <v>1979</v>
      </c>
      <c r="B1880" s="3" t="str">
        <f>IFERROR(__xludf.DUMMYFUNCTION("GOOGLETRANSLATE(A1880, ""ar"", ""bn"")"),"একটি প্রাথমিক শুনানি")</f>
        <v>একটি প্রাথমিক শুনানি</v>
      </c>
    </row>
    <row r="1881">
      <c r="A1881" s="2" t="s">
        <v>1980</v>
      </c>
      <c r="B1881" s="3" t="str">
        <f>IFERROR(__xludf.DUMMYFUNCTION("GOOGLETRANSLATE(A1881, ""ar"", ""bn"")"),"প্রধানমন্ত্রী")</f>
        <v>প্রধানমন্ত্রী</v>
      </c>
    </row>
    <row r="1882">
      <c r="A1882" s="2" t="s">
        <v>1981</v>
      </c>
      <c r="B1882" s="3" t="str">
        <f>IFERROR(__xludf.DUMMYFUNCTION("GOOGLETRANSLATE(A1882, ""ar"", ""bn"")"),"আদিম সমাজে")</f>
        <v>আদিম সমাজে</v>
      </c>
    </row>
    <row r="1883">
      <c r="A1883" s="2" t="s">
        <v>1982</v>
      </c>
      <c r="B1883" s="3" t="str">
        <f>IFERROR(__xludf.DUMMYFUNCTION("GOOGLETRANSLATE(A1883, ""ar"", ""bn"")"),"আইনের শাসন নীতি")</f>
        <v>আইনের শাসন নীতি</v>
      </c>
    </row>
    <row r="1884">
      <c r="A1884" s="2" t="s">
        <v>1983</v>
      </c>
      <c r="B1884" s="3" t="str">
        <f>IFERROR(__xludf.DUMMYFUNCTION("GOOGLETRANSLATE(A1884, ""ar"", ""bn"")"),"নাগরিকদের মধ্যে সমতার নীতি")</f>
        <v>নাগরিকদের মধ্যে সমতার নীতি</v>
      </c>
    </row>
    <row r="1885">
      <c r="A1885" s="2" t="s">
        <v>1984</v>
      </c>
      <c r="B1885" s="3" t="str">
        <f>IFERROR(__xludf.DUMMYFUNCTION("GOOGLETRANSLATE(A1885, ""ar"", ""bn"")"),"ঘোড়দৌড় মধ্যে সমতা নীতিকে")</f>
        <v>ঘোড়দৌড় মধ্যে সমতা নীতিকে</v>
      </c>
    </row>
    <row r="1886">
      <c r="A1886" s="2" t="s">
        <v>1985</v>
      </c>
      <c r="B1886" s="3" t="str">
        <f>IFERROR(__xludf.DUMMYFUNCTION("GOOGLETRANSLATE(A1886, ""ar"", ""bn"")"),"ঘোড়দৌড়")</f>
        <v>ঘোড়দৌড়</v>
      </c>
    </row>
    <row r="1887">
      <c r="A1887" s="2" t="s">
        <v>1986</v>
      </c>
      <c r="B1887" s="3" t="str">
        <f>IFERROR(__xludf.DUMMYFUNCTION("GOOGLETRANSLATE(A1887, ""ar"", ""bn"")"),"ইকুইটি নীতিকে")</f>
        <v>ইকুইটি নীতিকে</v>
      </c>
    </row>
    <row r="1888">
      <c r="A1888" s="2" t="s">
        <v>1987</v>
      </c>
      <c r="B1888" s="3" t="str">
        <f>IFERROR(__xludf.DUMMYFUNCTION("GOOGLETRANSLATE(A1888, ""ar"", ""bn"")"),"অ বৈষম্যের নীতি, জাতিগত")</f>
        <v>অ বৈষম্যের নীতি, জাতিগত</v>
      </c>
    </row>
    <row r="1889">
      <c r="A1889" s="2" t="s">
        <v>1988</v>
      </c>
      <c r="B1889" s="3" t="str">
        <f>IFERROR(__xludf.DUMMYFUNCTION("GOOGLETRANSLATE(A1889, ""ar"", ""bn"")"),"অ Altd ভিনেগার নীতিকে")</f>
        <v>অ Altd ভিনেগার নীতিকে</v>
      </c>
    </row>
    <row r="1890">
      <c r="A1890" s="2" t="s">
        <v>1989</v>
      </c>
      <c r="B1890" s="3" t="str">
        <f>IFERROR(__xludf.DUMMYFUNCTION("GOOGLETRANSLATE(A1890, ""ar"", ""bn"")"),"শ্রেষ্ঠত্ব নীতিকে")</f>
        <v>শ্রেষ্ঠত্ব নীতিকে</v>
      </c>
    </row>
    <row r="1891">
      <c r="A1891" s="2" t="s">
        <v>1990</v>
      </c>
      <c r="B1891" s="3" t="str">
        <f>IFERROR(__xludf.DUMMYFUNCTION("GOOGLETRANSLATE(A1891, ""ar"", ""bn"")"),"ক্রিয়া-প্রতিক্রিয়া নীতিকে")</f>
        <v>ক্রিয়া-প্রতিক্রিয়া নীতিকে</v>
      </c>
    </row>
    <row r="1892">
      <c r="A1892" s="2" t="s">
        <v>1991</v>
      </c>
      <c r="B1892" s="3" t="str">
        <f>IFERROR(__xludf.DUMMYFUNCTION("GOOGLETRANSLATE(A1892, ""ar"", ""bn"")"),"ক্ষমতা বিচ্ছেদ নীতিকে")</f>
        <v>ক্ষমতা বিচ্ছেদ নীতিকে</v>
      </c>
    </row>
    <row r="1893">
      <c r="A1893" s="2" t="s">
        <v>1992</v>
      </c>
      <c r="B1893" s="3" t="str">
        <f>IFERROR(__xludf.DUMMYFUNCTION("GOOGLETRANSLATE(A1893, ""ar"", ""bn"")"),"প্রাধান্য")</f>
        <v>প্রাধান্য</v>
      </c>
    </row>
    <row r="1894">
      <c r="A1894" s="2" t="s">
        <v>1993</v>
      </c>
      <c r="B1894" s="3" t="str">
        <f>IFERROR(__xludf.DUMMYFUNCTION("GOOGLETRANSLATE(A1894, ""ar"", ""bn"")"),"বন্দীদের জন্য একটি সাধারণ ক্ষমা")</f>
        <v>বন্দীদের জন্য একটি সাধারণ ক্ষমা</v>
      </c>
    </row>
    <row r="1895">
      <c r="A1895" s="2" t="s">
        <v>1994</v>
      </c>
      <c r="B1895" s="3" t="str">
        <f>IFERROR(__xludf.DUMMYFUNCTION("GOOGLETRANSLATE(A1895, ""ar"", ""bn"")"),"ব্যক্তিগত ইন্টারন্যাশনাল ল")</f>
        <v>ব্যক্তিগত ইন্টারন্যাশনাল ল</v>
      </c>
    </row>
    <row r="1896">
      <c r="A1896" s="2" t="s">
        <v>1995</v>
      </c>
      <c r="B1896" s="3" t="str">
        <f>IFERROR(__xludf.DUMMYFUNCTION("GOOGLETRANSLATE(A1896, ""ar"", ""bn"")"),"ব্যক্তিগত মিডিয়া")</f>
        <v>ব্যক্তিগত মিডিয়া</v>
      </c>
    </row>
    <row r="1897">
      <c r="A1897" s="2" t="s">
        <v>1996</v>
      </c>
      <c r="B1897" s="3" t="str">
        <f>IFERROR(__xludf.DUMMYFUNCTION("GOOGLETRANSLATE(A1897, ""ar"", ""bn"")"),"অধিকারের ডিপ্রাইভেশন")</f>
        <v>অধিকারের ডিপ্রাইভেশন</v>
      </c>
    </row>
    <row r="1898">
      <c r="A1898" s="2" t="s">
        <v>468</v>
      </c>
      <c r="B1898" s="3" t="str">
        <f>IFERROR(__xludf.DUMMYFUNCTION("GOOGLETRANSLATE(A1898, ""ar"", ""bn"")"),"রাজনৈতিক")</f>
        <v>রাজনৈতিক</v>
      </c>
    </row>
    <row r="1899">
      <c r="A1899" s="2" t="s">
        <v>1997</v>
      </c>
      <c r="B1899" s="3" t="str">
        <f>IFERROR(__xludf.DUMMYFUNCTION("GOOGLETRANSLATE(A1899, ""ar"", ""bn"")"),"বিশুদ্ধ অধিবেশন")</f>
        <v>বিশুদ্ধ অধিবেশন</v>
      </c>
    </row>
    <row r="1900">
      <c r="A1900" s="2" t="s">
        <v>1998</v>
      </c>
      <c r="B1900" s="3" t="str">
        <f>IFERROR(__xludf.DUMMYFUNCTION("GOOGLETRANSLATE(A1900, ""ar"", ""bn"")"),"এম জীবনী")</f>
        <v>এম জীবনী</v>
      </c>
    </row>
    <row r="1901">
      <c r="A1901" s="2" t="s">
        <v>1999</v>
      </c>
      <c r="B1901" s="3" t="str">
        <f>IFERROR(__xludf.DUMMYFUNCTION("GOOGLETRANSLATE(A1901, ""ar"", ""bn"")"),"পবিত্র সাইট পবিত্রতার অপবিত্রতা")</f>
        <v>পবিত্র সাইট পবিত্রতার অপবিত্রতা</v>
      </c>
    </row>
    <row r="1902">
      <c r="A1902" s="2" t="s">
        <v>2000</v>
      </c>
      <c r="B1902" s="3" t="str">
        <f>IFERROR(__xludf.DUMMYFUNCTION("GOOGLETRANSLATE(A1902, ""ar"", ""bn"")"),"অর্পণ এর Amahz টি জ")</f>
        <v>অর্পণ এর Amahz টি জ</v>
      </c>
    </row>
    <row r="1903">
      <c r="A1903" s="2" t="s">
        <v>2001</v>
      </c>
      <c r="B1903" s="3" t="str">
        <f>IFERROR(__xludf.DUMMYFUNCTION("GOOGLETRANSLATE(A1903, ""ar"", ""bn"")"),"সহিংসতার Amahz টি ব্যবহার")</f>
        <v>সহিংসতার Amahz টি ব্যবহার</v>
      </c>
    </row>
    <row r="1904">
      <c r="A1904" s="2" t="s">
        <v>2002</v>
      </c>
      <c r="B1904" s="3" t="str">
        <f>IFERROR(__xludf.DUMMYFUNCTION("GOOGLETRANSLATE(A1904, ""ar"", ""bn"")"),"যুদ্ধে Amahz টি অবলম্বন")</f>
        <v>যুদ্ধে Amahz টি অবলম্বন</v>
      </c>
    </row>
    <row r="1905">
      <c r="A1905" s="2" t="s">
        <v>2003</v>
      </c>
      <c r="B1905" s="3" t="str">
        <f>IFERROR(__xludf.DUMMYFUNCTION("GOOGLETRANSLATE(A1905, ""ar"", ""bn"")"),"পাস নিষিদ্ধ করা হয়")</f>
        <v>পাস নিষিদ্ধ করা হয়</v>
      </c>
    </row>
    <row r="1906">
      <c r="A1906" s="2" t="s">
        <v>2004</v>
      </c>
      <c r="B1906" s="3" t="str">
        <f>IFERROR(__xludf.DUMMYFUNCTION("GOOGLETRANSLATE(A1906, ""ar"", ""bn"")"),"আরয সাধরণ এলাকায়")</f>
        <v>আরয সাধরণ এলাকায়</v>
      </c>
    </row>
    <row r="1907">
      <c r="A1907" s="2" t="s">
        <v>2005</v>
      </c>
      <c r="B1907" s="3" t="str">
        <f>IFERROR(__xludf.DUMMYFUNCTION("GOOGLETRANSLATE(A1907, ""ar"", ""bn"")"),"এম লম্বা আলোচনার আছে")</f>
        <v>এম লম্বা আলোচনার আছে</v>
      </c>
    </row>
    <row r="1908">
      <c r="A1908" s="2" t="s">
        <v>2006</v>
      </c>
      <c r="B1908" s="3" t="str">
        <f>IFERROR(__xludf.DUMMYFUNCTION("GOOGLETRANSLATE(A1908, ""ar"", ""bn"")"),"বিশিষ্ট কূটনৈতিক ব্যক্তিত্ব")</f>
        <v>বিশিষ্ট কূটনৈতিক ব্যক্তিত্ব</v>
      </c>
    </row>
    <row r="1909">
      <c r="A1909" s="2" t="s">
        <v>2007</v>
      </c>
      <c r="B1909" s="3" t="str">
        <f>IFERROR(__xludf.DUMMYFUNCTION("GOOGLETRANSLATE(A1909, ""ar"", ""bn"")"),"শান্তি Amazz")</f>
        <v>শান্তি Amazz</v>
      </c>
    </row>
    <row r="1910">
      <c r="A1910" s="2" t="s">
        <v>2008</v>
      </c>
      <c r="B1910" s="3" t="str">
        <f>IFERROR(__xludf.DUMMYFUNCTION("GOOGLETRANSLATE(A1910, ""ar"", ""bn"")"),"শিষ্টাচার প্রচার করুন")</f>
        <v>শিষ্টাচার প্রচার করুন</v>
      </c>
    </row>
    <row r="1911">
      <c r="A1911" s="2" t="s">
        <v>367</v>
      </c>
      <c r="B1911" s="3" t="str">
        <f>IFERROR(__xludf.DUMMYFUNCTION("GOOGLETRANSLATE(A1911, ""ar"", ""bn"")"),"কূটনীতিজ্ঞ")</f>
        <v>কূটনীতিজ্ঞ</v>
      </c>
    </row>
    <row r="1912">
      <c r="A1912" s="2" t="s">
        <v>2009</v>
      </c>
      <c r="B1912" s="3" t="str">
        <f>IFERROR(__xludf.DUMMYFUNCTION("GOOGLETRANSLATE(A1912, ""ar"", ""bn"")"),"মানবাধিকার প্রোমোশন")</f>
        <v>মানবাধিকার প্রোমোশন</v>
      </c>
    </row>
    <row r="1913">
      <c r="A1913" s="2" t="s">
        <v>2010</v>
      </c>
      <c r="B1913" s="3" t="str">
        <f>IFERROR(__xludf.DUMMYFUNCTION("GOOGLETRANSLATE(A1913, ""ar"", ""bn"")"),"শান্তি প্রচার করুন")</f>
        <v>শান্তি প্রচার করুন</v>
      </c>
    </row>
    <row r="1914">
      <c r="A1914" s="2" t="s">
        <v>2011</v>
      </c>
      <c r="B1914" s="3" t="str">
        <f>IFERROR(__xludf.DUMMYFUNCTION("GOOGLETRANSLATE(A1914, ""ar"", ""bn"")"),"প্রচারণা যুদ্ধ")</f>
        <v>প্রচারণা যুদ্ধ</v>
      </c>
    </row>
    <row r="1915">
      <c r="A1915" s="2" t="s">
        <v>2012</v>
      </c>
      <c r="B1915" s="3" t="str">
        <f>IFERROR(__xludf.DUMMYFUNCTION("GOOGLETRANSLATE(A1915, ""ar"", ""bn"")"),"আনুপাতক উপস্থাপন")</f>
        <v>আনুপাতক উপস্থাপন</v>
      </c>
    </row>
    <row r="1916">
      <c r="A1916" s="2" t="s">
        <v>2013</v>
      </c>
      <c r="B1916" s="3" t="str">
        <f>IFERROR(__xludf.DUMMYFUNCTION("GOOGLETRANSLATE(A1916, ""ar"", ""bn"")"),"স্মৃতিসৌধ সংরক্ষণ")</f>
        <v>স্মৃতিসৌধ সংরক্ষণ</v>
      </c>
    </row>
    <row r="1917">
      <c r="A1917" s="2" t="s">
        <v>2014</v>
      </c>
      <c r="B1917" s="3" t="str">
        <f>IFERROR(__xludf.DUMMYFUNCTION("GOOGLETRANSLATE(A1917, ""ar"", ""bn"")"),"বন্দিদের রক্ষার")</f>
        <v>বন্দিদের রক্ষার</v>
      </c>
    </row>
    <row r="1918">
      <c r="A1918" s="2" t="s">
        <v>2015</v>
      </c>
      <c r="B1918" s="3" t="str">
        <f>IFERROR(__xludf.DUMMYFUNCTION("GOOGLETRANSLATE(A1918, ""ar"", ""bn"")"),"মাতৃত্ব এবং শৈশব সুরক্ষা")</f>
        <v>মাতৃত্ব এবং শৈশব সুরক্ষা</v>
      </c>
    </row>
    <row r="1919">
      <c r="A1919" s="2" t="s">
        <v>2016</v>
      </c>
      <c r="B1919" s="3" t="str">
        <f>IFERROR(__xludf.DUMMYFUNCTION("GOOGLETRANSLATE(A1919, ""ar"", ""bn"")"),"সংখ্যালঘুদের তথ্য সুরক্ষা")</f>
        <v>সংখ্যালঘুদের তথ্য সুরক্ষা</v>
      </c>
    </row>
    <row r="1920">
      <c r="A1920" s="2" t="s">
        <v>2017</v>
      </c>
      <c r="B1920" s="3" t="str">
        <f>IFERROR(__xludf.DUMMYFUNCTION("GOOGLETRANSLATE(A1920, ""ar"", ""bn"")"),"শরণার্থী সংরক্ষণ")</f>
        <v>শরণার্থী সংরক্ষণ</v>
      </c>
    </row>
    <row r="1921">
      <c r="A1921" s="2" t="s">
        <v>2018</v>
      </c>
      <c r="B1921" s="3" t="str">
        <f>IFERROR(__xludf.DUMMYFUNCTION("GOOGLETRANSLATE(A1921, ""ar"", ""bn"")"),"নারীদের অধিকার রক্ষার")</f>
        <v>নারীদের অধিকার রক্ষার</v>
      </c>
    </row>
    <row r="1922">
      <c r="A1922" s="2" t="s">
        <v>2019</v>
      </c>
      <c r="B1922" s="3" t="str">
        <f>IFERROR(__xludf.DUMMYFUNCTION("GOOGLETRANSLATE(A1922, ""ar"", ""bn"")"),"আপত্তি")</f>
        <v>আপত্তি</v>
      </c>
    </row>
    <row r="1923">
      <c r="A1923" s="2" t="s">
        <v>2020</v>
      </c>
      <c r="B1923" s="3" t="str">
        <f>IFERROR(__xludf.DUMMYFUNCTION("GOOGLETRANSLATE(A1923, ""ar"", ""bn"")"),"এম প্রতিবাদ নোট")</f>
        <v>এম প্রতিবাদ নোট</v>
      </c>
    </row>
    <row r="1924">
      <c r="A1924" s="2" t="s">
        <v>2021</v>
      </c>
      <c r="B1924" s="3" t="str">
        <f>IFERROR(__xludf.DUMMYFUNCTION("GOOGLETRANSLATE(A1924, ""ar"", ""bn"")"),"প্রতিবাদ করার অধিকার")</f>
        <v>প্রতিবাদ করার অধিকার</v>
      </c>
    </row>
    <row r="1925">
      <c r="A1925" s="2" t="s">
        <v>2022</v>
      </c>
      <c r="B1925" s="3" t="str">
        <f>IFERROR(__xludf.DUMMYFUNCTION("GOOGLETRANSLATE(A1925, ""ar"", ""bn"")"),"প্রোটোকল সিস্টেম")</f>
        <v>প্রোটোকল সিস্টেম</v>
      </c>
    </row>
    <row r="1926">
      <c r="A1926" s="2" t="s">
        <v>2023</v>
      </c>
      <c r="B1926" s="3" t="str">
        <f>IFERROR(__xludf.DUMMYFUNCTION("GOOGLETRANSLATE(A1926, ""ar"", ""bn"")"),"রেকর্ড প্রোটোকল")</f>
        <v>রেকর্ড প্রোটোকল</v>
      </c>
    </row>
    <row r="1927">
      <c r="A1927" s="2" t="s">
        <v>2024</v>
      </c>
      <c r="B1927" s="3" t="str">
        <f>IFERROR(__xludf.DUMMYFUNCTION("GOOGLETRANSLATE(A1927, ""ar"", ""bn"")"),"Amam এন মানবিক সাহায্য")</f>
        <v>Amam এন মানবিক সাহায্য</v>
      </c>
    </row>
    <row r="1928">
      <c r="A1928" s="2" t="s">
        <v>2025</v>
      </c>
      <c r="B1928" s="3" t="str">
        <f>IFERROR(__xludf.DUMMYFUNCTION("GOOGLETRANSLATE(A1928, ""ar"", ""bn"")"),"Mmagueth সরকারি")</f>
        <v>Mmagueth সরকারি</v>
      </c>
    </row>
    <row r="1929">
      <c r="A1929" s="2" t="s">
        <v>2026</v>
      </c>
      <c r="B1929" s="3" t="str">
        <f>IFERROR(__xludf.DUMMYFUNCTION("GOOGLETRANSLATE(A1929, ""ar"", ""bn"")"),"TS Ih রাজনৈতিক উস্কানি")</f>
        <v>TS Ih রাজনৈতিক উস্কানি</v>
      </c>
    </row>
    <row r="1930">
      <c r="A1930" s="2" t="s">
        <v>2027</v>
      </c>
      <c r="B1930" s="3" t="str">
        <f>IFERROR(__xludf.DUMMYFUNCTION("GOOGLETRANSLATE(A1930, ""ar"", ""bn"")"),"উত্তেজক আইন")</f>
        <v>উত্তেজক আইন</v>
      </c>
    </row>
    <row r="1931">
      <c r="A1931" s="2" t="s">
        <v>2028</v>
      </c>
      <c r="B1931" s="3" t="str">
        <f>IFERROR(__xludf.DUMMYFUNCTION("GOOGLETRANSLATE(A1931, ""ar"", ""bn"")"),"উত্তেজক আগ্রাসন")</f>
        <v>উত্তেজক আগ্রাসন</v>
      </c>
    </row>
    <row r="1932">
      <c r="A1932" s="2" t="s">
        <v>2029</v>
      </c>
      <c r="B1932" s="3" t="str">
        <f>IFERROR(__xludf.DUMMYFUNCTION("GOOGLETRANSLATE(A1932, ""ar"", ""bn"")"),"TS Ih কূটনৈতিক উত্তেজক")</f>
        <v>TS Ih কূটনৈতিক উত্তেজক</v>
      </c>
    </row>
    <row r="1933">
      <c r="A1933" s="2" t="s">
        <v>2030</v>
      </c>
      <c r="B1933" s="3" t="str">
        <f>IFERROR(__xludf.DUMMYFUNCTION("GOOGLETRANSLATE(A1933, ""ar"", ""bn"")"),"উত্তেজক যুদ্ধ")</f>
        <v>উত্তেজক যুদ্ধ</v>
      </c>
    </row>
    <row r="1934">
      <c r="A1934" s="2" t="s">
        <v>2031</v>
      </c>
      <c r="B1934" s="3" t="str">
        <f>IFERROR(__xludf.DUMMYFUNCTION("GOOGLETRANSLATE(A1934, ""ar"", ""bn"")"),"যুদ্ধের মনস্তাত্ত্বিক প্রভাব")</f>
        <v>যুদ্ধের মনস্তাত্ত্বিক প্রভাব</v>
      </c>
    </row>
    <row r="1935">
      <c r="A1935" s="2" t="s">
        <v>2032</v>
      </c>
      <c r="B1935" s="3" t="str">
        <f>IFERROR(__xludf.DUMMYFUNCTION("GOOGLETRANSLATE(A1935, ""ar"", ""bn"")"),"মানসিক")</f>
        <v>মানসিক</v>
      </c>
    </row>
    <row r="1936">
      <c r="A1936" s="2" t="s">
        <v>2033</v>
      </c>
      <c r="B1936" s="3" t="str">
        <f>IFERROR(__xludf.DUMMYFUNCTION("GOOGLETRANSLATE(A1936, ""ar"", ""bn"")"),"জননিরাপত্তা")</f>
        <v>জননিরাপত্তা</v>
      </c>
    </row>
    <row r="1937">
      <c r="A1937" s="2" t="s">
        <v>2034</v>
      </c>
      <c r="B1937" s="3" t="str">
        <f>IFERROR(__xludf.DUMMYFUNCTION("GOOGLETRANSLATE(A1937, ""ar"", ""bn"")"),"সরকারি কর্তৃপক্ষ")</f>
        <v>সরকারি কর্তৃপক্ষ</v>
      </c>
    </row>
    <row r="1938">
      <c r="A1938" s="2" t="s">
        <v>2035</v>
      </c>
      <c r="B1938" s="3" t="str">
        <f>IFERROR(__xludf.DUMMYFUNCTION("GOOGLETRANSLATE(A1938, ""ar"", ""bn"")"),"দাঙ্গা")</f>
        <v>দাঙ্গা</v>
      </c>
    </row>
    <row r="1939">
      <c r="A1939" s="2" t="s">
        <v>2036</v>
      </c>
      <c r="B1939" s="3" t="str">
        <f>IFERROR(__xludf.DUMMYFUNCTION("GOOGLETRANSLATE(A1939, ""ar"", ""bn"")"),"জন ভাল")</f>
        <v>জন ভাল</v>
      </c>
    </row>
    <row r="1940">
      <c r="A1940" s="2" t="s">
        <v>2037</v>
      </c>
      <c r="B1940" s="3" t="str">
        <f>IFERROR(__xludf.DUMMYFUNCTION("GOOGLETRANSLATE(A1940, ""ar"", ""bn"")"),"জন আন্তর্জাতিক আইন")</f>
        <v>জন আন্তর্জাতিক আইন</v>
      </c>
    </row>
    <row r="1941">
      <c r="A1941" s="2" t="s">
        <v>2038</v>
      </c>
      <c r="B1941" s="3" t="str">
        <f>IFERROR(__xludf.DUMMYFUNCTION("GOOGLETRANSLATE(A1941, ""ar"", ""bn"")"),"জন মতামত")</f>
        <v>জন মতামত</v>
      </c>
    </row>
    <row r="1942">
      <c r="A1942" s="2" t="s">
        <v>2039</v>
      </c>
      <c r="B1942" s="3" t="str">
        <f>IFERROR(__xludf.DUMMYFUNCTION("GOOGLETRANSLATE(A1942, ""ar"", ""bn"")"),"সাধারণ সিস্টেম")</f>
        <v>সাধারণ সিস্টেম</v>
      </c>
    </row>
    <row r="1943">
      <c r="A1943" s="2" t="s">
        <v>2040</v>
      </c>
      <c r="B1943" s="3" t="str">
        <f>IFERROR(__xludf.DUMMYFUNCTION("GOOGLETRANSLATE(A1943, ""ar"", ""bn"")"),"জনসম্পর্ক")</f>
        <v>জনসম্পর্ক</v>
      </c>
    </row>
    <row r="1944">
      <c r="A1944" s="2" t="s">
        <v>2041</v>
      </c>
      <c r="B1944" s="3" t="str">
        <f>IFERROR(__xludf.DUMMYFUNCTION("GOOGLETRANSLATE(A1944, ""ar"", ""bn"")"),"সাধারণ নিরাপত্তা")</f>
        <v>সাধারণ নিরাপত্তা</v>
      </c>
    </row>
    <row r="1945">
      <c r="A1945" s="2" t="s">
        <v>2042</v>
      </c>
      <c r="B1945" s="3" t="str">
        <f>IFERROR(__xludf.DUMMYFUNCTION("GOOGLETRANSLATE(A1945, ""ar"", ""bn"")"),"প্রকাশ্য শুনানি")</f>
        <v>প্রকাশ্য শুনানি</v>
      </c>
    </row>
    <row r="1946">
      <c r="A1946" s="2" t="s">
        <v>2043</v>
      </c>
      <c r="B1946" s="3" t="str">
        <f>IFERROR(__xludf.DUMMYFUNCTION("GOOGLETRANSLATE(A1946, ""ar"", ""bn"")"),"জন উপকার")</f>
        <v>জন উপকার</v>
      </c>
    </row>
    <row r="1947">
      <c r="A1947" s="2" t="s">
        <v>2044</v>
      </c>
      <c r="B1947" s="3" t="str">
        <f>IFERROR(__xludf.DUMMYFUNCTION("GOOGLETRANSLATE(A1947, ""ar"", ""bn"")"),"Amahr কে ফিলামেন্ট আলোচনার")</f>
        <v>Amahr কে ফিলামেন্ট আলোচনার</v>
      </c>
    </row>
    <row r="1948">
      <c r="A1948" s="2" t="s">
        <v>468</v>
      </c>
      <c r="B1948" s="3" t="str">
        <f>IFERROR(__xludf.DUMMYFUNCTION("GOOGLETRANSLATE(A1948, ""ar"", ""bn"")"),"রাজনৈতিক")</f>
        <v>রাজনৈতিক</v>
      </c>
    </row>
    <row r="1949">
      <c r="A1949" s="2" t="s">
        <v>2045</v>
      </c>
      <c r="B1949" s="3" t="str">
        <f>IFERROR(__xludf.DUMMYFUNCTION("GOOGLETRANSLATE(A1949, ""ar"", ""bn"")"),"রাজনৈতিক মতপার্থক্য রাখুন")</f>
        <v>রাজনৈতিক মতপার্থক্য রাখুন</v>
      </c>
    </row>
    <row r="1950">
      <c r="A1950" s="2" t="s">
        <v>2046</v>
      </c>
      <c r="B1950" s="3" t="str">
        <f>IFERROR(__xludf.DUMMYFUNCTION("GOOGLETRANSLATE(A1950, ""ar"", ""bn"")"),"দূরে")</f>
        <v>দূরে</v>
      </c>
    </row>
    <row r="1951">
      <c r="A1951" s="2" t="s">
        <v>2047</v>
      </c>
      <c r="B1951" s="3" t="str">
        <f>IFERROR(__xludf.DUMMYFUNCTION("GOOGLETRANSLATE(A1951, ""ar"", ""bn"")"),"বিরোধ শেষ করা")</f>
        <v>বিরোধ শেষ করা</v>
      </c>
    </row>
    <row r="1952">
      <c r="A1952" s="2" t="s">
        <v>468</v>
      </c>
      <c r="B1952" s="3" t="str">
        <f>IFERROR(__xludf.DUMMYFUNCTION("GOOGLETRANSLATE(A1952, ""ar"", ""bn"")"),"রাজনৈতিক")</f>
        <v>রাজনৈতিক</v>
      </c>
    </row>
    <row r="1953">
      <c r="A1953" s="2" t="s">
        <v>2048</v>
      </c>
      <c r="B1953" s="3" t="str">
        <f>IFERROR(__xludf.DUMMYFUNCTION("GOOGLETRANSLATE(A1953, ""ar"", ""bn"")"),"সহিংসতা শেষ করা")</f>
        <v>সহিংসতা শেষ করা</v>
      </c>
    </row>
    <row r="1954">
      <c r="A1954" s="2" t="s">
        <v>2049</v>
      </c>
      <c r="B1954" s="3" t="str">
        <f>IFERROR(__xludf.DUMMYFUNCTION("GOOGLETRANSLATE(A1954, ""ar"", ""bn"")"),"যুদ্ধ শেষ করা")</f>
        <v>যুদ্ধ শেষ করা</v>
      </c>
    </row>
    <row r="1955">
      <c r="A1955" s="2" t="s">
        <v>2050</v>
      </c>
      <c r="B1955" s="3" t="str">
        <f>IFERROR(__xludf.DUMMYFUNCTION("GOOGLETRANSLATE(A1955, ""ar"", ""bn"")"),"কূটনৈতিক চেনাশোনা তাকে যোগ্য")</f>
        <v>কূটনৈতিক চেনাশোনা তাকে যোগ্য</v>
      </c>
    </row>
    <row r="1956">
      <c r="A1956" s="2" t="s">
        <v>2051</v>
      </c>
      <c r="B1956" s="3" t="str">
        <f>IFERROR(__xludf.DUMMYFUNCTION("GOOGLETRANSLATE(A1956, ""ar"", ""bn"")"),"জাতিগত গণহত্যা")</f>
        <v>জাতিগত গণহত্যা</v>
      </c>
    </row>
    <row r="1957">
      <c r="A1957" s="2" t="s">
        <v>2052</v>
      </c>
      <c r="B1957" s="3" t="str">
        <f>IFERROR(__xludf.DUMMYFUNCTION("GOOGLETRANSLATE(A1957, ""ar"", ""bn"")"),"এম জাতি শত্রুতা ইয়ে")</f>
        <v>এম জাতি শত্রুতা ইয়ে</v>
      </c>
    </row>
    <row r="1958">
      <c r="A1958" s="2" t="s">
        <v>2053</v>
      </c>
      <c r="B1958" s="3" t="str">
        <f>IFERROR(__xludf.DUMMYFUNCTION("GOOGLETRANSLATE(A1958, ""ar"", ""bn"")"),"এন দ্বন্দ্ব অপরিহার্য উপাদান ঞ")</f>
        <v>এন দ্বন্দ্ব অপরিহার্য উপাদান ঞ</v>
      </c>
    </row>
    <row r="1959">
      <c r="A1959" s="2" t="s">
        <v>2054</v>
      </c>
      <c r="B1959" s="3" t="str">
        <f>IFERROR(__xludf.DUMMYFUNCTION("GOOGLETRANSLATE(A1959, ""ar"", ""bn"")"),"জাতি ভিত্তিতে বৈষম্য")</f>
        <v>জাতি ভিত্তিতে বৈষম্য</v>
      </c>
    </row>
    <row r="1960">
      <c r="A1960" s="2" t="s">
        <v>2055</v>
      </c>
      <c r="B1960" s="3" t="str">
        <f>IFERROR(__xludf.DUMMYFUNCTION("GOOGLETRANSLATE(A1960, ""ar"", ""bn"")"),"জাতিগত সমতা")</f>
        <v>জাতিগত সমতা</v>
      </c>
    </row>
    <row r="1961">
      <c r="A1961" s="2" t="s">
        <v>2056</v>
      </c>
      <c r="B1961" s="3" t="str">
        <f>IFERROR(__xludf.DUMMYFUNCTION("GOOGLETRANSLATE(A1961, ""ar"", ""bn"")"),"এথনিক ইন্টিগ্রেশন")</f>
        <v>এথনিক ইন্টিগ্রেশন</v>
      </c>
    </row>
    <row r="1962">
      <c r="A1962" s="2" t="s">
        <v>2057</v>
      </c>
      <c r="B1962" s="3" t="str">
        <f>IFERROR(__xludf.DUMMYFUNCTION("GOOGLETRANSLATE(A1962, ""ar"", ""bn"")"),"গণহত্যা অপরিহার্য উপাদান ইয়ে")</f>
        <v>গণহত্যা অপরিহার্য উপাদান ইয়ে</v>
      </c>
    </row>
    <row r="1963">
      <c r="A1963" s="2" t="s">
        <v>2058</v>
      </c>
      <c r="B1963" s="3" t="str">
        <f>IFERROR(__xludf.DUMMYFUNCTION("GOOGLETRANSLATE(A1963, ""ar"", ""bn"")"),"সংখ্যালঘু সম্প্রদায়ের")</f>
        <v>সংখ্যালঘু সম্প্রদায়ের</v>
      </c>
    </row>
    <row r="1964">
      <c r="A1964" s="2" t="s">
        <v>2059</v>
      </c>
      <c r="B1964" s="3" t="str">
        <f>IFERROR(__xludf.DUMMYFUNCTION("GOOGLETRANSLATE(A1964, ""ar"", ""bn"")"),"অপরিহার্য উপাদান পৃথক করা")</f>
        <v>অপরিহার্য উপাদান পৃথক করা</v>
      </c>
    </row>
    <row r="1965">
      <c r="A1965" s="2" t="s">
        <v>2060</v>
      </c>
      <c r="B1965" s="3" t="str">
        <f>IFERROR(__xludf.DUMMYFUNCTION("GOOGLETRANSLATE(A1965, ""ar"", ""bn"")"),"জাতিগত বা অপরিহার্য উপাদান ইয়ে")</f>
        <v>জাতিগত বা অপরিহার্য উপাদান ইয়ে</v>
      </c>
    </row>
    <row r="1966">
      <c r="A1966" s="2" t="s">
        <v>2061</v>
      </c>
      <c r="B1966" s="3" t="str">
        <f>IFERROR(__xludf.DUMMYFUNCTION("GOOGLETRANSLATE(A1966, ""ar"", ""bn"")"),"মৌলে তত্ত্ব")</f>
        <v>মৌলে তত্ত্ব</v>
      </c>
    </row>
    <row r="1967">
      <c r="A1967" s="2" t="s">
        <v>2062</v>
      </c>
      <c r="B1967" s="3" t="str">
        <f>IFERROR(__xludf.DUMMYFUNCTION("GOOGLETRANSLATE(A1967, ""ar"", ""bn"")"),"আন্তর্জাতিক ত্রাণ গতি")</f>
        <v>আন্তর্জাতিক ত্রাণ গতি</v>
      </c>
    </row>
    <row r="1968">
      <c r="A1968" s="2" t="s">
        <v>2063</v>
      </c>
      <c r="B1968" s="3" t="str">
        <f>IFERROR(__xludf.DUMMYFUNCTION("GOOGLETRANSLATE(A1968, ""ar"", ""bn"")"),"আন্তর্জাতিক হস্তক্ষেপের গতি")</f>
        <v>আন্তর্জাতিক হস্তক্ষেপের গতি</v>
      </c>
    </row>
    <row r="1969">
      <c r="A1969" s="2" t="s">
        <v>2064</v>
      </c>
      <c r="B1969" s="3" t="str">
        <f>IFERROR(__xludf.DUMMYFUNCTION("GOOGLETRANSLATE(A1969, ""ar"", ""bn"")"),"প্রতিক্রিয়া")</f>
        <v>প্রতিক্রিয়া</v>
      </c>
    </row>
    <row r="1970">
      <c r="A1970" s="2" t="s">
        <v>2065</v>
      </c>
      <c r="B1970" s="3" t="str">
        <f>IFERROR(__xludf.DUMMYFUNCTION("GOOGLETRANSLATE(A1970, ""ar"", ""bn"")"),"পুনঃনির্বাচনের")</f>
        <v>পুনঃনির্বাচনের</v>
      </c>
    </row>
    <row r="1971">
      <c r="A1971" s="2" t="s">
        <v>2066</v>
      </c>
      <c r="B1971" s="3" t="str">
        <f>IFERROR(__xludf.DUMMYFUNCTION("GOOGLETRANSLATE(A1971, ""ar"", ""bn"")"),"সঙ্কোচনীয় পুনঃনির্বাচনের")</f>
        <v>সঙ্কোচনীয় পুনঃনির্বাচনের</v>
      </c>
    </row>
    <row r="1972">
      <c r="A1972" s="2" t="s">
        <v>2067</v>
      </c>
      <c r="B1972" s="3" t="str">
        <f>IFERROR(__xludf.DUMMYFUNCTION("GOOGLETRANSLATE(A1972, ""ar"", ""bn"")"),"সঙ্কটের একটি সাধারণ সমাধান পৌঁছাতে")</f>
        <v>সঙ্কটের একটি সাধারণ সমাধান পৌঁছাতে</v>
      </c>
    </row>
    <row r="1973">
      <c r="A1973" s="2" t="s">
        <v>579</v>
      </c>
      <c r="B1973" s="3" t="str">
        <f>IFERROR(__xludf.DUMMYFUNCTION("GOOGLETRANSLATE(A1973, ""ar"", ""bn"")"),"আন্তর্জাতিক")</f>
        <v>আন্তর্জাতিক</v>
      </c>
    </row>
    <row r="1974">
      <c r="A1974" s="2" t="s">
        <v>2068</v>
      </c>
      <c r="B1974" s="3" t="str">
        <f>IFERROR(__xludf.DUMMYFUNCTION("GOOGLETRANSLATE(A1974, ""ar"", ""bn"")"),"এর মধ্যে একটি সাধারণ ধারণা পৌঁছানো")</f>
        <v>এর মধ্যে একটি সাধারণ ধারণা পৌঁছানো</v>
      </c>
    </row>
    <row r="1975">
      <c r="A1975" s="2" t="s">
        <v>1159</v>
      </c>
      <c r="B1975" s="3" t="str">
        <f>IFERROR(__xludf.DUMMYFUNCTION("GOOGLETRANSLATE(A1975, ""ar"", ""bn"")"),"দেশ")</f>
        <v>দেশ</v>
      </c>
    </row>
    <row r="1976">
      <c r="A1976" s="2" t="s">
        <v>2069</v>
      </c>
      <c r="B1976" s="3" t="str">
        <f>IFERROR(__xludf.DUMMYFUNCTION("GOOGLETRANSLATE(A1976, ""ar"", ""bn"")"),"প্রতিক্রিয়াশীল নীতি")</f>
        <v>প্রতিক্রিয়াশীল নীতি</v>
      </c>
    </row>
    <row r="1977">
      <c r="A1977" s="2" t="s">
        <v>2070</v>
      </c>
      <c r="B1977" s="3" t="str">
        <f>IFERROR(__xludf.DUMMYFUNCTION("GOOGLETRANSLATE(A1977, ""ar"", ""bn"")"),"অর্পণ এর রি-জ")</f>
        <v>অর্পণ এর রি-জ</v>
      </c>
    </row>
    <row r="1978">
      <c r="A1978" s="2" t="s">
        <v>2071</v>
      </c>
      <c r="B1978" s="3" t="str">
        <f>IFERROR(__xludf.DUMMYFUNCTION("GOOGLETRANSLATE(A1978, ""ar"", ""bn"")"),"অবাধ্যতা পাস ঘ")</f>
        <v>অবাধ্যতা পাস ঘ</v>
      </c>
    </row>
    <row r="1979">
      <c r="A1979" s="2" t="s">
        <v>2072</v>
      </c>
      <c r="B1979" s="3" t="str">
        <f>IFERROR(__xludf.DUMMYFUNCTION("GOOGLETRANSLATE(A1979, ""ar"", ""bn"")"),"D রাজনৈতিক বন্দীদের পাস")</f>
        <v>D রাজনৈতিক বন্দীদের পাস</v>
      </c>
    </row>
    <row r="1980">
      <c r="A1980" s="2" t="s">
        <v>2073</v>
      </c>
      <c r="B1980" s="3" t="str">
        <f>IFERROR(__xludf.DUMMYFUNCTION("GOOGLETRANSLATE(A1980, ""ar"", ""bn"")"),"যুক্তরাষ্ট্র মধ্যে আস্থা পুনর্নির্মাণ")</f>
        <v>যুক্তরাষ্ট্র মধ্যে আস্থা পুনর্নির্মাণ</v>
      </c>
    </row>
    <row r="1981">
      <c r="A1981" s="2" t="s">
        <v>2074</v>
      </c>
      <c r="B1981" s="3" t="str">
        <f>IFERROR(__xludf.DUMMYFUNCTION("GOOGLETRANSLATE(A1981, ""ar"", ""bn"")"),"রাষ্ট্রদূত কল")</f>
        <v>রাষ্ট্রদূত কল</v>
      </c>
    </row>
    <row r="1982">
      <c r="A1982" s="2" t="s">
        <v>2075</v>
      </c>
      <c r="B1982" s="3" t="str">
        <f>IFERROR(__xludf.DUMMYFUNCTION("GOOGLETRANSLATE(A1982, ""ar"", ""bn"")"),"অফিসিয়াল অভ্যর্থনা")</f>
        <v>অফিসিয়াল অভ্যর্থনা</v>
      </c>
    </row>
    <row r="1983">
      <c r="A1983" s="2" t="s">
        <v>2076</v>
      </c>
      <c r="B1983" s="3" t="str">
        <f>IFERROR(__xludf.DUMMYFUNCTION("GOOGLETRANSLATE(A1983, ""ar"", ""bn"")"),"পারস্পরিক আন্ত রাষ্ট্রের দায়িত্ব")</f>
        <v>পারস্পরিক আন্ত রাষ্ট্রের দায়িত্ব</v>
      </c>
    </row>
    <row r="1984">
      <c r="A1984" s="2" t="s">
        <v>2077</v>
      </c>
      <c r="B1984" s="3" t="str">
        <f>IFERROR(__xludf.DUMMYFUNCTION("GOOGLETRANSLATE(A1984, ""ar"", ""bn"")"),"পারস্পরিক আন্ত রাষ্ট্রের বাধ্যবাধকতা")</f>
        <v>পারস্পরিক আন্ত রাষ্ট্রের বাধ্যবাধকতা</v>
      </c>
    </row>
    <row r="1985">
      <c r="A1985" s="2" t="s">
        <v>2078</v>
      </c>
      <c r="B1985" s="3" t="str">
        <f>IFERROR(__xludf.DUMMYFUNCTION("GOOGLETRANSLATE(A1985, ""ar"", ""bn"")"),"পৃথক স্বাধীনতা স্বীকার করে")</f>
        <v>পৃথক স্বাধীনতা স্বীকার করে</v>
      </c>
    </row>
    <row r="1986">
      <c r="A1986" s="2" t="s">
        <v>2079</v>
      </c>
      <c r="B1986" s="3" t="str">
        <f>IFERROR(__xludf.DUMMYFUNCTION("GOOGLETRANSLATE(A1986, ""ar"", ""bn"")"),"তারতীলসহ অধিবেশন সুপারিশ")</f>
        <v>তারতীলসহ অধিবেশন সুপারিশ</v>
      </c>
    </row>
    <row r="1987">
      <c r="A1987" s="2" t="s">
        <v>2080</v>
      </c>
      <c r="B1987" s="3" t="str">
        <f>IFERROR(__xludf.DUMMYFUNCTION("GOOGLETRANSLATE(A1987, ""ar"", ""bn"")"),"কমিটির ম্যাজিস্ট্রেট")</f>
        <v>কমিটির ম্যাজিস্ট্রেট</v>
      </c>
    </row>
    <row r="1988">
      <c r="A1988" s="2" t="s">
        <v>2081</v>
      </c>
      <c r="B1988" s="3" t="str">
        <f>IFERROR(__xludf.DUMMYFUNCTION("GOOGLETRANSLATE(A1988, ""ar"", ""bn"")"),"পুনর্মিলন জন্য প্রস্তুত")</f>
        <v>পুনর্মিলন জন্য প্রস্তুত</v>
      </c>
    </row>
    <row r="1989">
      <c r="A1989" s="2" t="s">
        <v>2082</v>
      </c>
      <c r="B1989" s="3" t="str">
        <f>IFERROR(__xludf.DUMMYFUNCTION("GOOGLETRANSLATE(A1989, ""ar"", ""bn"")"),"শান্তির দেখুন")</f>
        <v>শান্তির দেখুন</v>
      </c>
    </row>
    <row r="1990">
      <c r="A1990" s="2" t="s">
        <v>2083</v>
      </c>
      <c r="B1990" s="3" t="str">
        <f>IFERROR(__xludf.DUMMYFUNCTION("GOOGLETRANSLATE(A1990, ""ar"", ""bn"")"),"শান্তি চুক্তি")</f>
        <v>শান্তি চুক্তি</v>
      </c>
    </row>
    <row r="1991">
      <c r="A1991" s="2" t="s">
        <v>2084</v>
      </c>
      <c r="B1991" s="3" t="str">
        <f>IFERROR(__xludf.DUMMYFUNCTION("GOOGLETRANSLATE(A1991, ""ar"", ""bn"")"),"রেকর্ড ভোট")</f>
        <v>রেকর্ড ভোট</v>
      </c>
    </row>
    <row r="1992">
      <c r="A1992" s="2" t="s">
        <v>2085</v>
      </c>
      <c r="B1992" s="3" t="str">
        <f>IFERROR(__xludf.DUMMYFUNCTION("GOOGLETRANSLATE(A1992, ""ar"", ""bn"")"),"অধিকৃত অঞ্চল পুনরুদ্ধার করুন")</f>
        <v>অধিকৃত অঞ্চল পুনরুদ্ধার করুন</v>
      </c>
    </row>
    <row r="1993">
      <c r="A1993" s="2" t="s">
        <v>2086</v>
      </c>
      <c r="B1993" s="3" t="str">
        <f>IFERROR(__xludf.DUMMYFUNCTION("GOOGLETRANSLATE(A1993, ""ar"", ""bn"")"),"Amenk ফরমান জ")</f>
        <v>Amenk ফরমান জ</v>
      </c>
    </row>
    <row r="1994">
      <c r="A1994" s="2" t="s">
        <v>2087</v>
      </c>
      <c r="B1994" s="3" t="str">
        <f>IFERROR(__xludf.DUMMYFUNCTION("GOOGLETRANSLATE(A1994, ""ar"", ""bn"")"),"রেড ক্রিসেন্ট অর্গানাইজেশন")</f>
        <v>রেড ক্রিসেন্ট অর্গানাইজেশন</v>
      </c>
    </row>
    <row r="1995">
      <c r="A1995" s="2" t="s">
        <v>2088</v>
      </c>
      <c r="B1995" s="3" t="str">
        <f>IFERROR(__xludf.DUMMYFUNCTION("GOOGLETRANSLATE(A1995, ""ar"", ""bn"")"),"রেড ক্রস অর্গানাইজেশন")</f>
        <v>রেড ক্রস অর্গানাইজেশন</v>
      </c>
    </row>
    <row r="1996">
      <c r="A1996" s="2" t="s">
        <v>2089</v>
      </c>
      <c r="B1996" s="3" t="str">
        <f>IFERROR(__xludf.DUMMYFUNCTION("GOOGLETRANSLATE(A1996, ""ar"", ""bn"")"),"রিপোর্টের কূটনৈতিক প্রস্তুতি")</f>
        <v>রিপোর্টের কূটনৈতিক প্রস্তুতি</v>
      </c>
    </row>
    <row r="1997">
      <c r="A1997" s="2" t="s">
        <v>2090</v>
      </c>
      <c r="B1997" s="3" t="str">
        <f>IFERROR(__xludf.DUMMYFUNCTION("GOOGLETRANSLATE(A1997, ""ar"", ""bn"")"),"কাজগুলো Amaid বন্টন")</f>
        <v>কাজগুলো Amaid বন্টন</v>
      </c>
    </row>
    <row r="1998">
      <c r="A1998" s="2" t="s">
        <v>262</v>
      </c>
      <c r="B1998" s="3" t="str">
        <f>IFERROR(__xludf.DUMMYFUNCTION("GOOGLETRANSLATE(A1998, ""ar"", ""bn"")"),"কূটনীতি")</f>
        <v>কূটনীতি</v>
      </c>
    </row>
    <row r="1999">
      <c r="A1999" s="2" t="s">
        <v>2091</v>
      </c>
      <c r="B1999" s="3" t="str">
        <f>IFERROR(__xludf.DUMMYFUNCTION("GOOGLETRANSLATE(A1999, ""ar"", ""bn"")"),"কাজগুলো পুনরায় বিতরণ")</f>
        <v>কাজগুলো পুনরায় বিতরণ</v>
      </c>
    </row>
    <row r="2000">
      <c r="A2000" s="2" t="s">
        <v>262</v>
      </c>
      <c r="B2000" s="3" t="str">
        <f>IFERROR(__xludf.DUMMYFUNCTION("GOOGLETRANSLATE(A2000, ""ar"", ""bn"")"),"কূটনীতি")</f>
        <v>কূটনীতি</v>
      </c>
    </row>
    <row r="2001">
      <c r="A2001" s="2" t="s">
        <v>2092</v>
      </c>
      <c r="B2001" s="3" t="str">
        <f>IFERROR(__xludf.DUMMYFUNCTION("GOOGLETRANSLATE(A2001, ""ar"", ""bn"")"),"Amkhvv আন্তর্জাতিক চাপের")</f>
        <v>Amkhvv আন্তর্জাতিক চাপের</v>
      </c>
    </row>
    <row r="2002">
      <c r="A2002" s="2" t="s">
        <v>2093</v>
      </c>
      <c r="B2002" s="3" t="str">
        <f>IFERROR(__xludf.DUMMYFUNCTION("GOOGLETRANSLATE(A2002, ""ar"", ""bn"")"),"গণভোট")</f>
        <v>গণভোট</v>
      </c>
    </row>
    <row r="2003">
      <c r="A2003" s="2" t="s">
        <v>2094</v>
      </c>
      <c r="B2003" s="3" t="str">
        <f>IFERROR(__xludf.DUMMYFUNCTION("GOOGLETRANSLATE(A2003, ""ar"", ""bn"")"),"আন্তর্জাতিক আইন রেফারেন্স দিয়ে")</f>
        <v>আন্তর্জাতিক আইন রেফারেন্স দিয়ে</v>
      </c>
    </row>
    <row r="2004">
      <c r="A2004" s="2" t="s">
        <v>2095</v>
      </c>
      <c r="B2004" s="3" t="str">
        <f>IFERROR(__xludf.DUMMYFUNCTION("GOOGLETRANSLATE(A2004, ""ar"", ""bn"")"),"রিফর্ম মুভমেন্ট")</f>
        <v>রিফর্ম মুভমেন্ট</v>
      </c>
    </row>
    <row r="2005">
      <c r="A2005" s="2" t="s">
        <v>2096</v>
      </c>
      <c r="B2005" s="3" t="str">
        <f>IFERROR(__xludf.DUMMYFUNCTION("GOOGLETRANSLATE(A2005, ""ar"", ""bn"")"),"অভিগমন")</f>
        <v>অভিগমন</v>
      </c>
    </row>
    <row r="2006">
      <c r="A2006" s="2" t="s">
        <v>2097</v>
      </c>
      <c r="B2006" s="3" t="str">
        <f>IFERROR(__xludf.DUMMYFUNCTION("GOOGLETRANSLATE(A2006, ""ar"", ""bn"")"),"উদ্বাস্তুদের ভাগ্য")</f>
        <v>উদ্বাস্তুদের ভাগ্য</v>
      </c>
    </row>
    <row r="2007">
      <c r="A2007" s="2" t="s">
        <v>2098</v>
      </c>
      <c r="B2007" s="3" t="str">
        <f>IFERROR(__xludf.DUMMYFUNCTION("GOOGLETRANSLATE(A2007, ""ar"", ""bn"")"),"উদ্বাস্তুদের নিরাপত্তা")</f>
        <v>উদ্বাস্তুদের নিরাপত্তা</v>
      </c>
    </row>
    <row r="2008">
      <c r="A2008" s="2" t="s">
        <v>2099</v>
      </c>
      <c r="B2008" s="3" t="str">
        <f>IFERROR(__xludf.DUMMYFUNCTION("GOOGLETRANSLATE(A2008, ""ar"", ""bn"")"),"সাইট নিয়ন্ত্রণ পুনরূদ্ধার")</f>
        <v>সাইট নিয়ন্ত্রণ পুনরূদ্ধার</v>
      </c>
    </row>
    <row r="2009">
      <c r="A2009" s="2" t="s">
        <v>2100</v>
      </c>
      <c r="B2009" s="3" t="str">
        <f>IFERROR(__xludf.DUMMYFUNCTION("GOOGLETRANSLATE(A2009, ""ar"", ""bn"")"),"কৌশল")</f>
        <v>কৌশল</v>
      </c>
    </row>
    <row r="2010">
      <c r="A2010" s="2" t="s">
        <v>2101</v>
      </c>
      <c r="B2010" s="3" t="str">
        <f>IFERROR(__xludf.DUMMYFUNCTION("GOOGLETRANSLATE(A2010, ""ar"", ""bn"")"),"সীমান্ত পুনর্দখল")</f>
        <v>সীমান্ত পুনর্দখল</v>
      </c>
    </row>
    <row r="2011">
      <c r="A2011" s="2" t="s">
        <v>2102</v>
      </c>
      <c r="B2011" s="3" t="str">
        <f>IFERROR(__xludf.DUMMYFUNCTION("GOOGLETRANSLATE(A2011, ""ar"", ""bn"")"),"মধ্যে পরিস্থিতিতে বস")</f>
        <v>মধ্যে পরিস্থিতিতে বস</v>
      </c>
    </row>
    <row r="2012">
      <c r="A2012" s="2" t="s">
        <v>468</v>
      </c>
      <c r="B2012" s="3" t="str">
        <f>IFERROR(__xludf.DUMMYFUNCTION("GOOGLETRANSLATE(A2012, ""ar"", ""bn"")"),"রাজনৈতিক")</f>
        <v>রাজনৈতিক</v>
      </c>
    </row>
    <row r="2013">
      <c r="A2013" s="2" t="s">
        <v>2103</v>
      </c>
      <c r="B2013" s="3" t="str">
        <f>IFERROR(__xludf.DUMMYFUNCTION("GOOGLETRANSLATE(A2013, ""ar"", ""bn"")"),"একটি সরকার ব্যবস্থা")</f>
        <v>একটি সরকার ব্যবস্থা</v>
      </c>
    </row>
    <row r="2014">
      <c r="A2014" s="2" t="s">
        <v>2104</v>
      </c>
      <c r="B2014" s="3" t="str">
        <f>IFERROR(__xludf.DUMMYFUNCTION("GOOGLETRANSLATE(A2014, ""ar"", ""bn"")"),"আঞ্চলিক চুক্তি")</f>
        <v>আঞ্চলিক চুক্তি</v>
      </c>
    </row>
    <row r="2015">
      <c r="A2015" s="2" t="s">
        <v>2105</v>
      </c>
      <c r="B2015" s="3" t="str">
        <f>IFERROR(__xludf.DUMMYFUNCTION("GOOGLETRANSLATE(A2015, ""ar"", ""bn"")"),"আঞ্চলিক কর্তৃপক্ষ")</f>
        <v>আঞ্চলিক কর্তৃপক্ষ</v>
      </c>
    </row>
    <row r="2016">
      <c r="A2016" s="2" t="s">
        <v>2105</v>
      </c>
      <c r="B2016" s="3" t="str">
        <f>IFERROR(__xludf.DUMMYFUNCTION("GOOGLETRANSLATE(A2016, ""ar"", ""bn"")"),"আঞ্চলিক কর্তৃপক্ষ")</f>
        <v>আঞ্চলিক কর্তৃপক্ষ</v>
      </c>
    </row>
    <row r="2017">
      <c r="A2017" s="2" t="s">
        <v>2106</v>
      </c>
      <c r="B2017" s="3" t="str">
        <f>IFERROR(__xludf.DUMMYFUNCTION("GOOGLETRANSLATE(A2017, ""ar"", ""bn"")"),"আঞ্চলিক স্বাধীনতা")</f>
        <v>আঞ্চলিক স্বাধীনতা</v>
      </c>
    </row>
    <row r="2018">
      <c r="A2018" s="2" t="s">
        <v>2107</v>
      </c>
      <c r="B2018" s="3" t="str">
        <f>IFERROR(__xludf.DUMMYFUNCTION("GOOGLETRANSLATE(A2018, ""ar"", ""bn"")"),"আঞ্চলিক পরিষদ")</f>
        <v>আঞ্চলিক পরিষদ</v>
      </c>
    </row>
    <row r="2019">
      <c r="A2019" s="2" t="s">
        <v>2108</v>
      </c>
      <c r="B2019" s="3" t="str">
        <f>IFERROR(__xludf.DUMMYFUNCTION("GOOGLETRANSLATE(A2019, ""ar"", ""bn"")"),"স্থানীয় আইন")</f>
        <v>স্থানীয় আইন</v>
      </c>
    </row>
    <row r="2020">
      <c r="A2020" s="2" t="s">
        <v>2109</v>
      </c>
      <c r="B2020" s="3" t="str">
        <f>IFERROR(__xludf.DUMMYFUNCTION("GOOGLETRANSLATE(A2020, ""ar"", ""bn"")"),"ইয়ে নীতি প্রতিস্থাপিত")</f>
        <v>ইয়ে নীতি প্রতিস্থাপিত</v>
      </c>
    </row>
    <row r="2021">
      <c r="A2021" s="2" t="s">
        <v>2110</v>
      </c>
      <c r="B2021" s="3" t="str">
        <f>IFERROR(__xludf.DUMMYFUNCTION("GOOGLETRANSLATE(A2021, ""ar"", ""bn"")"),"আঞ্চলিক")</f>
        <v>আঞ্চলিক</v>
      </c>
    </row>
    <row r="2022">
      <c r="A2022" s="2" t="s">
        <v>2111</v>
      </c>
      <c r="B2022" s="3" t="str">
        <f>IFERROR(__xludf.DUMMYFUNCTION("GOOGLETRANSLATE(A2022, ""ar"", ""bn"")"),"ফোর্সেস তথ্য একত্রিতকরনের Amaid")</f>
        <v>ফোর্সেস তথ্য একত্রিতকরনের Amaid</v>
      </c>
    </row>
    <row r="2023">
      <c r="A2023" s="2" t="s">
        <v>329</v>
      </c>
      <c r="B2023" s="3" t="str">
        <f>IFERROR(__xludf.DUMMYFUNCTION("GOOGLETRANSLATE(A2023, ""ar"", ""bn"")"),"সামরিক")</f>
        <v>সামরিক</v>
      </c>
    </row>
    <row r="2024">
      <c r="A2024" s="2" t="s">
        <v>2112</v>
      </c>
      <c r="B2024" s="3" t="str">
        <f>IFERROR(__xludf.DUMMYFUNCTION("GOOGLETRANSLATE(A2024, ""ar"", ""bn"")"),"পুনর্বাসন")</f>
        <v>পুনর্বাসন</v>
      </c>
    </row>
    <row r="2025">
      <c r="A2025" s="2" t="s">
        <v>2113</v>
      </c>
      <c r="B2025" s="3" t="str">
        <f>IFERROR(__xludf.DUMMYFUNCTION("GOOGLETRANSLATE(A2025, ""ar"", ""bn"")"),"নিয়ম")</f>
        <v>নিয়ম</v>
      </c>
    </row>
    <row r="2026">
      <c r="A2026" s="2" t="s">
        <v>2114</v>
      </c>
      <c r="B2026" s="3" t="str">
        <f>IFERROR(__xludf.DUMMYFUNCTION("GOOGLETRANSLATE(A2026, ""ar"", ""bn"")"),"সন্ত্রাসবাদের নিয়ম")</f>
        <v>সন্ত্রাসবাদের নিয়ম</v>
      </c>
    </row>
    <row r="2027">
      <c r="A2027" s="2" t="s">
        <v>2115</v>
      </c>
      <c r="B2027" s="3" t="str">
        <f>IFERROR(__xludf.DUMMYFUNCTION("GOOGLETRANSLATE(A2027, ""ar"", ""bn"")"),"Amaz ছ কূটনৈতিক সম্পর্ক")</f>
        <v>Amaz ছ কূটনৈতিক সম্পর্ক</v>
      </c>
    </row>
    <row r="2028">
      <c r="A2028" s="2" t="s">
        <v>2116</v>
      </c>
      <c r="B2028" s="3" t="str">
        <f>IFERROR(__xludf.DUMMYFUNCTION("GOOGLETRANSLATE(A2028, ""ar"", ""bn"")"),"Amaz ছ কূটনৈতিক অবস্থান")</f>
        <v>Amaz ছ কূটনৈতিক অবস্থান</v>
      </c>
    </row>
    <row r="2029">
      <c r="A2029" s="2" t="s">
        <v>2117</v>
      </c>
      <c r="B2029" s="3" t="str">
        <f>IFERROR(__xludf.DUMMYFUNCTION("GOOGLETRANSLATE(A2029, ""ar"", ""bn"")"),"Amaz ছ জাতীয় পরিচয়")</f>
        <v>Amaz ছ জাতীয় পরিচয়</v>
      </c>
    </row>
    <row r="2030">
      <c r="A2030" s="2" t="s">
        <v>2118</v>
      </c>
      <c r="B2030" s="3" t="str">
        <f>IFERROR(__xludf.DUMMYFUNCTION("GOOGLETRANSLATE(A2030, ""ar"", ""bn"")"),"চাইলেও পড়া বিশেষজ্ঞদের")</f>
        <v>চাইলেও পড়া বিশেষজ্ঞদের</v>
      </c>
    </row>
    <row r="2031">
      <c r="A2031" s="2" t="s">
        <v>2119</v>
      </c>
      <c r="B2031" s="3" t="str">
        <f>IFERROR(__xludf.DUMMYFUNCTION("GOOGLETRANSLATE(A2031, ""ar"", ""bn"")"),"বাতিল করুন প্রত্যাখ্যান সিদ্ধান্ত")</f>
        <v>বাতিল করুন প্রত্যাখ্যান সিদ্ধান্ত</v>
      </c>
    </row>
    <row r="2032">
      <c r="A2032" s="2" t="s">
        <v>644</v>
      </c>
      <c r="B2032" s="3" t="str">
        <f>IFERROR(__xludf.DUMMYFUNCTION("GOOGLETRANSLATE(A2032, ""ar"", ""bn"")"),"রাজনীতিজ্ঞ")</f>
        <v>রাজনীতিজ্ঞ</v>
      </c>
    </row>
    <row r="2033">
      <c r="A2033" s="2" t="s">
        <v>2120</v>
      </c>
      <c r="B2033" s="3" t="str">
        <f>IFERROR(__xludf.DUMMYFUNCTION("GOOGLETRANSLATE(A2033, ""ar"", ""bn"")"),"ক্ষমতা ও পক্ষের মধ্যে সম্পর্ক")</f>
        <v>ক্ষমতা ও পক্ষের মধ্যে সম্পর্ক</v>
      </c>
    </row>
    <row r="2034">
      <c r="A2034" s="2" t="s">
        <v>468</v>
      </c>
      <c r="B2034" s="3" t="str">
        <f>IFERROR(__xludf.DUMMYFUNCTION("GOOGLETRANSLATE(A2034, ""ar"", ""bn"")"),"রাজনৈতিক")</f>
        <v>রাজনৈতিক</v>
      </c>
    </row>
    <row r="2035">
      <c r="A2035" s="2" t="s">
        <v>2121</v>
      </c>
      <c r="B2035" s="3" t="str">
        <f>IFERROR(__xludf.DUMMYFUNCTION("GOOGLETRANSLATE(A2035, ""ar"", ""bn"")"),"ডিলিং ভিত্তিতে সম্পর্ক")</f>
        <v>ডিলিং ভিত্তিতে সম্পর্ক</v>
      </c>
    </row>
    <row r="2036">
      <c r="A2036" s="2" t="s">
        <v>2122</v>
      </c>
      <c r="B2036" s="3" t="str">
        <f>IFERROR(__xludf.DUMMYFUNCTION("GOOGLETRANSLATE(A2036, ""ar"", ""bn"")"),"একভাবে")</f>
        <v>একভাবে</v>
      </c>
    </row>
    <row r="2037">
      <c r="A2037" s="2" t="s">
        <v>2123</v>
      </c>
      <c r="B2037" s="3" t="str">
        <f>IFERROR(__xludf.DUMMYFUNCTION("GOOGLETRANSLATE(A2037, ""ar"", ""bn"")"),"রাষ্ট্রদূতসংক্রান্ত পর্যায়ে সম্পর্ক")</f>
        <v>রাষ্ট্রদূতসংক্রান্ত পর্যায়ে সম্পর্ক</v>
      </c>
    </row>
    <row r="2038">
      <c r="A2038" s="2" t="s">
        <v>2124</v>
      </c>
      <c r="B2038" s="3" t="str">
        <f>IFERROR(__xludf.DUMMYFUNCTION("GOOGLETRANSLATE(A2038, ""ar"", ""bn"")"),"Mtal গুলি Balambahthat")</f>
        <v>Mtal গুলি Balambahthat</v>
      </c>
    </row>
    <row r="2039">
      <c r="A2039" s="2" t="s">
        <v>262</v>
      </c>
      <c r="B2039" s="3" t="str">
        <f>IFERROR(__xludf.DUMMYFUNCTION("GOOGLETRANSLATE(A2039, ""ar"", ""bn"")"),"কূটনীতি")</f>
        <v>কূটনীতি</v>
      </c>
    </row>
    <row r="2040">
      <c r="A2040" s="2" t="s">
        <v>2125</v>
      </c>
      <c r="B2040" s="3" t="str">
        <f>IFERROR(__xludf.DUMMYFUNCTION("GOOGLETRANSLATE(A2040, ""ar"", ""bn"")"),"বন্দীদের Amtaleg মুক্তি")</f>
        <v>বন্দীদের Amtaleg মুক্তি</v>
      </c>
    </row>
    <row r="2041">
      <c r="A2041" s="2" t="s">
        <v>2126</v>
      </c>
      <c r="B2041" s="3" t="str">
        <f>IFERROR(__xludf.DUMMYFUNCTION("GOOGLETRANSLATE(A2041, ""ar"", ""bn"")"),"বন্দীদের জন্য Amakhla")</f>
        <v>বন্দীদের জন্য Amakhla</v>
      </c>
    </row>
    <row r="2042">
      <c r="A2042" s="2" t="s">
        <v>229</v>
      </c>
      <c r="B2042" s="3" t="str">
        <f>IFERROR(__xludf.DUMMYFUNCTION("GOOGLETRANSLATE(A2042, ""ar"", ""bn"")"),"রাজনীতিবিদরা")</f>
        <v>রাজনীতিবিদরা</v>
      </c>
    </row>
    <row r="2043">
      <c r="A2043" s="2" t="s">
        <v>2127</v>
      </c>
      <c r="B2043" s="3" t="str">
        <f>IFERROR(__xludf.DUMMYFUNCTION("GOOGLETRANSLATE(A2043, ""ar"", ""bn"")"),"Amtaleg বন্দীদের মুক্তি")</f>
        <v>Amtaleg বন্দীদের মুক্তি</v>
      </c>
    </row>
    <row r="2044">
      <c r="A2044" s="2" t="s">
        <v>229</v>
      </c>
      <c r="B2044" s="3" t="str">
        <f>IFERROR(__xludf.DUMMYFUNCTION("GOOGLETRANSLATE(A2044, ""ar"", ""bn"")"),"রাজনীতিবিদরা")</f>
        <v>রাজনীতিবিদরা</v>
      </c>
    </row>
    <row r="2045">
      <c r="A2045" s="2" t="s">
        <v>2128</v>
      </c>
      <c r="B2045" s="3" t="str">
        <f>IFERROR(__xludf.DUMMYFUNCTION("GOOGLETRANSLATE(A2045, ""ar"", ""bn"")"),"এম জরুরী ত্রাণ সমন্বয়কারী")</f>
        <v>এম জরুরী ত্রাণ সমন্বয়কারী</v>
      </c>
    </row>
    <row r="2046">
      <c r="A2046" s="2" t="s">
        <v>2129</v>
      </c>
      <c r="B2046" s="3" t="str">
        <f>IFERROR(__xludf.DUMMYFUNCTION("GOOGLETRANSLATE(A2046, ""ar"", ""bn"")"),"ত্রাণ অপারেশন")</f>
        <v>ত্রাণ অপারেশন</v>
      </c>
    </row>
    <row r="2047">
      <c r="A2047" s="2" t="s">
        <v>2130</v>
      </c>
      <c r="B2047" s="3" t="str">
        <f>IFERROR(__xludf.DUMMYFUNCTION("GOOGLETRANSLATE(A2047, ""ar"", ""bn"")"),"এইচ লোয়ার ধর্ম")</f>
        <v>এইচ লোয়ার ধর্ম</v>
      </c>
    </row>
    <row r="2048">
      <c r="A2048" s="2" t="s">
        <v>2131</v>
      </c>
      <c r="B2048" s="3" t="str">
        <f>IFERROR(__xludf.DUMMYFUNCTION("GOOGLETRANSLATE(A2048, ""ar"", ""bn"")"),"ধর্মীয় সহনশীলতা")</f>
        <v>ধর্মীয় সহনশীলতা</v>
      </c>
    </row>
    <row r="2049">
      <c r="A2049" s="2" t="s">
        <v>2132</v>
      </c>
      <c r="B2049" s="3" t="str">
        <f>IFERROR(__xludf.DUMMYFUNCTION("GOOGLETRANSLATE(A2049, ""ar"", ""bn"")"),"কাজ কর্ম বিতরণ")</f>
        <v>কাজ কর্ম বিতরণ</v>
      </c>
    </row>
    <row r="2050">
      <c r="A2050" s="2" t="s">
        <v>468</v>
      </c>
      <c r="B2050" s="3" t="str">
        <f>IFERROR(__xludf.DUMMYFUNCTION("GOOGLETRANSLATE(A2050, ""ar"", ""bn"")"),"রাজনৈতিক")</f>
        <v>রাজনৈতিক</v>
      </c>
    </row>
    <row r="2051">
      <c r="A2051" s="2" t="s">
        <v>2133</v>
      </c>
      <c r="B2051" s="3" t="str">
        <f>IFERROR(__xludf.DUMMYFUNCTION("GOOGLETRANSLATE(A2051, ""ar"", ""bn"")"),"Amaid বাড়িতে")</f>
        <v>Amaid বাড়িতে</v>
      </c>
    </row>
    <row r="2052">
      <c r="A2052" s="2" t="s">
        <v>2134</v>
      </c>
      <c r="B2052" s="3" t="str">
        <f>IFERROR(__xludf.DUMMYFUNCTION("GOOGLETRANSLATE(A2052, ""ar"", ""bn"")"),"উদ্বাস্তুদের পুনর্বাসন")</f>
        <v>উদ্বাস্তুদের পুনর্বাসন</v>
      </c>
    </row>
    <row r="2053">
      <c r="A2053" s="2" t="s">
        <v>2135</v>
      </c>
      <c r="B2053" s="3" t="str">
        <f>IFERROR(__xludf.DUMMYFUNCTION("GOOGLETRANSLATE(A2053, ""ar"", ""bn"")"),"সংবাদদাতা")</f>
        <v>সংবাদদাতা</v>
      </c>
    </row>
    <row r="2054">
      <c r="A2054" s="2" t="s">
        <v>2136</v>
      </c>
      <c r="B2054" s="3" t="str">
        <f>IFERROR(__xludf.DUMMYFUNCTION("GOOGLETRANSLATE(A2054, ""ar"", ""bn"")"),"Ammt ক্ষমতা")</f>
        <v>Ammt ক্ষমতা</v>
      </c>
    </row>
    <row r="2055">
      <c r="A2055" s="2" t="s">
        <v>2137</v>
      </c>
      <c r="B2055" s="3" t="str">
        <f>IFERROR(__xludf.DUMMYFUNCTION("GOOGLETRANSLATE(A2055, ""ar"", ""bn"")"),"প্রতিনিধিত্বমূলক সরকার")</f>
        <v>প্রতিনিধিত্বমূলক সরকার</v>
      </c>
    </row>
    <row r="2056">
      <c r="A2056" s="2" t="s">
        <v>2138</v>
      </c>
      <c r="B2056" s="3" t="str">
        <f>IFERROR(__xludf.DUMMYFUNCTION("GOOGLETRANSLATE(A2056, ""ar"", ""bn"")"),"শুষে অস্থিরতা")</f>
        <v>শুষে অস্থিরতা</v>
      </c>
    </row>
    <row r="2057">
      <c r="A2057" s="2" t="s">
        <v>2139</v>
      </c>
      <c r="B2057" s="3" t="str">
        <f>IFERROR(__xludf.DUMMYFUNCTION("GOOGLETRANSLATE(A2057, ""ar"", ""bn"")"),"মন্তব্য করা থেকে বিরত থাকুন")</f>
        <v>মন্তব্য করা থেকে বিরত থাকুন</v>
      </c>
    </row>
    <row r="2058">
      <c r="A2058" s="2" t="s">
        <v>2140</v>
      </c>
      <c r="B2058" s="3" t="str">
        <f>IFERROR(__xludf.DUMMYFUNCTION("GOOGLETRANSLATE(A2058, ""ar"", ""bn"")"),"প্রতিরোধের দমন")</f>
        <v>প্রতিরোধের দমন</v>
      </c>
    </row>
    <row r="2059">
      <c r="A2059" s="2" t="s">
        <v>2141</v>
      </c>
      <c r="B2059" s="3" t="str">
        <f>IFERROR(__xludf.DUMMYFUNCTION("GOOGLETRANSLATE(A2059, ""ar"", ""bn"")"),"শুষে বিরোধী")</f>
        <v>শুষে বিরোধী</v>
      </c>
    </row>
    <row r="2060">
      <c r="A2060" s="2" t="s">
        <v>2142</v>
      </c>
      <c r="B2060" s="3" t="str">
        <f>IFERROR(__xludf.DUMMYFUNCTION("GOOGLETRANSLATE(A2060, ""ar"", ""bn"")"),"প্রতিশোধ ঘটনা")</f>
        <v>প্রতিশোধ ঘটনা</v>
      </c>
    </row>
    <row r="2061">
      <c r="A2061" s="2" t="s">
        <v>2143</v>
      </c>
      <c r="B2061" s="3" t="str">
        <f>IFERROR(__xludf.DUMMYFUNCTION("GOOGLETRANSLATE(A2061, ""ar"", ""bn"")"),"প্রজাতন্ত্র")</f>
        <v>প্রজাতন্ত্র</v>
      </c>
    </row>
    <row r="2062">
      <c r="A2062" s="2" t="s">
        <v>2144</v>
      </c>
      <c r="B2062" s="3" t="str">
        <f>IFERROR(__xludf.DUMMYFUNCTION("GOOGLETRANSLATE(A2062, ""ar"", ""bn"")"),"সরকারের রিপাবলিকান ফর্ম")</f>
        <v>সরকারের রিপাবলিকান ফর্ম</v>
      </c>
    </row>
    <row r="2063">
      <c r="A2063" s="2" t="s">
        <v>2145</v>
      </c>
      <c r="B2063" s="3" t="str">
        <f>IFERROR(__xludf.DUMMYFUNCTION("GOOGLETRANSLATE(A2063, ""ar"", ""bn"")"),"রিপাবলিকান অন্তর্ভুক্তি")</f>
        <v>রিপাবলিকান অন্তর্ভুক্তি</v>
      </c>
    </row>
    <row r="2064">
      <c r="A2064" s="2" t="s">
        <v>2146</v>
      </c>
      <c r="B2064" s="3" t="str">
        <f>IFERROR(__xludf.DUMMYFUNCTION("GOOGLETRANSLATE(A2064, ""ar"", ""bn"")"),"রিপাবলিকান ফরমান")</f>
        <v>রিপাবলিকান ফরমান</v>
      </c>
    </row>
    <row r="2065">
      <c r="A2065" s="2" t="s">
        <v>2147</v>
      </c>
      <c r="B2065" s="3" t="str">
        <f>IFERROR(__xludf.DUMMYFUNCTION("GOOGLETRANSLATE(A2065, ""ar"", ""bn"")"),"প্রজাতন্ত্রের সরকারি")</f>
        <v>প্রজাতন্ত্রের সরকারি</v>
      </c>
    </row>
    <row r="2066">
      <c r="A2066" s="2" t="s">
        <v>2148</v>
      </c>
      <c r="B2066" s="3" t="str">
        <f>IFERROR(__xludf.DUMMYFUNCTION("GOOGLETRANSLATE(A2066, ""ar"", ""bn"")"),"রিপাবলিকান পার্টি")</f>
        <v>রিপাবলিকান পার্টি</v>
      </c>
    </row>
    <row r="2067">
      <c r="A2067" s="2" t="s">
        <v>2149</v>
      </c>
      <c r="B2067" s="3" t="str">
        <f>IFERROR(__xludf.DUMMYFUNCTION("GOOGLETRANSLATE(A2067, ""ar"", ""bn"")"),"প্রায় ইয়ে প্রয়োজনীয়")</f>
        <v>প্রায় ইয়ে প্রয়োজনীয়</v>
      </c>
    </row>
    <row r="2068">
      <c r="A2068" s="2" t="s">
        <v>2150</v>
      </c>
      <c r="B2068" s="3" t="str">
        <f>IFERROR(__xludf.DUMMYFUNCTION("GOOGLETRANSLATE(A2068, ""ar"", ""bn"")"),"যুদ্ধের Amenkz বন্দীদের")</f>
        <v>যুদ্ধের Amenkz বন্দীদের</v>
      </c>
    </row>
    <row r="2069">
      <c r="A2069" s="2" t="s">
        <v>2151</v>
      </c>
      <c r="B2069" s="3" t="str">
        <f>IFERROR(__xludf.DUMMYFUNCTION("GOOGLETRANSLATE(A2069, ""ar"", ""bn"")"),"মিউজিয়াম সিদ্ধান্ত জে")</f>
        <v>মিউজিয়াম সিদ্ধান্ত জে</v>
      </c>
    </row>
    <row r="2070">
      <c r="A2070" s="2" t="s">
        <v>2152</v>
      </c>
      <c r="B2070" s="3" t="str">
        <f>IFERROR(__xludf.DUMMYFUNCTION("GOOGLETRANSLATE(A2070, ""ar"", ""bn"")"),"সংরক্ষিতভাবে")</f>
        <v>সংরক্ষিতভাবে</v>
      </c>
    </row>
    <row r="2071">
      <c r="A2071" s="2" t="s">
        <v>2153</v>
      </c>
      <c r="B2071" s="3" t="str">
        <f>IFERROR(__xludf.DUMMYFUNCTION("GOOGLETRANSLATE(A2071, ""ar"", ""bn"")"),"দেশে থাকতে")</f>
        <v>দেশে থাকতে</v>
      </c>
    </row>
    <row r="2072">
      <c r="A2072" s="2" t="s">
        <v>2154</v>
      </c>
      <c r="B2072" s="3" t="str">
        <f>IFERROR(__xludf.DUMMYFUNCTION("GOOGLETRANSLATE(A2072, ""ar"", ""bn"")"),"বসবাসের স্থান")</f>
        <v>বসবাসের স্থান</v>
      </c>
    </row>
    <row r="2073">
      <c r="A2073" s="2" t="s">
        <v>2155</v>
      </c>
      <c r="B2073" s="3" t="str">
        <f>IFERROR(__xludf.DUMMYFUNCTION("GOOGLETRANSLATE(A2073, ""ar"", ""bn"")"),"Amquaom রাজনৈতিক চাপ")</f>
        <v>Amquaom রাজনৈতিক চাপ</v>
      </c>
    </row>
    <row r="2074">
      <c r="A2074" s="2" t="s">
        <v>2156</v>
      </c>
      <c r="B2074" s="3" t="str">
        <f>IFERROR(__xludf.DUMMYFUNCTION("GOOGLETRANSLATE(A2074, ""ar"", ""bn"")"),"Amquaom রাজনৈতিক দমন")</f>
        <v>Amquaom রাজনৈতিক দমন</v>
      </c>
    </row>
    <row r="2075">
      <c r="A2075" s="2" t="s">
        <v>2157</v>
      </c>
      <c r="B2075" s="3" t="str">
        <f>IFERROR(__xludf.DUMMYFUNCTION("GOOGLETRANSLATE(A2075, ""ar"", ""bn"")"),"প্রতিরোধ আন্দোলন")</f>
        <v>প্রতিরোধ আন্দোলন</v>
      </c>
    </row>
    <row r="2076">
      <c r="A2076" s="2" t="s">
        <v>2158</v>
      </c>
      <c r="B2076" s="3" t="str">
        <f>IFERROR(__xludf.DUMMYFUNCTION("GOOGLETRANSLATE(A2076, ""ar"", ""bn"")"),"যে শ্রদ্ধা সাংস্কৃতিক ইস নিন")</f>
        <v>যে শ্রদ্ধা সাংস্কৃতিক ইস নিন</v>
      </c>
    </row>
    <row r="2077">
      <c r="A2077" s="2" t="s">
        <v>2159</v>
      </c>
      <c r="B2077" s="3" t="str">
        <f>IFERROR(__xludf.DUMMYFUNCTION("GOOGLETRANSLATE(A2077, ""ar"", ""bn"")"),"মানুষের মর্যাদা জন্য সম্মান")</f>
        <v>মানুষের মর্যাদা জন্য সম্মান</v>
      </c>
    </row>
    <row r="2078">
      <c r="A2078" s="2" t="s">
        <v>2160</v>
      </c>
      <c r="B2078" s="3" t="str">
        <f>IFERROR(__xludf.DUMMYFUNCTION("GOOGLETRANSLATE(A2078, ""ar"", ""bn"")"),"আকাঙ্খার সাড়া")</f>
        <v>আকাঙ্খার সাড়া</v>
      </c>
    </row>
    <row r="2079">
      <c r="A2079" s="2" t="s">
        <v>350</v>
      </c>
      <c r="B2079" s="3" t="str">
        <f>IFERROR(__xludf.DUMMYFUNCTION("GOOGLETRANSLATE(A2079, ""ar"", ""bn"")"),"পিপলস")</f>
        <v>পিপলস</v>
      </c>
    </row>
    <row r="2080">
      <c r="A2080" s="2" t="s">
        <v>2161</v>
      </c>
      <c r="B2080" s="3" t="str">
        <f>IFERROR(__xludf.DUMMYFUNCTION("GOOGLETRANSLATE(A2080, ""ar"", ""bn"")"),"তথ্য সূত্র জন্য দায়ী")</f>
        <v>তথ্য সূত্র জন্য দায়ী</v>
      </c>
    </row>
    <row r="2081">
      <c r="A2081" s="2" t="s">
        <v>2162</v>
      </c>
      <c r="B2081" s="3" t="str">
        <f>IFERROR(__xludf.DUMMYFUNCTION("GOOGLETRANSLATE(A2081, ""ar"", ""bn"")"),"পুনরুদ্ধার করুন স্বাধীনতা")</f>
        <v>পুনরুদ্ধার করুন স্বাধীনতা</v>
      </c>
    </row>
    <row r="2082">
      <c r="A2082" s="2" t="s">
        <v>2163</v>
      </c>
      <c r="B2082" s="3" t="str">
        <f>IFERROR(__xludf.DUMMYFUNCTION("GOOGLETRANSLATE(A2082, ""ar"", ""bn"")"),"শান্তি আলোচনা পুনরুজ্জীবিত")</f>
        <v>শান্তি আলোচনা পুনরুজ্জীবিত</v>
      </c>
    </row>
    <row r="2083">
      <c r="A2083" s="2" t="s">
        <v>2164</v>
      </c>
      <c r="B2083" s="3" t="str">
        <f>IFERROR(__xludf.DUMMYFUNCTION("GOOGLETRANSLATE(A2083, ""ar"", ""bn"")"),"গু ডেটা দমন")</f>
        <v>গু ডেটা দমন</v>
      </c>
    </row>
    <row r="2084">
      <c r="A2084" s="2" t="s">
        <v>2165</v>
      </c>
      <c r="B2084" s="3" t="str">
        <f>IFERROR(__xludf.DUMMYFUNCTION("GOOGLETRANSLATE(A2084, ""ar"", ""bn"")"),"Dah এলাকায় evaluator")</f>
        <v>Dah এলাকায় evaluator</v>
      </c>
    </row>
    <row r="2085">
      <c r="A2085" s="2" t="s">
        <v>2166</v>
      </c>
      <c r="B2085" s="3" t="str">
        <f>IFERROR(__xludf.DUMMYFUNCTION("GOOGLETRANSLATE(A2085, ""ar"", ""bn"")"),"বিতর্ক এবং সমালোচনার স্বাধীনতা সীমাবদ্ধ")</f>
        <v>বিতর্ক এবং সমালোচনার স্বাধীনতা সীমাবদ্ধ</v>
      </c>
    </row>
    <row r="2086">
      <c r="A2086" s="2" t="s">
        <v>2167</v>
      </c>
      <c r="B2086" s="3" t="str">
        <f>IFERROR(__xludf.DUMMYFUNCTION("GOOGLETRANSLATE(A2086, ""ar"", ""bn"")"),"স্বাধীনতা সীমাবদ্ধতা")</f>
        <v>স্বাধীনতা সীমাবদ্ধতা</v>
      </c>
    </row>
    <row r="2087">
      <c r="A2087" s="2" t="s">
        <v>2168</v>
      </c>
      <c r="B2087" s="3" t="str">
        <f>IFERROR(__xludf.DUMMYFUNCTION("GOOGLETRANSLATE(A2087, ""ar"", ""bn"")"),"বাক্ ও ভাব প্রকাশের স্বাধীনতার সীমাবদ্ধ")</f>
        <v>বাক্ ও ভাব প্রকাশের স্বাধীনতার সীমাবদ্ধ</v>
      </c>
    </row>
    <row r="2088">
      <c r="A2088" s="2" t="s">
        <v>2169</v>
      </c>
      <c r="B2088" s="3" t="str">
        <f>IFERROR(__xludf.DUMMYFUNCTION("GOOGLETRANSLATE(A2088, ""ar"", ""bn"")"),"Amaid সীমান্ত প্রভেদ")</f>
        <v>Amaid সীমান্ত প্রভেদ</v>
      </c>
    </row>
    <row r="2089">
      <c r="A2089" s="2" t="s">
        <v>2170</v>
      </c>
      <c r="B2089" s="3" t="str">
        <f>IFERROR(__xludf.DUMMYFUNCTION("GOOGLETRANSLATE(A2089, ""ar"", ""bn"")"),"অধিকৃত অঞ্চল ফিরে পাওয়া")</f>
        <v>অধিকৃত অঞ্চল ফিরে পাওয়া</v>
      </c>
    </row>
    <row r="2090">
      <c r="A2090" s="2" t="s">
        <v>2171</v>
      </c>
      <c r="B2090" s="3" t="str">
        <f>IFERROR(__xludf.DUMMYFUNCTION("GOOGLETRANSLATE(A2090, ""ar"", ""bn"")"),"পরিস্থিতির গুরুত্ব প্রকাশ করে")</f>
        <v>পরিস্থিতির গুরুত্ব প্রকাশ করে</v>
      </c>
    </row>
    <row r="2091">
      <c r="A2091" s="2" t="s">
        <v>644</v>
      </c>
      <c r="B2091" s="3" t="str">
        <f>IFERROR(__xludf.DUMMYFUNCTION("GOOGLETRANSLATE(A2091, ""ar"", ""bn"")"),"রাজনীতিজ্ঞ")</f>
        <v>রাজনীতিজ্ঞ</v>
      </c>
    </row>
    <row r="2092">
      <c r="A2092" s="2" t="s">
        <v>2172</v>
      </c>
      <c r="B2092" s="3" t="str">
        <f>IFERROR(__xludf.DUMMYFUNCTION("GOOGLETRANSLATE(A2092, ""ar"", ""bn"")"),"পরিস্থিতির বাস্তবতা প্রকাশ করে")</f>
        <v>পরিস্থিতির বাস্তবতা প্রকাশ করে</v>
      </c>
    </row>
    <row r="2093">
      <c r="A2093" s="2" t="s">
        <v>644</v>
      </c>
      <c r="B2093" s="3" t="str">
        <f>IFERROR(__xludf.DUMMYFUNCTION("GOOGLETRANSLATE(A2093, ""ar"", ""bn"")"),"রাজনীতিজ্ঞ")</f>
        <v>রাজনীতিজ্ঞ</v>
      </c>
    </row>
    <row r="2094">
      <c r="A2094" s="2" t="s">
        <v>2173</v>
      </c>
      <c r="B2094" s="3" t="str">
        <f>IFERROR(__xludf.DUMMYFUNCTION("GOOGLETRANSLATE(A2094, ""ar"", ""bn"")"),"ধর্মীয় বিশ্বাসের প্রতি শ্রদ্ধাশীল")</f>
        <v>ধর্মীয় বিশ্বাসের প্রতি শ্রদ্ধাশীল</v>
      </c>
    </row>
    <row r="2095">
      <c r="A2095" s="2" t="s">
        <v>2174</v>
      </c>
      <c r="B2095" s="3" t="str">
        <f>IFERROR(__xludf.DUMMYFUNCTION("GOOGLETRANSLATE(A2095, ""ar"", ""bn"")"),"বিপ্লব")</f>
        <v>বিপ্লব</v>
      </c>
    </row>
    <row r="2096">
      <c r="A2096" s="2" t="s">
        <v>2175</v>
      </c>
      <c r="B2096" s="3" t="str">
        <f>IFERROR(__xludf.DUMMYFUNCTION("GOOGLETRANSLATE(A2096, ""ar"", ""bn"")"),"বিপ্লবী কমান্ড কাউন্সিলের")</f>
        <v>বিপ্লবী কমান্ড কাউন্সিলের</v>
      </c>
    </row>
    <row r="2097">
      <c r="A2097" s="2" t="s">
        <v>2176</v>
      </c>
      <c r="B2097" s="3" t="str">
        <f>IFERROR(__xludf.DUMMYFUNCTION("GOOGLETRANSLATE(A2097, ""ar"", ""bn"")"),"বিপ্লবী কোর্টের")</f>
        <v>বিপ্লবী কোর্টের</v>
      </c>
    </row>
    <row r="2098">
      <c r="A2098" s="2" t="s">
        <v>2177</v>
      </c>
      <c r="B2098" s="3" t="str">
        <f>IFERROR(__xludf.DUMMYFUNCTION("GOOGLETRANSLATE(A2098, ""ar"", ""bn"")"),"বৈপ্লবিক")</f>
        <v>বৈপ্লবিক</v>
      </c>
    </row>
    <row r="2099">
      <c r="A2099" s="2" t="s">
        <v>2178</v>
      </c>
      <c r="B2099" s="3" t="str">
        <f>IFERROR(__xludf.DUMMYFUNCTION("GOOGLETRANSLATE(A2099, ""ar"", ""bn"")"),"আশ্রয়")</f>
        <v>আশ্রয়</v>
      </c>
    </row>
    <row r="2100">
      <c r="A2100" s="2" t="s">
        <v>2179</v>
      </c>
      <c r="B2100" s="3" t="str">
        <f>IFERROR(__xludf.DUMMYFUNCTION("GOOGLETRANSLATE(A2100, ""ar"", ""bn"")"),"এইচ গুলি জারি আদেশ")</f>
        <v>এইচ গুলি জারি আদেশ</v>
      </c>
    </row>
    <row r="2101">
      <c r="A2101" s="2" t="s">
        <v>2180</v>
      </c>
      <c r="B2101" s="3" t="str">
        <f>IFERROR(__xludf.DUMMYFUNCTION("GOOGLETRANSLATE(A2101, ""ar"", ""bn"")"),"ধীরতা ও আলোচনা ডান")</f>
        <v>ধীরতা ও আলোচনা ডান</v>
      </c>
    </row>
    <row r="2102">
      <c r="A2102" s="2" t="s">
        <v>2181</v>
      </c>
      <c r="B2102" s="3" t="str">
        <f>IFERROR(__xludf.DUMMYFUNCTION("GOOGLETRANSLATE(A2102, ""ar"", ""bn"")"),"ভোটিং অধিকার")</f>
        <v>ভোটিং অধিকার</v>
      </c>
    </row>
    <row r="2103">
      <c r="A2103" s="2" t="s">
        <v>2182</v>
      </c>
      <c r="B2103" s="3" t="str">
        <f>IFERROR(__xludf.DUMMYFUNCTION("GOOGLETRANSLATE(A2103, ""ar"", ""bn"")"),"অধিকার অন্য দেশে প্রবেশ করতে")</f>
        <v>অধিকার অন্য দেশে প্রবেশ করতে</v>
      </c>
    </row>
    <row r="2104">
      <c r="A2104" s="2" t="s">
        <v>2183</v>
      </c>
      <c r="B2104" s="3" t="str">
        <f>IFERROR(__xludf.DUMMYFUNCTION("GOOGLETRANSLATE(A2104, ""ar"", ""bn"")"),"একটি জাতি বা অভিভাবকত্ব নেওয়ার অধিকার")</f>
        <v>একটি জাতি বা অভিভাবকত্ব নেওয়ার অধিকার</v>
      </c>
    </row>
    <row r="2105">
      <c r="A2105" s="2" t="s">
        <v>2184</v>
      </c>
      <c r="B2105" s="3" t="str">
        <f>IFERROR(__xludf.DUMMYFUNCTION("GOOGLETRANSLATE(A2105, ""ar"", ""bn"")"),"ক্ষমতা অংশগ্রহণের অধিকার")</f>
        <v>ক্ষমতা অংশগ্রহণের অধিকার</v>
      </c>
    </row>
    <row r="2106">
      <c r="A2106" s="2" t="s">
        <v>2185</v>
      </c>
      <c r="B2106" s="3" t="str">
        <f>IFERROR(__xludf.DUMMYFUNCTION("GOOGLETRANSLATE(A2106, ""ar"", ""bn"")"),"ট্রাফিক অধিকার আঞ্চলিক জমি")</f>
        <v>ট্রাফিক অধিকার আঞ্চলিক জমি</v>
      </c>
    </row>
    <row r="2107">
      <c r="A2107" s="2" t="s">
        <v>2186</v>
      </c>
      <c r="B2107" s="3" t="str">
        <f>IFERROR(__xludf.DUMMYFUNCTION("GOOGLETRANSLATE(A2107, ""ar"", ""bn"")"),"রাইট Altml কে")</f>
        <v>রাইট Altml কে</v>
      </c>
    </row>
    <row r="2108">
      <c r="A2108" s="2" t="s">
        <v>2187</v>
      </c>
      <c r="B2108" s="3" t="str">
        <f>IFERROR(__xludf.DUMMYFUNCTION("GOOGLETRANSLATE(A2108, ""ar"", ""bn"")"),"রাইট Alteras")</f>
        <v>রাইট Alteras</v>
      </c>
    </row>
    <row r="2109">
      <c r="A2109" s="2" t="s">
        <v>2188</v>
      </c>
      <c r="B2109" s="3" t="str">
        <f>IFERROR(__xludf.DUMMYFUNCTION("GOOGLETRANSLATE(A2109, ""ar"", ""bn"")"),"আত্মরক্ষা ডান")</f>
        <v>আত্মরক্ষা ডান</v>
      </c>
    </row>
    <row r="2110">
      <c r="A2110" s="2" t="s">
        <v>2189</v>
      </c>
      <c r="B2110" s="3" t="str">
        <f>IFERROR(__xludf.DUMMYFUNCTION("GOOGLETRANSLATE(A2110, ""ar"", ""bn"")"),"মত প্রকাশ ও বাক অধিকার")</f>
        <v>মত প্রকাশ ও বাক অধিকার</v>
      </c>
    </row>
    <row r="2111">
      <c r="A2111" s="2" t="s">
        <v>2190</v>
      </c>
      <c r="B2111" s="3" t="str">
        <f>IFERROR(__xludf.DUMMYFUNCTION("GOOGLETRANSLATE(A2111, ""ar"", ""bn"")"),"এইচ গুলি ভোটিং")</f>
        <v>এইচ গুলি ভোটিং</v>
      </c>
    </row>
    <row r="2112">
      <c r="A2112" s="2" t="s">
        <v>2191</v>
      </c>
      <c r="B2112" s="3" t="str">
        <f>IFERROR(__xludf.DUMMYFUNCTION("GOOGLETRANSLATE(A2112, ""ar"", ""bn"")"),"ক্ষমা চাওয়ার অধিকার")</f>
        <v>ক্ষমা চাওয়ার অধিকার</v>
      </c>
    </row>
    <row r="2113">
      <c r="A2113" s="2" t="s">
        <v>2192</v>
      </c>
      <c r="B2113" s="3" t="str">
        <f>IFERROR(__xludf.DUMMYFUNCTION("GOOGLETRANSLATE(A2113, ""ar"", ""bn"")"),"সমাবেশ ডান")</f>
        <v>সমাবেশ ডান</v>
      </c>
    </row>
    <row r="2114">
      <c r="A2114" s="2" t="s">
        <v>2193</v>
      </c>
      <c r="B2114" s="3" t="str">
        <f>IFERROR(__xludf.DUMMYFUNCTION("GOOGLETRANSLATE(A2114, ""ar"", ""bn"")"),"এইচ গুলি পরিচিতি")</f>
        <v>এইচ গুলি পরিচিতি</v>
      </c>
    </row>
    <row r="2115">
      <c r="A2115" s="2" t="s">
        <v>2194</v>
      </c>
      <c r="B2115" s="3" t="str">
        <f>IFERROR(__xludf.DUMMYFUNCTION("GOOGLETRANSLATE(A2115, ""ar"", ""bn"")"),"প্রকট অধিকার")</f>
        <v>প্রকট অধিকার</v>
      </c>
    </row>
    <row r="2116">
      <c r="A2116" s="2" t="s">
        <v>2195</v>
      </c>
      <c r="B2116" s="3" t="str">
        <f>IFERROR(__xludf.DUMMYFUNCTION("GOOGLETRANSLATE(A2116, ""ar"", ""bn"")"),"মতামত প্রকাশ ডান")</f>
        <v>মতামত প্রকাশ ডান</v>
      </c>
    </row>
    <row r="2117">
      <c r="A2117" s="2" t="s">
        <v>2196</v>
      </c>
      <c r="B2117" s="3" t="str">
        <f>IFERROR(__xludf.DUMMYFUNCTION("GOOGLETRANSLATE(A2117, ""ar"", ""bn"")"),"কর্তৃপক্ষের কাছে আশ্রয় ডান")</f>
        <v>কর্তৃপক্ষের কাছে আশ্রয় ডান</v>
      </c>
    </row>
    <row r="2118">
      <c r="A2118" s="2" t="s">
        <v>2197</v>
      </c>
      <c r="B2118" s="3" t="str">
        <f>IFERROR(__xludf.DUMMYFUNCTION("GOOGLETRANSLATE(A2118, ""ar"", ""bn"")"),"বিচারসংক্রান্ত")</f>
        <v>বিচারসংক্রান্ত</v>
      </c>
    </row>
    <row r="2119">
      <c r="A2119" s="2" t="s">
        <v>2198</v>
      </c>
      <c r="B2119" s="3" t="str">
        <f>IFERROR(__xludf.DUMMYFUNCTION("GOOGLETRANSLATE(A2119, ""ar"", ""bn"")"),"বিচারের আশ্রয় ডান")</f>
        <v>বিচারের আশ্রয় ডান</v>
      </c>
    </row>
    <row r="2120">
      <c r="A2120" s="2" t="s">
        <v>2199</v>
      </c>
      <c r="B2120" s="3" t="str">
        <f>IFERROR(__xludf.DUMMYFUNCTION("GOOGLETRANSLATE(A2120, ""ar"", ""bn"")"),"পরিষেবার করতে ব্যবহার করার অধিকার")</f>
        <v>পরিষেবার করতে ব্যবহার করার অধিকার</v>
      </c>
    </row>
    <row r="2121">
      <c r="A2121" s="2" t="s">
        <v>2200</v>
      </c>
      <c r="B2121" s="3" t="str">
        <f>IFERROR(__xludf.DUMMYFUNCTION("GOOGLETRANSLATE(A2121, ""ar"", ""bn"")"),"স্বাস্থ্য")</f>
        <v>স্বাস্থ্য</v>
      </c>
    </row>
    <row r="2122">
      <c r="A2122" s="2" t="s">
        <v>2201</v>
      </c>
      <c r="B2122" s="3" t="str">
        <f>IFERROR(__xludf.DUMMYFUNCTION("GOOGLETRANSLATE(A2122, ""ar"", ""bn"")"),"আপগ্রেড করার অধিকার")</f>
        <v>আপগ্রেড করার অধিকার</v>
      </c>
    </row>
    <row r="2123">
      <c r="A2123" s="2" t="s">
        <v>2199</v>
      </c>
      <c r="B2123" s="3" t="str">
        <f>IFERROR(__xludf.DUMMYFUNCTION("GOOGLETRANSLATE(A2123, ""ar"", ""bn"")"),"পরিষেবার করতে ব্যবহার করার অধিকার")</f>
        <v>পরিষেবার করতে ব্যবহার করার অধিকার</v>
      </c>
    </row>
    <row r="2124">
      <c r="A2124" s="2" t="s">
        <v>2202</v>
      </c>
      <c r="B2124" s="3" t="str">
        <f>IFERROR(__xludf.DUMMYFUNCTION("GOOGLETRANSLATE(A2124, ""ar"", ""bn"")"),"সামাজিক")</f>
        <v>সামাজিক</v>
      </c>
    </row>
    <row r="2125">
      <c r="A2125" s="2" t="s">
        <v>2203</v>
      </c>
      <c r="B2125" s="3" t="str">
        <f>IFERROR(__xludf.DUMMYFUNCTION("GOOGLETRANSLATE(A2125, ""ar"", ""bn"")"),"উদ্যোগের অধিকার")</f>
        <v>উদ্যোগের অধিকার</v>
      </c>
    </row>
    <row r="2126">
      <c r="A2126" s="2" t="s">
        <v>2204</v>
      </c>
      <c r="B2126" s="3" t="str">
        <f>IFERROR(__xludf.DUMMYFUNCTION("GOOGLETRANSLATE(A2126, ""ar"", ""bn"")"),"অধিকার")</f>
        <v>অধিকার</v>
      </c>
    </row>
    <row r="2127">
      <c r="A2127" s="2" t="s">
        <v>2205</v>
      </c>
      <c r="B2127" s="3" t="str">
        <f>IFERROR(__xludf.DUMMYFUNCTION("GOOGLETRANSLATE(A2127, ""ar"", ""bn"")"),"ডানপন্থী দলগুলোর")</f>
        <v>ডানপন্থী দলগুলোর</v>
      </c>
    </row>
    <row r="2128">
      <c r="A2128" s="2" t="s">
        <v>2206</v>
      </c>
      <c r="B2128" s="3" t="str">
        <f>IFERROR(__xludf.DUMMYFUNCTION("GOOGLETRANSLATE(A2128, ""ar"", ""bn"")"),"ডানপন্থী রাজনীতিক")</f>
        <v>ডানপন্থী রাজনীতিক</v>
      </c>
    </row>
    <row r="2129">
      <c r="A2129" s="2" t="s">
        <v>2207</v>
      </c>
      <c r="B2129" s="3" t="str">
        <f>IFERROR(__xludf.DUMMYFUNCTION("GOOGLETRANSLATE(A2129, ""ar"", ""bn"")"),"কঠোর সংবিধান")</f>
        <v>কঠোর সংবিধান</v>
      </c>
    </row>
    <row r="2130">
      <c r="A2130" s="2" t="s">
        <v>2208</v>
      </c>
      <c r="B2130" s="3" t="str">
        <f>IFERROR(__xludf.DUMMYFUNCTION("GOOGLETRANSLATE(A2130, ""ar"", ""bn"")"),"কাটা বন্ধন ঝুঁকি")</f>
        <v>কাটা বন্ধন ঝুঁকি</v>
      </c>
    </row>
    <row r="2131">
      <c r="A2131" s="2" t="s">
        <v>262</v>
      </c>
      <c r="B2131" s="3" t="str">
        <f>IFERROR(__xludf.DUMMYFUNCTION("GOOGLETRANSLATE(A2131, ""ar"", ""bn"")"),"কূটনীতি")</f>
        <v>কূটনীতি</v>
      </c>
    </row>
    <row r="2132">
      <c r="A2132" s="2" t="s">
        <v>2209</v>
      </c>
      <c r="B2132" s="3" t="str">
        <f>IFERROR(__xludf.DUMMYFUNCTION("GOOGLETRANSLATE(A2132, ""ar"", ""bn"")"),"বিশ্ব শান্তির জন্য বিপদ")</f>
        <v>বিশ্ব শান্তির জন্য বিপদ</v>
      </c>
    </row>
    <row r="2133">
      <c r="A2133" s="2" t="s">
        <v>2210</v>
      </c>
      <c r="B2133" s="3" t="str">
        <f>IFERROR(__xludf.DUMMYFUNCTION("GOOGLETRANSLATE(A2133, ""ar"", ""bn"")"),"রকেট")</f>
        <v>রকেট</v>
      </c>
    </row>
    <row r="2134">
      <c r="A2134" s="2" t="s">
        <v>2211</v>
      </c>
      <c r="B2134" s="3" t="str">
        <f>IFERROR(__xludf.DUMMYFUNCTION("GOOGLETRANSLATE(A2134, ""ar"", ""bn"")"),"রকেট হামলার")</f>
        <v>রকেট হামলার</v>
      </c>
    </row>
    <row r="2135">
      <c r="A2135" s="2" t="s">
        <v>2212</v>
      </c>
      <c r="B2135" s="3" t="str">
        <f>IFERROR(__xludf.DUMMYFUNCTION("GOOGLETRANSLATE(A2135, ""ar"", ""bn"")"),"রাজনৈতিক দলগুলো ভূমিকা")</f>
        <v>রাজনৈতিক দলগুলো ভূমিকা</v>
      </c>
    </row>
    <row r="2136">
      <c r="A2136" s="2" t="s">
        <v>2213</v>
      </c>
      <c r="B2136" s="3" t="str">
        <f>IFERROR(__xludf.DUMMYFUNCTION("GOOGLETRANSLATE(A2136, ""ar"", ""bn"")"),"সরকার")</f>
        <v>সরকার</v>
      </c>
    </row>
    <row r="2137">
      <c r="A2137" s="2" t="s">
        <v>2214</v>
      </c>
      <c r="B2137" s="3" t="str">
        <f>IFERROR(__xludf.DUMMYFUNCTION("GOOGLETRANSLATE(A2137, ""ar"", ""bn"")"),"আবর্তিত রাষ্ট্রপতি")</f>
        <v>আবর্তিত রাষ্ট্রপতি</v>
      </c>
    </row>
    <row r="2138">
      <c r="A2138" s="2" t="s">
        <v>2215</v>
      </c>
      <c r="B2138" s="3" t="str">
        <f>IFERROR(__xludf.DUMMYFUNCTION("GOOGLETRANSLATE(A2138, ""ar"", ""bn"")"),"রাউন্ড টেবিল সভা")</f>
        <v>রাউন্ড টেবিল সভা</v>
      </c>
    </row>
    <row r="2139">
      <c r="A2139" s="2" t="s">
        <v>2216</v>
      </c>
      <c r="B2139" s="3" t="str">
        <f>IFERROR(__xludf.DUMMYFUNCTION("GOOGLETRANSLATE(A2139, ""ar"", ""bn"")"),"Mtjo রাষ্ট্রদূত")</f>
        <v>Mtjo রাষ্ট্রদূত</v>
      </c>
    </row>
    <row r="2140">
      <c r="A2140" s="2" t="s">
        <v>2217</v>
      </c>
      <c r="B2140" s="3" t="str">
        <f>IFERROR(__xludf.DUMMYFUNCTION("GOOGLETRANSLATE(A2140, ""ar"", ""bn"")"),"রয়েল সন্মান অনুষ্ঠান")</f>
        <v>রয়েল সন্মান অনুষ্ঠান</v>
      </c>
    </row>
    <row r="2141">
      <c r="A2141" s="2" t="s">
        <v>2218</v>
      </c>
      <c r="B2141" s="3" t="str">
        <f>IFERROR(__xludf.DUMMYFUNCTION("GOOGLETRANSLATE(A2141, ""ar"", ""bn"")"),"এটা তোলে ঘটনাচক্র রিভিউ")</f>
        <v>এটা তোলে ঘটনাচক্র রিভিউ</v>
      </c>
    </row>
    <row r="2142">
      <c r="A2142" s="2" t="s">
        <v>2219</v>
      </c>
      <c r="B2142" s="3" t="str">
        <f>IFERROR(__xludf.DUMMYFUNCTION("GOOGLETRANSLATE(A2142, ""ar"", ""bn"")"),"রাজনৈতিক ঘটনা পর্যালোচনা")</f>
        <v>রাজনৈতিক ঘটনা পর্যালোচনা</v>
      </c>
    </row>
    <row r="2143">
      <c r="A2143" s="2" t="s">
        <v>2220</v>
      </c>
      <c r="B2143" s="3" t="str">
        <f>IFERROR(__xludf.DUMMYFUNCTION("GOOGLETRANSLATE(A2143, ""ar"", ""bn"")"),"চলমান রাজনৈতিক ঘটনা")</f>
        <v>চলমান রাজনৈতিক ঘটনা</v>
      </c>
    </row>
    <row r="2144">
      <c r="A2144" s="2" t="s">
        <v>2221</v>
      </c>
      <c r="B2144" s="3" t="str">
        <f>IFERROR(__xludf.DUMMYFUNCTION("GOOGLETRANSLATE(A2144, ""ar"", ""bn"")"),"কাটা আলোচনার")</f>
        <v>কাটা আলোচনার</v>
      </c>
    </row>
    <row r="2145">
      <c r="A2145" s="2" t="s">
        <v>262</v>
      </c>
      <c r="B2145" s="3" t="str">
        <f>IFERROR(__xludf.DUMMYFUNCTION("GOOGLETRANSLATE(A2145, ""ar"", ""bn"")"),"কূটনীতি")</f>
        <v>কূটনীতি</v>
      </c>
    </row>
    <row r="2146">
      <c r="A2146" s="2" t="s">
        <v>2222</v>
      </c>
      <c r="B2146" s="3" t="str">
        <f>IFERROR(__xludf.DUMMYFUNCTION("GOOGLETRANSLATE(A2146, ""ar"", ""bn"")"),"কূটনৈতিক সম্পর্কের বিচ্ছেদ")</f>
        <v>কূটনৈতিক সম্পর্কের বিচ্ছেদ</v>
      </c>
    </row>
    <row r="2147">
      <c r="A2147" s="2" t="s">
        <v>2223</v>
      </c>
      <c r="B2147" s="3" t="str">
        <f>IFERROR(__xludf.DUMMYFUNCTION("GOOGLETRANSLATE(A2147, ""ar"", ""bn"")"),"অতর্কিত আক্রমণ")</f>
        <v>অতর্কিত আক্রমণ</v>
      </c>
    </row>
    <row r="2148">
      <c r="A2148" s="2" t="s">
        <v>2224</v>
      </c>
      <c r="B2148" s="3" t="str">
        <f>IFERROR(__xludf.DUMMYFUNCTION("GOOGLETRANSLATE(A2148, ""ar"", ""bn"")"),"সরকারী সুবিধা ধ্বংস")</f>
        <v>সরকারী সুবিধা ধ্বংস</v>
      </c>
    </row>
    <row r="2149">
      <c r="A2149" s="2" t="s">
        <v>2225</v>
      </c>
      <c r="B2149" s="3" t="str">
        <f>IFERROR(__xludf.DUMMYFUNCTION("GOOGLETRANSLATE(A2149, ""ar"", ""bn"")"),"পবিত্র জাতীয় দায়িত্ব")</f>
        <v>পবিত্র জাতীয় দায়িত্ব</v>
      </c>
    </row>
    <row r="2150">
      <c r="A2150" s="2" t="s">
        <v>2226</v>
      </c>
      <c r="B2150" s="3" t="str">
        <f>IFERROR(__xludf.DUMMYFUNCTION("GOOGLETRANSLATE(A2150, ""ar"", ""bn"")"),"এটা রাষ্ট্র রক্ষা করে")</f>
        <v>এটা রাষ্ট্র রক্ষা করে</v>
      </c>
    </row>
    <row r="2151">
      <c r="A2151" s="2" t="s">
        <v>2227</v>
      </c>
      <c r="B2151" s="3" t="str">
        <f>IFERROR(__xludf.DUMMYFUNCTION("GOOGLETRANSLATE(A2151, ""ar"", ""bn"")"),"রক্ষা")</f>
        <v>রক্ষা</v>
      </c>
    </row>
    <row r="2152">
      <c r="A2152" s="2" t="s">
        <v>2228</v>
      </c>
      <c r="B2152" s="3" t="str">
        <f>IFERROR(__xludf.DUMMYFUNCTION("GOOGLETRANSLATE(A2152, ""ar"", ""bn"")"),"বেসামরিক রক্ষা করে")</f>
        <v>বেসামরিক রক্ষা করে</v>
      </c>
    </row>
    <row r="2153">
      <c r="A2153" s="2" t="s">
        <v>2229</v>
      </c>
      <c r="B2153" s="3" t="str">
        <f>IFERROR(__xludf.DUMMYFUNCTION("GOOGLETRANSLATE(A2153, ""ar"", ""bn"")"),"এটা তোলে স্বদেশ রক্ষা করে")</f>
        <v>এটা তোলে স্বদেশ রক্ষা করে</v>
      </c>
    </row>
    <row r="2154">
      <c r="A2154" s="2" t="s">
        <v>2230</v>
      </c>
      <c r="B2154" s="3" t="str">
        <f>IFERROR(__xludf.DUMMYFUNCTION("GOOGLETRANSLATE(A2154, ""ar"", ""bn"")"),"বেসামরিক সংরক্ষণ")</f>
        <v>বেসামরিক সংরক্ষণ</v>
      </c>
    </row>
    <row r="2155">
      <c r="A2155" s="2" t="s">
        <v>2231</v>
      </c>
      <c r="B2155" s="3" t="str">
        <f>IFERROR(__xludf.DUMMYFUNCTION("GOOGLETRANSLATE(A2155, ""ar"", ""bn"")"),"জমির প্রোটেকশন")</f>
        <v>জমির প্রোটেকশন</v>
      </c>
    </row>
    <row r="2156">
      <c r="A2156" s="2" t="s">
        <v>2232</v>
      </c>
      <c r="B2156" s="3" t="str">
        <f>IFERROR(__xludf.DUMMYFUNCTION("GOOGLETRANSLATE(A2156, ""ar"", ""bn"")"),"রেডিও উপগ্রহ দ্বারা")</f>
        <v>রেডিও উপগ্রহ দ্বারা</v>
      </c>
    </row>
    <row r="2157">
      <c r="A2157" s="2" t="s">
        <v>2233</v>
      </c>
      <c r="B2157" s="3" t="str">
        <f>IFERROR(__xludf.DUMMYFUNCTION("GOOGLETRANSLATE(A2157, ""ar"", ""bn"")"),"শিল্প")</f>
        <v>শিল্প</v>
      </c>
    </row>
    <row r="2158">
      <c r="A2158" s="2" t="s">
        <v>2234</v>
      </c>
      <c r="B2158" s="3" t="str">
        <f>IFERROR(__xludf.DUMMYFUNCTION("GOOGLETRANSLATE(A2158, ""ar"", ""bn"")"),"একটি রাজনৈতিক রাষ্ট্র")</f>
        <v>একটি রাজনৈতিক রাষ্ট্র</v>
      </c>
    </row>
    <row r="2159">
      <c r="A2159" s="2" t="s">
        <v>2235</v>
      </c>
      <c r="B2159" s="3" t="str">
        <f>IFERROR(__xludf.DUMMYFUNCTION("GOOGLETRANSLATE(A2159, ""ar"", ""bn"")"),"স্যাটেলাইট টিভি ওয়ার")</f>
        <v>স্যাটেলাইট টিভি ওয়ার</v>
      </c>
    </row>
    <row r="2160">
      <c r="A2160" s="2" t="s">
        <v>2236</v>
      </c>
      <c r="B2160" s="3" t="str">
        <f>IFERROR(__xludf.DUMMYFUNCTION("GOOGLETRANSLATE(A2160, ""ar"", ""bn"")"),"সভ্যতার সেলস")</f>
        <v>সভ্যতার সেলস</v>
      </c>
    </row>
    <row r="2161">
      <c r="A2161" s="2" t="s">
        <v>2237</v>
      </c>
      <c r="B2161" s="3" t="str">
        <f>IFERROR(__xludf.DUMMYFUNCTION("GOOGLETRANSLATE(A2161, ""ar"", ""bn"")"),"গুপ্তচর")</f>
        <v>গুপ্তচর</v>
      </c>
    </row>
    <row r="2162">
      <c r="A2162" s="2" t="s">
        <v>2238</v>
      </c>
      <c r="B2162" s="3" t="str">
        <f>IFERROR(__xludf.DUMMYFUNCTION("GOOGLETRANSLATE(A2162, ""ar"", ""bn"")"),"গুপ্তভোট ঞ")</f>
        <v>গুপ্তভোট ঞ</v>
      </c>
    </row>
    <row r="2163">
      <c r="A2163" s="2" t="s">
        <v>2239</v>
      </c>
      <c r="B2163" s="3" t="str">
        <f>IFERROR(__xludf.DUMMYFUNCTION("GOOGLETRANSLATE(A2163, ""ar"", ""bn"")"),"আলোচনা গোপন দফা")</f>
        <v>আলোচনা গোপন দফা</v>
      </c>
    </row>
    <row r="2164">
      <c r="A2164" s="2" t="s">
        <v>2240</v>
      </c>
      <c r="B2164" s="3" t="str">
        <f>IFERROR(__xludf.DUMMYFUNCTION("GOOGLETRANSLATE(A2164, ""ar"", ""bn"")"),"কূটনৈতিক আলোচনা গোপন")</f>
        <v>কূটনৈতিক আলোচনা গোপন</v>
      </c>
    </row>
    <row r="2165">
      <c r="A2165" s="2" t="s">
        <v>2241</v>
      </c>
      <c r="B2165" s="3" t="str">
        <f>IFERROR(__xludf.DUMMYFUNCTION("GOOGLETRANSLATE(A2165, ""ar"", ""bn"")"),"সিক্রেট মিশন")</f>
        <v>সিক্রেট মিশন</v>
      </c>
    </row>
    <row r="2166">
      <c r="A2166" s="2" t="s">
        <v>2242</v>
      </c>
      <c r="B2166" s="3" t="str">
        <f>IFERROR(__xludf.DUMMYFUNCTION("GOOGLETRANSLATE(A2166, ""ar"", ""bn"")"),"এম গোপন সমঝোতা")</f>
        <v>এম গোপন সমঝোতা</v>
      </c>
    </row>
    <row r="2167">
      <c r="A2167" s="2" t="s">
        <v>2243</v>
      </c>
      <c r="B2167" s="3" t="str">
        <f>IFERROR(__xludf.DUMMYFUNCTION("GOOGLETRANSLATE(A2167, ""ar"", ""bn"")"),"পুলিশ গোপন পুলিশ জে")</f>
        <v>পুলিশ গোপন পুলিশ জে</v>
      </c>
    </row>
    <row r="2168">
      <c r="A2168" s="2" t="s">
        <v>2244</v>
      </c>
      <c r="B2168" s="3" t="str">
        <f>IFERROR(__xludf.DUMMYFUNCTION("GOOGLETRANSLATE(A2168, ""ar"", ""bn"")"),"আমার রিপোর্ট গোপন")</f>
        <v>আমার রিপোর্ট গোপন</v>
      </c>
    </row>
    <row r="2169">
      <c r="A2169" s="2" t="s">
        <v>2245</v>
      </c>
      <c r="B2169" s="3" t="str">
        <f>IFERROR(__xludf.DUMMYFUNCTION("GOOGLETRANSLATE(A2169, ""ar"", ""bn"")"),"সিক্রেট অধিবেশন")</f>
        <v>সিক্রেট অধিবেশন</v>
      </c>
    </row>
    <row r="2170">
      <c r="A2170" s="2" t="s">
        <v>2246</v>
      </c>
      <c r="B2170" s="3" t="str">
        <f>IFERROR(__xludf.DUMMYFUNCTION("GOOGLETRANSLATE(A2170, ""ar"", ""bn"")"),"প্রতিমন্ত্রী")</f>
        <v>প্রতিমন্ত্রী</v>
      </c>
    </row>
    <row r="2171">
      <c r="A2171" s="2" t="s">
        <v>2247</v>
      </c>
      <c r="B2171" s="3" t="str">
        <f>IFERROR(__xludf.DUMMYFUNCTION("GOOGLETRANSLATE(A2171, ""ar"", ""bn"")"),"প্রশ্নঃ শেষ সাম্প্রদায়িক")</f>
        <v>প্রশ্নঃ শেষ সাম্প্রদায়িক</v>
      </c>
    </row>
    <row r="2172">
      <c r="A2172" s="2" t="s">
        <v>2248</v>
      </c>
      <c r="B2172" s="3" t="str">
        <f>IFERROR(__xludf.DUMMYFUNCTION("GOOGLETRANSLATE(A2172, ""ar"", ""bn"")"),"নিরাপত্তা")</f>
        <v>নিরাপত্তা</v>
      </c>
    </row>
    <row r="2173">
      <c r="A2173" s="2" t="s">
        <v>2249</v>
      </c>
      <c r="B2173" s="3" t="str">
        <f>IFERROR(__xludf.DUMMYFUNCTION("GOOGLETRANSLATE(A2173, ""ar"", ""bn"")"),"নিরাপত্তা পরিষদ")</f>
        <v>নিরাপত্তা পরিষদ</v>
      </c>
    </row>
    <row r="2174">
      <c r="A2174" s="2" t="s">
        <v>2250</v>
      </c>
      <c r="B2174" s="3" t="str">
        <f>IFERROR(__xludf.DUMMYFUNCTION("GOOGLETRANSLATE(A2174, ""ar"", ""bn"")"),"চৌকিদার")</f>
        <v>চৌকিদার</v>
      </c>
    </row>
    <row r="2175">
      <c r="A2175" s="2" t="s">
        <v>2251</v>
      </c>
      <c r="B2175" s="3" t="str">
        <f>IFERROR(__xludf.DUMMYFUNCTION("GOOGLETRANSLATE(A2175, ""ar"", ""bn"")"),"সুরক্ষা পদ্ধতিগুলি")</f>
        <v>সুরক্ষা পদ্ধতিগুলি</v>
      </c>
    </row>
    <row r="2176">
      <c r="A2176" s="2" t="s">
        <v>2252</v>
      </c>
      <c r="B2176" s="3" t="str">
        <f>IFERROR(__xludf.DUMMYFUNCTION("GOOGLETRANSLATE(A2176, ""ar"", ""bn"")"),"তথ্য নিরাপত্তা")</f>
        <v>তথ্য নিরাপত্তা</v>
      </c>
    </row>
    <row r="2177">
      <c r="A2177" s="2" t="s">
        <v>2253</v>
      </c>
      <c r="B2177" s="3" t="str">
        <f>IFERROR(__xludf.DUMMYFUNCTION("GOOGLETRANSLATE(A2177, ""ar"", ""bn"")"),"একজন নিরাপত্তা কর্মকর্তা")</f>
        <v>একজন নিরাপত্তা কর্মকর্তা</v>
      </c>
    </row>
    <row r="2178">
      <c r="A2178" s="2" t="s">
        <v>2254</v>
      </c>
      <c r="B2178" s="3" t="str">
        <f>IFERROR(__xludf.DUMMYFUNCTION("GOOGLETRANSLATE(A2178, ""ar"", ""bn"")"),"নিরাপত্তা ব্যবস্থা")</f>
        <v>নিরাপত্তা ব্যবস্থা</v>
      </c>
    </row>
    <row r="2179">
      <c r="A2179" s="2" t="s">
        <v>2255</v>
      </c>
      <c r="B2179" s="3" t="str">
        <f>IFERROR(__xludf.DUMMYFUNCTION("GOOGLETRANSLATE(A2179, ""ar"", ""bn"")"),"দখলদারিত্ব")</f>
        <v>দখলদারিত্ব</v>
      </c>
    </row>
    <row r="2180">
      <c r="A2180" s="2" t="s">
        <v>2256</v>
      </c>
      <c r="B2180" s="3" t="str">
        <f>IFERROR(__xludf.DUMMYFUNCTION("GOOGLETRANSLATE(A2180, ""ar"", ""bn"")"),"একটি স্বেচ্ছাসেবী রাষ্ট্র ভুগা")</f>
        <v>একটি স্বেচ্ছাসেবী রাষ্ট্র ভুগা</v>
      </c>
    </row>
    <row r="2181">
      <c r="A2181" s="2" t="s">
        <v>2257</v>
      </c>
      <c r="B2181" s="3" t="str">
        <f>IFERROR(__xludf.DUMMYFUNCTION("GOOGLETRANSLATE(A2181, ""ar"", ""bn"")"),"আধা-স্বায়ত্তশাসিত রাষ্ট্র")</f>
        <v>আধা-স্বায়ত্তশাসিত রাষ্ট্র</v>
      </c>
    </row>
    <row r="2182">
      <c r="A2182" s="2" t="s">
        <v>2258</v>
      </c>
      <c r="B2182" s="3" t="str">
        <f>IFERROR(__xludf.DUMMYFUNCTION("GOOGLETRANSLATE(A2182, ""ar"", ""bn"")"),"ব্যবস্থাপক সভা")</f>
        <v>ব্যবস্থাপক সভা</v>
      </c>
    </row>
    <row r="2183">
      <c r="A2183" s="2" t="s">
        <v>2259</v>
      </c>
      <c r="B2183" s="3" t="str">
        <f>IFERROR(__xludf.DUMMYFUNCTION("GOOGLETRANSLATE(A2183, ""ar"", ""bn"")"),"শেখ বোর্ডের সিদ্ধান্ত")</f>
        <v>শেখ বোর্ডের সিদ্ধান্ত</v>
      </c>
    </row>
    <row r="2184">
      <c r="A2184" s="2" t="s">
        <v>2260</v>
      </c>
      <c r="B2184" s="3" t="str">
        <f>IFERROR(__xludf.DUMMYFUNCTION("GOOGLETRANSLATE(A2184, ""ar"", ""bn"")"),"সেনেট ডেপুটি")</f>
        <v>সেনেট ডেপুটি</v>
      </c>
    </row>
    <row r="2185">
      <c r="A2185" s="2" t="s">
        <v>2261</v>
      </c>
      <c r="B2185" s="3" t="str">
        <f>IFERROR(__xludf.DUMMYFUNCTION("GOOGLETRANSLATE(A2185, ""ar"", ""bn"")"),"চ্যান্সেলর ইয়েন হেড")</f>
        <v>চ্যান্সেলর ইয়েন হেড</v>
      </c>
    </row>
    <row r="2186">
      <c r="A2186" s="2" t="s">
        <v>2262</v>
      </c>
      <c r="B2186" s="3" t="str">
        <f>IFERROR(__xludf.DUMMYFUNCTION("GOOGLETRANSLATE(A2186, ""ar"", ""bn"")"),"উপদেষ্টা রাষ্ট্রপতি")</f>
        <v>উপদেষ্টা রাষ্ট্রপতি</v>
      </c>
    </row>
    <row r="2187">
      <c r="A2187" s="2" t="s">
        <v>2263</v>
      </c>
      <c r="B2187" s="3" t="str">
        <f>IFERROR(__xludf.DUMMYFUNCTION("GOOGLETRANSLATE(A2187, ""ar"", ""bn"")"),"কাউন্সিল সর্বশ্রেষ্ঠ বয়স সদস্য")</f>
        <v>কাউন্সিল সর্বশ্রেষ্ঠ বয়স সদস্য</v>
      </c>
    </row>
    <row r="2188">
      <c r="A2188" s="2" t="s">
        <v>2264</v>
      </c>
      <c r="B2188" s="3" t="str">
        <f>IFERROR(__xludf.DUMMYFUNCTION("GOOGLETRANSLATE(A2188, ""ar"", ""bn"")"),"ভারতবর্ষের লোকসভা")</f>
        <v>ভারতবর্ষের লোকসভা</v>
      </c>
    </row>
    <row r="2189">
      <c r="A2189" s="2" t="s">
        <v>2265</v>
      </c>
      <c r="B2189" s="3" t="str">
        <f>IFERROR(__xludf.DUMMYFUNCTION("GOOGLETRANSLATE(A2189, ""ar"", ""bn"")"),"সিনিয়র রাজনৈতিক প্রতিনিধিদের")</f>
        <v>সিনিয়র রাজনৈতিক প্রতিনিধিদের</v>
      </c>
    </row>
    <row r="2190">
      <c r="A2190" s="2" t="s">
        <v>2266</v>
      </c>
      <c r="B2190" s="3" t="str">
        <f>IFERROR(__xludf.DUMMYFUNCTION("GOOGLETRANSLATE(A2190, ""ar"", ""bn"")"),"ক্ষমতা বিচ্ছেদ")</f>
        <v>ক্ষমতা বিচ্ছেদ</v>
      </c>
    </row>
    <row r="2191">
      <c r="A2191" s="2" t="s">
        <v>2267</v>
      </c>
      <c r="B2191" s="3" t="str">
        <f>IFERROR(__xludf.DUMMYFUNCTION("GOOGLETRANSLATE(A2191, ""ar"", ""bn"")"),"সরকার")</f>
        <v>সরকার</v>
      </c>
    </row>
    <row r="2192">
      <c r="A2192" s="2" t="s">
        <v>2268</v>
      </c>
      <c r="B2192" s="3" t="str">
        <f>IFERROR(__xludf.DUMMYFUNCTION("GOOGLETRANSLATE(A2192, ""ar"", ""bn"")"),"পক্ষের মধ্যে ক্ষমতার বিচ্ছেদ")</f>
        <v>পক্ষের মধ্যে ক্ষমতার বিচ্ছেদ</v>
      </c>
    </row>
    <row r="2193">
      <c r="A2193" s="2" t="s">
        <v>468</v>
      </c>
      <c r="B2193" s="3" t="str">
        <f>IFERROR(__xludf.DUMMYFUNCTION("GOOGLETRANSLATE(A2193, ""ar"", ""bn"")"),"রাজনৈতিক")</f>
        <v>রাজনৈতিক</v>
      </c>
    </row>
    <row r="2194">
      <c r="A2194" s="2" t="s">
        <v>2269</v>
      </c>
      <c r="B2194" s="3" t="str">
        <f>IFERROR(__xludf.DUMMYFUNCTION("GOOGLETRANSLATE(A2194, ""ar"", ""bn"")"),"ফোর্সেস ডেটার বিচ্ছেদ")</f>
        <v>ফোর্সেস ডেটার বিচ্ছেদ</v>
      </c>
    </row>
    <row r="2195">
      <c r="A2195" s="2" t="s">
        <v>2270</v>
      </c>
      <c r="B2195" s="3" t="str">
        <f>IFERROR(__xludf.DUMMYFUNCTION("GOOGLETRANSLATE(A2195, ""ar"", ""bn"")"),"ক্ষমতা বিচ্ছেদ")</f>
        <v>ক্ষমতা বিচ্ছেদ</v>
      </c>
    </row>
    <row r="2196">
      <c r="A2196" s="2" t="s">
        <v>2271</v>
      </c>
      <c r="B2196" s="3" t="str">
        <f>IFERROR(__xludf.DUMMYFUNCTION("GOOGLETRANSLATE(A2196, ""ar"", ""bn"")"),"বিচ্ছিন্নতাবাদ")</f>
        <v>বিচ্ছিন্নতাবাদ</v>
      </c>
    </row>
    <row r="2197">
      <c r="A2197" s="2" t="s">
        <v>2272</v>
      </c>
      <c r="B2197" s="3" t="str">
        <f>IFERROR(__xludf.DUMMYFUNCTION("GOOGLETRANSLATE(A2197, ""ar"", ""bn"")"),"বিচ্ছিন্নতাবাদী")</f>
        <v>বিচ্ছিন্নতাবাদী</v>
      </c>
    </row>
    <row r="2198">
      <c r="A2198" s="2" t="s">
        <v>2273</v>
      </c>
      <c r="B2198" s="3" t="str">
        <f>IFERROR(__xludf.DUMMYFUNCTION("GOOGLETRANSLATE(A2198, ""ar"", ""bn"")"),"যুদ্ধের পরিণতি")</f>
        <v>যুদ্ধের পরিণতি</v>
      </c>
    </row>
    <row r="2199">
      <c r="A2199" s="2" t="s">
        <v>2274</v>
      </c>
      <c r="B2199" s="3" t="str">
        <f>IFERROR(__xludf.DUMMYFUNCTION("GOOGLETRANSLATE(A2199, ""ar"", ""bn"")"),"কঠোর বিধিনিষেধ")</f>
        <v>কঠোর বিধিনিষেধ</v>
      </c>
    </row>
    <row r="2200">
      <c r="A2200" s="2" t="s">
        <v>2275</v>
      </c>
      <c r="B2200" s="3" t="str">
        <f>IFERROR(__xludf.DUMMYFUNCTION("GOOGLETRANSLATE(A2200, ""ar"", ""bn"")"),"শান্তি পরিবেশন করা")</f>
        <v>শান্তি পরিবেশন করা</v>
      </c>
    </row>
    <row r="2201">
      <c r="A2201" s="2" t="s">
        <v>2276</v>
      </c>
      <c r="B2201" s="3" t="str">
        <f>IFERROR(__xludf.DUMMYFUNCTION("GOOGLETRANSLATE(A2201, ""ar"", ""bn"")"),"দেশের মধ্যে বিরোধ Impso")</f>
        <v>দেশের মধ্যে বিরোধ Impso</v>
      </c>
    </row>
    <row r="2202">
      <c r="A2202" s="2" t="s">
        <v>2277</v>
      </c>
      <c r="B2202" s="3" t="str">
        <f>IFERROR(__xludf.DUMMYFUNCTION("GOOGLETRANSLATE(A2202, ""ar"", ""bn"")"),"সালিসি দ্বারা সেটেলমেন্ট")</f>
        <v>সালিসি দ্বারা সেটেলমেন্ট</v>
      </c>
    </row>
    <row r="2203">
      <c r="A2203" s="2" t="s">
        <v>2278</v>
      </c>
      <c r="B2203" s="3" t="str">
        <f>IFERROR(__xludf.DUMMYFUNCTION("GOOGLETRANSLATE(A2203, ""ar"", ""bn"")"),"মন্ত্রণালয়ের অধীনে")</f>
        <v>মন্ত্রণালয়ের অধীনে</v>
      </c>
    </row>
    <row r="2204">
      <c r="A2204" s="2" t="s">
        <v>2279</v>
      </c>
      <c r="B2204" s="3" t="str">
        <f>IFERROR(__xludf.DUMMYFUNCTION("GOOGLETRANSLATE(A2204, ""ar"", ""bn"")"),"যুদ্ধের ভূত")</f>
        <v>যুদ্ধের ভূত</v>
      </c>
    </row>
    <row r="2205">
      <c r="A2205" s="2" t="s">
        <v>2280</v>
      </c>
      <c r="B2205" s="3" t="str">
        <f>IFERROR(__xludf.DUMMYFUNCTION("GOOGLETRANSLATE(A2205, ""ar"", ""bn"")"),"সেয়ার মতামত")</f>
        <v>সেয়ার মতামত</v>
      </c>
    </row>
    <row r="2206">
      <c r="A2206" s="2" t="s">
        <v>2281</v>
      </c>
      <c r="B2206" s="3" t="str">
        <f>IFERROR(__xludf.DUMMYFUNCTION("GOOGLETRANSLATE(A2206, ""ar"", ""bn"")"),"কঠোর রাজনৈতিক ব্যবস্থা")</f>
        <v>কঠোর রাজনৈতিক ব্যবস্থা</v>
      </c>
    </row>
    <row r="2207">
      <c r="A2207" s="2" t="s">
        <v>2282</v>
      </c>
      <c r="B2207" s="3" t="str">
        <f>IFERROR(__xludf.DUMMYFUNCTION("GOOGLETRANSLATE(A2207, ""ar"", ""bn"")"),"গুরুত্বপূর্ণ কূটনৈতিক পদক্ষেপ")</f>
        <v>গুরুত্বপূর্ণ কূটনৈতিক পদক্ষেপ</v>
      </c>
    </row>
    <row r="2208">
      <c r="A2208" s="2" t="s">
        <v>2283</v>
      </c>
      <c r="B2208" s="3" t="str">
        <f>IFERROR(__xludf.DUMMYFUNCTION("GOOGLETRANSLATE(A2208, ""ar"", ""bn"")"),"ডাবল অনাক্রম্যতা")</f>
        <v>ডাবল অনাক্রম্যতা</v>
      </c>
    </row>
    <row r="2209">
      <c r="A2209" s="2" t="s">
        <v>2284</v>
      </c>
      <c r="B2209" s="3" t="str">
        <f>IFERROR(__xludf.DUMMYFUNCTION("GOOGLETRANSLATE(A2209, ""ar"", ""bn"")"),"সাধক বসতে ইন")</f>
        <v>সাধক বসতে ইন</v>
      </c>
    </row>
    <row r="2210">
      <c r="A2210" s="2" t="s">
        <v>2285</v>
      </c>
      <c r="B2210" s="3" t="str">
        <f>IFERROR(__xludf.DUMMYFUNCTION("GOOGLETRANSLATE(A2210, ""ar"", ""bn"")"),"সামরিক বাহিনী দাঙ্গা")</f>
        <v>সামরিক বাহিনী দাঙ্গা</v>
      </c>
    </row>
    <row r="2211">
      <c r="A2211" s="2" t="s">
        <v>2286</v>
      </c>
      <c r="B2211" s="3" t="str">
        <f>IFERROR(__xludf.DUMMYFUNCTION("GOOGLETRANSLATE(A2211, ""ar"", ""bn"")"),"শ্রেণীর মধ্যে পার্থক্য")</f>
        <v>শ্রেণীর মধ্যে পার্থক্য</v>
      </c>
    </row>
    <row r="2212">
      <c r="A2212" s="2" t="s">
        <v>2202</v>
      </c>
      <c r="B2212" s="3" t="str">
        <f>IFERROR(__xludf.DUMMYFUNCTION("GOOGLETRANSLATE(A2212, ""ar"", ""bn"")"),"সামাজিক")</f>
        <v>সামাজিক</v>
      </c>
    </row>
    <row r="2213">
      <c r="A2213" s="2" t="s">
        <v>2287</v>
      </c>
      <c r="B2213" s="3" t="str">
        <f>IFERROR(__xludf.DUMMYFUNCTION("GOOGLETRANSLATE(A2213, ""ar"", ""bn"")"),"একটি সামাজিক ব্যবস্থা")</f>
        <v>একটি সামাজিক ব্যবস্থা</v>
      </c>
    </row>
    <row r="2214">
      <c r="A2214" s="2" t="s">
        <v>2288</v>
      </c>
      <c r="B2214" s="3" t="str">
        <f>IFERROR(__xludf.DUMMYFUNCTION("GOOGLETRANSLATE(A2214, ""ar"", ""bn"")"),"সমাজতন্ত্র")</f>
        <v>সমাজতন্ত্র</v>
      </c>
    </row>
    <row r="2215">
      <c r="A2215" s="2" t="s">
        <v>2289</v>
      </c>
      <c r="B2215" s="3" t="str">
        <f>IFERROR(__xludf.DUMMYFUNCTION("GOOGLETRANSLATE(A2215, ""ar"", ""bn"")"),"সমাজতান্ত্রিক")</f>
        <v>সমাজতান্ত্রিক</v>
      </c>
    </row>
    <row r="2216">
      <c r="A2216" s="2" t="s">
        <v>2290</v>
      </c>
      <c r="B2216" s="3" t="str">
        <f>IFERROR(__xludf.DUMMYFUNCTION("GOOGLETRANSLATE(A2216, ""ar"", ""bn"")"),"একটি সমাজতান্ত্রিক সরকার")</f>
        <v>একটি সমাজতান্ত্রিক সরকার</v>
      </c>
    </row>
    <row r="2217">
      <c r="A2217" s="2" t="s">
        <v>2291</v>
      </c>
      <c r="B2217" s="3" t="str">
        <f>IFERROR(__xludf.DUMMYFUNCTION("GOOGLETRANSLATE(A2217, ""ar"", ""bn"")"),"সমাজতন্ত্রী দল")</f>
        <v>সমাজতন্ত্রী দল</v>
      </c>
    </row>
    <row r="2218">
      <c r="A2218" s="2" t="s">
        <v>2292</v>
      </c>
      <c r="B2218" s="3" t="str">
        <f>IFERROR(__xludf.DUMMYFUNCTION("GOOGLETRANSLATE(A2218, ""ar"", ""bn"")"),"আন্তর্জাতিক সম্প্রদায় মতামত খোঁজ")</f>
        <v>আন্তর্জাতিক সম্প্রদায় মতামত খোঁজ</v>
      </c>
    </row>
    <row r="2219">
      <c r="A2219" s="2" t="s">
        <v>2293</v>
      </c>
      <c r="B2219" s="3" t="str">
        <f>IFERROR(__xludf.DUMMYFUNCTION("GOOGLETRANSLATE(A2219, ""ar"", ""bn"")"),"আন্তর্জাতিক হস্তক্ষেপের জন্য Amnashid")</f>
        <v>আন্তর্জাতিক হস্তক্ষেপের জন্য Amnashid</v>
      </c>
    </row>
    <row r="2220">
      <c r="A2220" s="2" t="s">
        <v>2294</v>
      </c>
      <c r="B2220" s="3" t="str">
        <f>IFERROR(__xludf.DUMMYFUNCTION("GOOGLETRANSLATE(A2220, ""ar"", ""bn"")"),"আন্তর্জাতিক জনমত খোঁজ")</f>
        <v>আন্তর্জাতিক জনমত খোঁজ</v>
      </c>
    </row>
    <row r="2221">
      <c r="A2221" s="2" t="s">
        <v>2295</v>
      </c>
      <c r="B2221" s="3" t="str">
        <f>IFERROR(__xludf.DUMMYFUNCTION("GOOGLETRANSLATE(A2221, ""ar"", ""bn"")"),"আন্তর্জাতিক সুরক্ষা অনুরোধ করা হচ্ছে")</f>
        <v>আন্তর্জাতিক সুরক্ষা অনুরোধ করা হচ্ছে</v>
      </c>
    </row>
    <row r="2222">
      <c r="A2222" s="2" t="s">
        <v>2296</v>
      </c>
      <c r="B2222" s="3" t="str">
        <f>IFERROR(__xludf.DUMMYFUNCTION("GOOGLETRANSLATE(A2222, ""ar"", ""bn"")"),"নির্বাচনী ভোট খোঁজ")</f>
        <v>নির্বাচনী ভোট খোঁজ</v>
      </c>
    </row>
    <row r="2223">
      <c r="A2223" s="2" t="s">
        <v>2297</v>
      </c>
      <c r="B2223" s="3" t="str">
        <f>IFERROR(__xludf.DUMMYFUNCTION("GOOGLETRANSLATE(A2223, ""ar"", ""bn"")"),"সংহতি")</f>
        <v>সংহতি</v>
      </c>
    </row>
    <row r="2224">
      <c r="A2224" s="2" t="s">
        <v>2298</v>
      </c>
      <c r="B2224" s="3" t="str">
        <f>IFERROR(__xludf.DUMMYFUNCTION("GOOGLETRANSLATE(A2224, ""ar"", ""bn"")"),"কূটনৈতিক সঙ্কট সমাধানের")</f>
        <v>কূটনৈতিক সঙ্কট সমাধানের</v>
      </c>
    </row>
    <row r="2225">
      <c r="A2225" s="2" t="s">
        <v>2299</v>
      </c>
      <c r="B2225" s="3" t="str">
        <f>IFERROR(__xludf.DUMMYFUNCTION("GOOGLETRANSLATE(A2225, ""ar"", ""bn"")"),"কূটনৈতিক পার্থক্য Impso")</f>
        <v>কূটনৈতিক পার্থক্য Impso</v>
      </c>
    </row>
    <row r="2226">
      <c r="A2226" s="2" t="s">
        <v>2300</v>
      </c>
      <c r="B2226" s="3" t="str">
        <f>IFERROR(__xludf.DUMMYFUNCTION("GOOGLETRANSLATE(A2226, ""ar"", ""bn"")"),"রাজনৈতিক পরিস্থিতি Impso")</f>
        <v>রাজনৈতিক পরিস্থিতি Impso</v>
      </c>
    </row>
    <row r="2227">
      <c r="A2227" s="2" t="s">
        <v>2301</v>
      </c>
      <c r="B2227" s="3" t="str">
        <f>IFERROR(__xludf.DUMMYFUNCTION("GOOGLETRANSLATE(A2227, ""ar"", ""bn"")"),"তথ্য রাজনৈতিক সূত্র")</f>
        <v>তথ্য রাজনৈতিক সূত্র</v>
      </c>
    </row>
    <row r="2228">
      <c r="A2228" s="2" t="s">
        <v>2302</v>
      </c>
      <c r="B2228" s="3" t="str">
        <f>IFERROR(__xludf.DUMMYFUNCTION("GOOGLETRANSLATE(A2228, ""ar"", ""bn"")"),"একটি সার্বভৌম রাষ্ট্রে")</f>
        <v>একটি সার্বভৌম রাষ্ট্রে</v>
      </c>
    </row>
    <row r="2229">
      <c r="A2229" s="2" t="s">
        <v>2303</v>
      </c>
      <c r="B2229" s="3" t="str">
        <f>IFERROR(__xludf.DUMMYFUNCTION("GOOGLETRANSLATE(A2229, ""ar"", ""bn"")"),"বিশেষ দূত")</f>
        <v>বিশেষ দূত</v>
      </c>
    </row>
    <row r="2230">
      <c r="A2230" s="2" t="s">
        <v>2304</v>
      </c>
      <c r="B2230" s="3" t="str">
        <f>IFERROR(__xludf.DUMMYFUNCTION("GOOGLETRANSLATE(A2230, ""ar"", ""bn"")"),"রাজনৈতিক বিবৃতি নির্দিষ্ট ঘ")</f>
        <v>রাজনৈতিক বিবৃতি নির্দিষ্ট ঘ</v>
      </c>
    </row>
    <row r="2231">
      <c r="A2231" s="2" t="s">
        <v>2305</v>
      </c>
      <c r="B2231" s="3" t="str">
        <f>IFERROR(__xludf.DUMMYFUNCTION("GOOGLETRANSLATE(A2231, ""ar"", ""bn"")"),"বক্তৃতা")</f>
        <v>বক্তৃতা</v>
      </c>
    </row>
    <row r="2232">
      <c r="A2232" s="2" t="s">
        <v>2306</v>
      </c>
      <c r="B2232" s="3" t="str">
        <f>IFERROR(__xludf.DUMMYFUNCTION("GOOGLETRANSLATE(A2232, ""ar"", ""bn"")"),"পরিচয়পত্র জমা পত্র")</f>
        <v>পরিচয়পত্র জমা পত্র</v>
      </c>
    </row>
    <row r="2233">
      <c r="A2233" s="2" t="s">
        <v>2307</v>
      </c>
      <c r="B2233" s="3" t="str">
        <f>IFERROR(__xludf.DUMMYFUNCTION("GOOGLETRANSLATE(A2233, ""ar"", ""bn"")"),"স্থান দ্বারা বক্তৃতা")</f>
        <v>স্থান দ্বারা বক্তৃতা</v>
      </c>
    </row>
    <row r="2234">
      <c r="A2234" s="2" t="s">
        <v>2308</v>
      </c>
      <c r="B2234" s="3" t="str">
        <f>IFERROR(__xludf.DUMMYFUNCTION("GOOGLETRANSLATE(A2234, ""ar"", ""bn"")"),"আসনবিন্যাস")</f>
        <v>আসনবিন্যাস</v>
      </c>
    </row>
    <row r="2235">
      <c r="A2235" s="2" t="s">
        <v>2309</v>
      </c>
      <c r="B2235" s="3" t="str">
        <f>IFERROR(__xludf.DUMMYFUNCTION("GOOGLETRANSLATE(A2235, ""ar"", ""bn"")"),"দেশগুলির মধ্যে বুঝতে আত্মা")</f>
        <v>দেশগুলির মধ্যে বুঝতে আত্মা</v>
      </c>
    </row>
    <row r="2236">
      <c r="A2236" s="2" t="s">
        <v>2310</v>
      </c>
      <c r="B2236" s="3" t="str">
        <f>IFERROR(__xludf.DUMMYFUNCTION("GOOGLETRANSLATE(A2236, ""ar"", ""bn"")"),"গুপ্তচর")</f>
        <v>গুপ্তচর</v>
      </c>
    </row>
    <row r="2237">
      <c r="A2237" s="2" t="s">
        <v>2311</v>
      </c>
      <c r="B2237" s="3" t="str">
        <f>IFERROR(__xludf.DUMMYFUNCTION("GOOGLETRANSLATE(A2237, ""ar"", ""bn"")"),"রাজনৈতিক পরিস্থিতি স্থায়িত্ব")</f>
        <v>রাজনৈতিক পরিস্থিতি স্থায়িত্ব</v>
      </c>
    </row>
    <row r="2238">
      <c r="A2238" s="2" t="s">
        <v>2312</v>
      </c>
      <c r="B2238" s="3" t="str">
        <f>IFERROR(__xludf.DUMMYFUNCTION("GOOGLETRANSLATE(A2238, ""ar"", ""bn"")"),"বিশ্ব শান্তি, স্থিতিশীলতা")</f>
        <v>বিশ্ব শান্তি, স্থিতিশীলতা</v>
      </c>
    </row>
    <row r="2239">
      <c r="A2239" s="2" t="s">
        <v>2313</v>
      </c>
      <c r="B2239" s="3" t="str">
        <f>IFERROR(__xludf.DUMMYFUNCTION("GOOGLETRANSLATE(A2239, ""ar"", ""bn"")"),"শান্তি একত্রীকরণের")</f>
        <v>শান্তি একত্রীকরণের</v>
      </c>
    </row>
    <row r="2240">
      <c r="A2240" s="2" t="s">
        <v>2314</v>
      </c>
      <c r="B2240" s="3" t="str">
        <f>IFERROR(__xludf.DUMMYFUNCTION("GOOGLETRANSLATE(A2240, ""ar"", ""bn"")"),"রাজনৈতিক পরিস্থিতির একত্রীকরণের")</f>
        <v>রাজনৈতিক পরিস্থিতির একত্রীকরণের</v>
      </c>
    </row>
    <row r="2241">
      <c r="A2241" s="2" t="s">
        <v>2315</v>
      </c>
      <c r="B2241" s="3" t="str">
        <f>IFERROR(__xludf.DUMMYFUNCTION("GOOGLETRANSLATE(A2241, ""ar"", ""bn"")"),"বিশ্ব শান্তি একত্রীকরণের")</f>
        <v>বিশ্ব শান্তি একত্রীকরণের</v>
      </c>
    </row>
    <row r="2242">
      <c r="A2242" s="2" t="s">
        <v>2316</v>
      </c>
      <c r="B2242" s="3" t="str">
        <f>IFERROR(__xludf.DUMMYFUNCTION("GOOGLETRANSLATE(A2242, ""ar"", ""bn"")"),"Amrs x রাজনৈতিক পরিস্থিতি")</f>
        <v>Amrs x রাজনৈতিক পরিস্থিতি</v>
      </c>
    </row>
    <row r="2243">
      <c r="A2243" s="2" t="s">
        <v>2317</v>
      </c>
      <c r="B2243" s="3" t="str">
        <f>IFERROR(__xludf.DUMMYFUNCTION("GOOGLETRANSLATE(A2243, ""ar"", ""bn"")"),"Amutd রাষ্ট্র সার্বভৌমত্ব")</f>
        <v>Amutd রাষ্ট্র সার্বভৌমত্ব</v>
      </c>
    </row>
    <row r="2244">
      <c r="A2244" s="2" t="s">
        <v>2318</v>
      </c>
      <c r="B2244" s="3" t="str">
        <f>IFERROR(__xludf.DUMMYFUNCTION("GOOGLETRANSLATE(A2244, ""ar"", ""bn"")"),"Amrs x বিশ্ব শান্তি")</f>
        <v>Amrs x বিশ্ব শান্তি</v>
      </c>
    </row>
    <row r="2245">
      <c r="A2245" s="2" t="s">
        <v>2319</v>
      </c>
      <c r="B2245" s="3" t="str">
        <f>IFERROR(__xludf.DUMMYFUNCTION("GOOGLETRANSLATE(A2245, ""ar"", ""bn"")"),"সহকারী স্থায়িত্ব অপরিহার্য উপাদান")</f>
        <v>সহকারী স্থায়িত্ব অপরিহার্য উপাদান</v>
      </c>
    </row>
    <row r="2246">
      <c r="A2246" s="2" t="s">
        <v>2320</v>
      </c>
      <c r="B2246" s="3" t="str">
        <f>IFERROR(__xludf.DUMMYFUNCTION("GOOGLETRANSLATE(A2246, ""ar"", ""bn"")"),"এই সিদ্ধান্তের বিরুদ্ধে দাঁড়িয়ে")</f>
        <v>এই সিদ্ধান্তের বিরুদ্ধে দাঁড়িয়ে</v>
      </c>
    </row>
    <row r="2247">
      <c r="A2247" s="2" t="s">
        <v>2321</v>
      </c>
      <c r="B2247" s="3" t="str">
        <f>IFERROR(__xludf.DUMMYFUNCTION("GOOGLETRANSLATE(A2247, ""ar"", ""bn"")"),"স্থায়ী কমিটির")</f>
        <v>স্থায়ী কমিটির</v>
      </c>
    </row>
    <row r="2248">
      <c r="A2248" s="2" t="s">
        <v>2322</v>
      </c>
      <c r="B2248" s="3" t="str">
        <f>IFERROR(__xludf.DUMMYFUNCTION("GOOGLETRANSLATE(A2248, ""ar"", ""bn"")"),"কার্যকরী বৈধ আদেশ")</f>
        <v>কার্যকরী বৈধ আদেশ</v>
      </c>
    </row>
    <row r="2249">
      <c r="A2249" s="2" t="s">
        <v>2323</v>
      </c>
      <c r="B2249" s="3" t="str">
        <f>IFERROR(__xludf.DUMMYFUNCTION("GOOGLETRANSLATE(A2249, ""ar"", ""bn"")"),"দেশ")</f>
        <v>দেশ</v>
      </c>
    </row>
    <row r="2250">
      <c r="A2250" s="2" t="s">
        <v>2324</v>
      </c>
      <c r="B2250" s="3" t="str">
        <f>IFERROR(__xludf.DUMMYFUNCTION("GOOGLETRANSLATE(A2250, ""ar"", ""bn"")"),"রাজ্য কর্ম পরিকল্পনা")</f>
        <v>রাজ্য কর্ম পরিকল্পনা</v>
      </c>
    </row>
    <row r="2251">
      <c r="A2251" s="2" t="s">
        <v>2325</v>
      </c>
      <c r="B2251" s="3" t="str">
        <f>IFERROR(__xludf.DUMMYFUNCTION("GOOGLETRANSLATE(A2251, ""ar"", ""bn"")"),"রাজ্য কর্তৃপক্ষ")</f>
        <v>রাজ্য কর্তৃপক্ষ</v>
      </c>
    </row>
    <row r="2252">
      <c r="A2252" s="2" t="s">
        <v>2326</v>
      </c>
      <c r="B2252" s="3" t="str">
        <f>IFERROR(__xludf.DUMMYFUNCTION("GOOGLETRANSLATE(A2252, ""ar"", ""bn"")"),"রাজ্য কাউন্সিল")</f>
        <v>রাজ্য কাউন্সিল</v>
      </c>
    </row>
    <row r="2253">
      <c r="A2253" s="2" t="s">
        <v>2327</v>
      </c>
      <c r="B2253" s="3" t="str">
        <f>IFERROR(__xludf.DUMMYFUNCTION("GOOGLETRANSLATE(A2253, ""ar"", ""bn"")"),"রাজ্য পররাষ্ট্রনীতির")</f>
        <v>রাজ্য পররাষ্ট্রনীতির</v>
      </c>
    </row>
    <row r="2254">
      <c r="A2254" s="2" t="s">
        <v>2328</v>
      </c>
      <c r="B2254" s="3" t="str">
        <f>IFERROR(__xludf.DUMMYFUNCTION("GOOGLETRANSLATE(A2254, ""ar"", ""bn"")"),"রাষ্ট্র সার্বভৌমত্ব")</f>
        <v>রাষ্ট্র সার্বভৌমত্ব</v>
      </c>
    </row>
    <row r="2255">
      <c r="A2255" s="2" t="s">
        <v>2329</v>
      </c>
      <c r="B2255" s="3" t="str">
        <f>IFERROR(__xludf.DUMMYFUNCTION("GOOGLETRANSLATE(A2255, ""ar"", ""bn"")"),"সেনাশাসন")</f>
        <v>সেনাশাসন</v>
      </c>
    </row>
    <row r="2256">
      <c r="A2256" s="2" t="s">
        <v>2330</v>
      </c>
      <c r="B2256" s="3" t="str">
        <f>IFERROR(__xludf.DUMMYFUNCTION("GOOGLETRANSLATE(A2256, ""ar"", ""bn"")"),"রাজনৈতিক বন্দী")</f>
        <v>রাজনৈতিক বন্দী</v>
      </c>
    </row>
    <row r="2257">
      <c r="A2257" s="2" t="s">
        <v>2331</v>
      </c>
      <c r="B2257" s="3" t="str">
        <f>IFERROR(__xludf.DUMMYFUNCTION("GOOGLETRANSLATE(A2257, ""ar"", ""bn"")"),"রাষ্ট্রের সাধারণ নীতি")</f>
        <v>রাষ্ট্রের সাধারণ নীতি</v>
      </c>
    </row>
    <row r="2258">
      <c r="A2258" s="2" t="s">
        <v>2332</v>
      </c>
      <c r="B2258" s="3" t="str">
        <f>IFERROR(__xludf.DUMMYFUNCTION("GOOGLETRANSLATE(A2258, ""ar"", ""bn"")"),"রাজ্য কৌশল")</f>
        <v>রাজ্য কৌশল</v>
      </c>
    </row>
    <row r="2259">
      <c r="A2259" s="2" t="s">
        <v>2333</v>
      </c>
      <c r="B2259" s="3" t="str">
        <f>IFERROR(__xludf.DUMMYFUNCTION("GOOGLETRANSLATE(A2259, ""ar"", ""bn"")"),"রাজ্যের সর্বময় কর্তা")</f>
        <v>রাজ্যের সর্বময় কর্তা</v>
      </c>
    </row>
    <row r="2260">
      <c r="A2260" s="2" t="s">
        <v>2334</v>
      </c>
      <c r="B2260" s="3" t="str">
        <f>IFERROR(__xludf.DUMMYFUNCTION("GOOGLETRANSLATE(A2260, ""ar"", ""bn"")"),"ইন্টারন্যাশনাল ফেডারেশন")</f>
        <v>ইন্টারন্যাশনাল ফেডারেশন</v>
      </c>
    </row>
    <row r="2261">
      <c r="A2261" s="2" t="s">
        <v>2335</v>
      </c>
      <c r="B2261" s="3" t="str">
        <f>IFERROR(__xludf.DUMMYFUNCTION("GOOGLETRANSLATE(A2261, ""ar"", ""bn"")"),"একটি সরকারী বিবৃতিতে")</f>
        <v>একটি সরকারী বিবৃতিতে</v>
      </c>
    </row>
    <row r="2262">
      <c r="A2262" s="2" t="s">
        <v>2336</v>
      </c>
      <c r="B2262" s="3" t="str">
        <f>IFERROR(__xludf.DUMMYFUNCTION("GOOGLETRANSLATE(A2262, ""ar"", ""bn"")"),"সভ্যতার রাজ্যের")</f>
        <v>সভ্যতার রাজ্যের</v>
      </c>
    </row>
    <row r="2263">
      <c r="A2263" s="2" t="s">
        <v>2337</v>
      </c>
      <c r="B2263" s="3" t="str">
        <f>IFERROR(__xludf.DUMMYFUNCTION("GOOGLETRANSLATE(A2263, ""ar"", ""bn"")"),"রাজ্য অভিযোগ")</f>
        <v>রাজ্য অভিযোগ</v>
      </c>
    </row>
    <row r="2264">
      <c r="A2264" s="2" t="s">
        <v>2338</v>
      </c>
      <c r="B2264" s="3" t="str">
        <f>IFERROR(__xludf.DUMMYFUNCTION("GOOGLETRANSLATE(A2264, ""ar"", ""bn"")"),"অঙ্গীকার দেশ")</f>
        <v>অঙ্গীকার দেশ</v>
      </c>
    </row>
    <row r="2265">
      <c r="A2265" s="2" t="s">
        <v>2339</v>
      </c>
      <c r="B2265" s="3" t="str">
        <f>IFERROR(__xludf.DUMMYFUNCTION("GOOGLETRANSLATE(A2265, ""ar"", ""bn"")"),"দেশের সাধারণ স্বার্থ")</f>
        <v>দেশের সাধারণ স্বার্থ</v>
      </c>
    </row>
    <row r="2266">
      <c r="A2266" s="2" t="s">
        <v>2340</v>
      </c>
      <c r="B2266" s="3" t="str">
        <f>IFERROR(__xludf.DUMMYFUNCTION("GOOGLETRANSLATE(A2266, ""ar"", ""bn"")"),"রাজ্যের অধঃপতন")</f>
        <v>রাজ্যের অধঃপতন</v>
      </c>
    </row>
    <row r="2267">
      <c r="A2267" s="2" t="s">
        <v>2341</v>
      </c>
      <c r="B2267" s="3" t="str">
        <f>IFERROR(__xludf.DUMMYFUNCTION("GOOGLETRANSLATE(A2267, ""ar"", ""bn"")"),"সীমানা")</f>
        <v>সীমানা</v>
      </c>
    </row>
    <row r="2268">
      <c r="A2268" s="2" t="s">
        <v>2342</v>
      </c>
      <c r="B2268" s="3" t="str">
        <f>IFERROR(__xludf.DUMMYFUNCTION("GOOGLETRANSLATE(A2268, ""ar"", ""bn"")"),"রাজ্য ফাংশন")</f>
        <v>রাজ্য ফাংশন</v>
      </c>
    </row>
    <row r="2269">
      <c r="A2269" s="2" t="s">
        <v>2343</v>
      </c>
      <c r="B2269" s="3" t="str">
        <f>IFERROR(__xludf.DUMMYFUNCTION("GOOGLETRANSLATE(A2269, ""ar"", ""bn"")"),"রাজ্যের গোল")</f>
        <v>রাজ্যের গোল</v>
      </c>
    </row>
    <row r="2270">
      <c r="A2270" s="2" t="s">
        <v>2344</v>
      </c>
      <c r="B2270" s="3" t="str">
        <f>IFERROR(__xludf.DUMMYFUNCTION("GOOGLETRANSLATE(A2270, ""ar"", ""bn"")"),"যুক্তরাষ্ট্রের দায়িত্ব")</f>
        <v>যুক্তরাষ্ট্রের দায়িত্ব</v>
      </c>
    </row>
    <row r="2271">
      <c r="A2271" s="2" t="s">
        <v>2345</v>
      </c>
      <c r="B2271" s="3" t="str">
        <f>IFERROR(__xludf.DUMMYFUNCTION("GOOGLETRANSLATE(A2271, ""ar"", ""bn"")"),"রাজ্যের নিরবচ্ছিন্ন")</f>
        <v>রাজ্যের নিরবচ্ছিন্ন</v>
      </c>
    </row>
    <row r="2272">
      <c r="A2272" s="2" t="s">
        <v>2346</v>
      </c>
      <c r="B2272" s="3" t="str">
        <f>IFERROR(__xludf.DUMMYFUNCTION("GOOGLETRANSLATE(A2272, ""ar"", ""bn"")"),"এম শায়িত্ব রাজ্যের")</f>
        <v>এম শায়িত্ব রাজ্যের</v>
      </c>
    </row>
    <row r="2273">
      <c r="A2273" s="2" t="s">
        <v>2347</v>
      </c>
      <c r="B2273" s="3" t="str">
        <f>IFERROR(__xludf.DUMMYFUNCTION("GOOGLETRANSLATE(A2273, ""ar"", ""bn"")"),"জাতির সমৃদ্ধি")</f>
        <v>জাতির সমৃদ্ধি</v>
      </c>
    </row>
    <row r="2274">
      <c r="A2274" s="2" t="s">
        <v>2348</v>
      </c>
      <c r="B2274" s="3" t="str">
        <f>IFERROR(__xludf.DUMMYFUNCTION("GOOGLETRANSLATE(A2274, ""ar"", ""bn"")"),"যুক্তরাষ্ট্রের অধিকার")</f>
        <v>যুক্তরাষ্ট্রের অধিকার</v>
      </c>
    </row>
    <row r="2275">
      <c r="A2275" s="2" t="s">
        <v>2349</v>
      </c>
      <c r="B2275" s="3" t="str">
        <f>IFERROR(__xludf.DUMMYFUNCTION("GOOGLETRANSLATE(A2275, ""ar"", ""bn"")"),"অধিকার ও যুক্তরাষ্ট্রের বাধ্যবাধকতা")</f>
        <v>অধিকার ও যুক্তরাষ্ট্রের বাধ্যবাধকতা</v>
      </c>
    </row>
    <row r="2276">
      <c r="A2276" s="2" t="s">
        <v>2350</v>
      </c>
      <c r="B2276" s="3" t="str">
        <f>IFERROR(__xludf.DUMMYFUNCTION("GOOGLETRANSLATE(A2276, ""ar"", ""bn"")"),"আইন রাজ্যের")</f>
        <v>আইন রাজ্যের</v>
      </c>
    </row>
    <row r="2277">
      <c r="A2277" s="2" t="s">
        <v>2351</v>
      </c>
      <c r="B2277" s="3" t="str">
        <f>IFERROR(__xludf.DUMMYFUNCTION("GOOGLETRANSLATE(A2277, ""ar"", ""bn"")"),"যুক্তরাষ্ট্রের আইন")</f>
        <v>যুক্তরাষ্ট্রের আইন</v>
      </c>
    </row>
    <row r="2278">
      <c r="A2278" s="2" t="s">
        <v>2352</v>
      </c>
      <c r="B2278" s="3" t="str">
        <f>IFERROR(__xludf.DUMMYFUNCTION("GOOGLETRANSLATE(A2278, ""ar"", ""bn"")"),"Bmnip রাজ্যের")</f>
        <v>Bmnip রাজ্যের</v>
      </c>
    </row>
    <row r="2279">
      <c r="A2279" s="2" t="s">
        <v>2353</v>
      </c>
      <c r="B2279" s="3" t="str">
        <f>IFERROR(__xludf.DUMMYFUNCTION("GOOGLETRANSLATE(A2279, ""ar"", ""bn"")"),"দেশের নাগরিকদের")</f>
        <v>দেশের নাগরিকদের</v>
      </c>
    </row>
    <row r="2280">
      <c r="A2280" s="2" t="s">
        <v>2354</v>
      </c>
      <c r="B2280" s="3" t="str">
        <f>IFERROR(__xludf.DUMMYFUNCTION("GOOGLETRANSLATE(A2280, ""ar"", ""bn"")"),"মার্কিন শান্তির যুক্তরাষ্ট্রের")</f>
        <v>মার্কিন শান্তির যুক্তরাষ্ট্রের</v>
      </c>
    </row>
    <row r="2281">
      <c r="A2281" s="2" t="s">
        <v>2355</v>
      </c>
      <c r="B2281" s="3" t="str">
        <f>IFERROR(__xludf.DUMMYFUNCTION("GOOGLETRANSLATE(A2281, ""ar"", ""bn"")"),"কূটনীতিজ্ঞ ব্যক্তি")</f>
        <v>কূটনীতিজ্ঞ ব্যক্তি</v>
      </c>
    </row>
    <row r="2282">
      <c r="A2282" s="2" t="s">
        <v>2356</v>
      </c>
      <c r="B2282" s="3" t="str">
        <f>IFERROR(__xludf.DUMMYFUNCTION("GOOGLETRANSLATE(A2282, ""ar"", ""bn"")"),"রাষ্টীয় বিষয়াবলি পরিচালনার শিল্প")</f>
        <v>রাষ্টীয় বিষয়াবলি পরিচালনার শিল্প</v>
      </c>
    </row>
    <row r="2283">
      <c r="A2283" s="2" t="s">
        <v>2357</v>
      </c>
      <c r="B2283" s="3" t="str">
        <f>IFERROR(__xludf.DUMMYFUNCTION("GOOGLETRANSLATE(A2283, ""ar"", ""bn"")"),"আন্তর্জাতিক সংগঠন আইন")</f>
        <v>আন্তর্জাতিক সংগঠন আইন</v>
      </c>
    </row>
    <row r="2284">
      <c r="A2284" s="2" t="s">
        <v>2358</v>
      </c>
      <c r="B2284" s="3" t="str">
        <f>IFERROR(__xludf.DUMMYFUNCTION("GOOGLETRANSLATE(A2284, ""ar"", ""bn"")"),"দৃঢ়তার সাথে নীতি")</f>
        <v>দৃঢ়তার সাথে নীতি</v>
      </c>
    </row>
    <row r="2285">
      <c r="A2285" s="2" t="s">
        <v>2359</v>
      </c>
      <c r="B2285" s="3" t="str">
        <f>IFERROR(__xludf.DUMMYFUNCTION("GOOGLETRANSLATE(A2285, ""ar"", ""bn"")"),"পরিচালনা সংসদ")</f>
        <v>পরিচালনা সংসদ</v>
      </c>
    </row>
    <row r="2286">
      <c r="A2286" s="2" t="s">
        <v>2360</v>
      </c>
      <c r="B2286" s="3" t="str">
        <f>IFERROR(__xludf.DUMMYFUNCTION("GOOGLETRANSLATE(A2286, ""ar"", ""bn"")"),"পাথর ছুঁড়ে মেরে ফেলল দূতাবাস")</f>
        <v>পাথর ছুঁড়ে মেরে ফেলল দূতাবাস</v>
      </c>
    </row>
    <row r="2287">
      <c r="A2287" s="2" t="s">
        <v>2361</v>
      </c>
      <c r="B2287" s="3" t="str">
        <f>IFERROR(__xludf.DUMMYFUNCTION("GOOGLETRANSLATE(A2287, ""ar"", ""bn"")"),"সমস্যায় জর্জরিত আন্তর্জাতিক সম্পর্ক")</f>
        <v>সমস্যায় জর্জরিত আন্তর্জাতিক সম্পর্ক</v>
      </c>
    </row>
    <row r="2288">
      <c r="A2288" s="2" t="s">
        <v>2362</v>
      </c>
      <c r="B2288" s="3" t="str">
        <f>IFERROR(__xludf.DUMMYFUNCTION("GOOGLETRANSLATE(A2288, ""ar"", ""bn"")"),"অস্ত্র কৌশল")</f>
        <v>অস্ত্র কৌশল</v>
      </c>
    </row>
    <row r="2289">
      <c r="A2289" s="2" t="s">
        <v>2363</v>
      </c>
      <c r="B2289" s="3" t="str">
        <f>IFERROR(__xludf.DUMMYFUNCTION("GOOGLETRANSLATE(A2289, ""ar"", ""bn"")"),"সেন্টার কৌশল")</f>
        <v>সেন্টার কৌশল</v>
      </c>
    </row>
    <row r="2290">
      <c r="A2290" s="2" t="s">
        <v>2364</v>
      </c>
      <c r="B2290" s="3" t="str">
        <f>IFERROR(__xludf.DUMMYFUNCTION("GOOGLETRANSLATE(A2290, ""ar"", ""bn"")"),"কৌশলগত পরিকল্পনা")</f>
        <v>কৌশলগত পরিকল্পনা</v>
      </c>
    </row>
    <row r="2291">
      <c r="A2291" s="2" t="s">
        <v>2365</v>
      </c>
      <c r="B2291" s="3" t="str">
        <f>IFERROR(__xludf.DUMMYFUNCTION("GOOGLETRANSLATE(A2291, ""ar"", ""bn"")"),"কৌশলগত সাইট")</f>
        <v>কৌশলগত সাইট</v>
      </c>
    </row>
    <row r="2292">
      <c r="A2292" s="2" t="s">
        <v>2366</v>
      </c>
      <c r="B2292" s="3" t="str">
        <f>IFERROR(__xludf.DUMMYFUNCTION("GOOGLETRANSLATE(A2292, ""ar"", ""bn"")"),"একটি কৌশলগত এলাকা")</f>
        <v>একটি কৌশলগত এলাকা</v>
      </c>
    </row>
    <row r="2293">
      <c r="A2293" s="2" t="s">
        <v>2367</v>
      </c>
      <c r="B2293" s="3" t="str">
        <f>IFERROR(__xludf.DUMMYFUNCTION("GOOGLETRANSLATE(A2293, ""ar"", ""bn"")"),"কৌশল")</f>
        <v>কৌশল</v>
      </c>
    </row>
    <row r="2294">
      <c r="A2294" s="2" t="s">
        <v>2368</v>
      </c>
      <c r="B2294" s="3" t="str">
        <f>IFERROR(__xludf.DUMMYFUNCTION("GOOGLETRANSLATE(A2294, ""ar"", ""bn"")"),"নির্ভরতা জন্য Ammars চাপ")</f>
        <v>নির্ভরতা জন্য Ammars চাপ</v>
      </c>
    </row>
    <row r="2295">
      <c r="A2295" s="2" t="s">
        <v>468</v>
      </c>
      <c r="B2295" s="3" t="str">
        <f>IFERROR(__xludf.DUMMYFUNCTION("GOOGLETRANSLATE(A2295, ""ar"", ""bn"")"),"রাজনৈতিক")</f>
        <v>রাজনৈতিক</v>
      </c>
    </row>
    <row r="2296">
      <c r="A2296" s="2" t="s">
        <v>2369</v>
      </c>
      <c r="B2296" s="3" t="str">
        <f>IFERROR(__xludf.DUMMYFUNCTION("GOOGLETRANSLATE(A2296, ""ar"", ""bn"")"),"তীব্র কূটনৈতিক বার্তা")</f>
        <v>তীব্র কূটনৈতিক বার্তা</v>
      </c>
    </row>
    <row r="2297">
      <c r="A2297" s="2" t="s">
        <v>2370</v>
      </c>
      <c r="B2297" s="3" t="str">
        <f>IFERROR(__xludf.DUMMYFUNCTION("GOOGLETRANSLATE(A2297, ""ar"", ""bn"")"),"উপভাষা")</f>
        <v>উপভাষা</v>
      </c>
    </row>
    <row r="2298">
      <c r="A2298" s="2" t="s">
        <v>2371</v>
      </c>
      <c r="B2298" s="3" t="str">
        <f>IFERROR(__xludf.DUMMYFUNCTION("GOOGLETRANSLATE(A2298, ""ar"", ""bn"")"),"কঠোর রাজনৈতিক ব্যবস্থা")</f>
        <v>কঠোর রাজনৈতিক ব্যবস্থা</v>
      </c>
    </row>
    <row r="2299">
      <c r="A2299" s="2" t="s">
        <v>2372</v>
      </c>
      <c r="B2299" s="3" t="str">
        <f>IFERROR(__xludf.DUMMYFUNCTION("GOOGLETRANSLATE(A2299, ""ar"", ""bn"")"),"এম কাউন্টার প্ররোচনা")</f>
        <v>এম কাউন্টার প্ররোচনা</v>
      </c>
    </row>
    <row r="2300">
      <c r="A2300" s="2" t="s">
        <v>2373</v>
      </c>
      <c r="B2300" s="3" t="str">
        <f>IFERROR(__xludf.DUMMYFUNCTION("GOOGLETRANSLATE(A2300, ""ar"", ""bn"")"),"যুদ্ধ")</f>
        <v>যুদ্ধ</v>
      </c>
    </row>
    <row r="2301">
      <c r="A2301" s="2" t="s">
        <v>2374</v>
      </c>
      <c r="B2301" s="3" t="str">
        <f>IFERROR(__xludf.DUMMYFUNCTION("GOOGLETRANSLATE(A2301, ""ar"", ""bn"")"),"এম অজ্ঞতা বিরুদ্ধে")</f>
        <v>এম অজ্ঞতা বিরুদ্ধে</v>
      </c>
    </row>
    <row r="2302">
      <c r="A2302" s="2" t="s">
        <v>2375</v>
      </c>
      <c r="B2302" s="3" t="str">
        <f>IFERROR(__xludf.DUMMYFUNCTION("GOOGLETRANSLATE(A2302, ""ar"", ""bn"")"),"এম নিরক্ষরতা বিরুদ্ধে")</f>
        <v>এম নিরক্ষরতা বিরুদ্ধে</v>
      </c>
    </row>
    <row r="2303">
      <c r="A2303" s="2" t="s">
        <v>2376</v>
      </c>
      <c r="B2303" s="3" t="str">
        <f>IFERROR(__xludf.DUMMYFUNCTION("GOOGLETRANSLATE(A2303, ""ar"", ""bn"")"),"রাজনৈতিক দুর্নীতির বিরুদ্ধে এম যুদ্ধ")</f>
        <v>রাজনৈতিক দুর্নীতির বিরুদ্ধে এম যুদ্ধ</v>
      </c>
    </row>
    <row r="2304">
      <c r="A2304" s="2" t="s">
        <v>2377</v>
      </c>
      <c r="B2304" s="3" t="str">
        <f>IFERROR(__xludf.DUMMYFUNCTION("GOOGLETRANSLATE(A2304, ""ar"", ""bn"")"),"এম এন্টি-জাতিগত ইয়ে")</f>
        <v>এম এন্টি-জাতিগত ইয়ে</v>
      </c>
    </row>
    <row r="2305">
      <c r="A2305" s="2" t="s">
        <v>2378</v>
      </c>
      <c r="B2305" s="3" t="str">
        <f>IFERROR(__xludf.DUMMYFUNCTION("GOOGLETRANSLATE(A2305, ""ar"", ""bn"")"),"এম সন্ত্রাসের বিরুদ্ধে যুদ্ধ")</f>
        <v>এম সন্ত্রাসের বিরুদ্ধে যুদ্ধ</v>
      </c>
    </row>
    <row r="2306">
      <c r="A2306" s="2" t="s">
        <v>2379</v>
      </c>
      <c r="B2306" s="3" t="str">
        <f>IFERROR(__xludf.DUMMYFUNCTION("GOOGLETRANSLATE(A2306, ""ar"", ""bn"")"),"উপসমিতি")</f>
        <v>উপসমিতি</v>
      </c>
    </row>
    <row r="2307">
      <c r="A2307" s="2" t="s">
        <v>2380</v>
      </c>
      <c r="B2307" s="3" t="str">
        <f>IFERROR(__xludf.DUMMYFUNCTION("GOOGLETRANSLATE(A2307, ""ar"", ""bn"")"),"Amkhadda নাগরিকদের")</f>
        <v>Amkhadda নাগরিকদের</v>
      </c>
    </row>
    <row r="2308">
      <c r="A2308" s="2" t="s">
        <v>2381</v>
      </c>
      <c r="B2308" s="3" t="str">
        <f>IFERROR(__xludf.DUMMYFUNCTION("GOOGLETRANSLATE(A2308, ""ar"", ""bn"")"),"আইন সাপেক্ষে")</f>
        <v>আইন সাপেক্ষে</v>
      </c>
    </row>
    <row r="2309">
      <c r="A2309" s="2" t="s">
        <v>2382</v>
      </c>
      <c r="B2309" s="3" t="str">
        <f>IFERROR(__xludf.DUMMYFUNCTION("GOOGLETRANSLATE(A2309, ""ar"", ""bn"")"),"প্রস্তাব গন্গনে")</f>
        <v>প্রস্তাব গন্গনে</v>
      </c>
    </row>
    <row r="2310">
      <c r="A2310" s="2" t="s">
        <v>2383</v>
      </c>
      <c r="B2310" s="3" t="str">
        <f>IFERROR(__xludf.DUMMYFUNCTION("GOOGLETRANSLATE(A2310, ""ar"", ""bn"")"),"গন্গনে পথিমধ্যে")</f>
        <v>গন্গনে পথিমধ্যে</v>
      </c>
    </row>
    <row r="2311">
      <c r="A2311" s="2" t="s">
        <v>2384</v>
      </c>
      <c r="B2311" s="3" t="str">
        <f>IFERROR(__xludf.DUMMYFUNCTION("GOOGLETRANSLATE(A2311, ""ar"", ""bn"")"),"Amekd প্রমাণ")</f>
        <v>Amekd প্রমাণ</v>
      </c>
    </row>
    <row r="2312">
      <c r="A2312" s="2" t="s">
        <v>2385</v>
      </c>
      <c r="B2312" s="3" t="str">
        <f>IFERROR(__xludf.DUMMYFUNCTION("GOOGLETRANSLATE(A2312, ""ar"", ""bn"")"),"প্রতিবেদন Amahil আদালতে")</f>
        <v>প্রতিবেদন Amahil আদালতে</v>
      </c>
    </row>
    <row r="2313">
      <c r="A2313" s="2" t="s">
        <v>579</v>
      </c>
      <c r="B2313" s="3" t="str">
        <f>IFERROR(__xludf.DUMMYFUNCTION("GOOGLETRANSLATE(A2313, ""ar"", ""bn"")"),"আন্তর্জাতিক")</f>
        <v>আন্তর্জাতিক</v>
      </c>
    </row>
    <row r="2314">
      <c r="A2314" s="2" t="s">
        <v>2386</v>
      </c>
      <c r="B2314" s="3" t="str">
        <f>IFERROR(__xludf.DUMMYFUNCTION("GOOGLETRANSLATE(A2314, ""ar"", ""bn"")"),"বেন্ড রাজ্য")</f>
        <v>বেন্ড রাজ্য</v>
      </c>
    </row>
    <row r="2315">
      <c r="A2315" s="2" t="s">
        <v>2387</v>
      </c>
      <c r="B2315" s="3" t="str">
        <f>IFERROR(__xludf.DUMMYFUNCTION("GOOGLETRANSLATE(A2315, ""ar"", ""bn"")"),"Tkd একটি রাজনৈতিক হিসাবে চিহ্নিত")</f>
        <v>Tkd একটি রাজনৈতিক হিসাবে চিহ্নিত</v>
      </c>
    </row>
    <row r="2316">
      <c r="A2316" s="2" t="s">
        <v>2388</v>
      </c>
      <c r="B2316" s="3" t="str">
        <f>IFERROR(__xludf.DUMMYFUNCTION("GOOGLETRANSLATE(A2316, ""ar"", ""bn"")"),"সংসদের বিকল্প সদস্য")</f>
        <v>সংসদের বিকল্প সদস্য</v>
      </c>
    </row>
    <row r="2317">
      <c r="A2317" s="2" t="s">
        <v>2389</v>
      </c>
      <c r="B2317" s="3" t="str">
        <f>IFERROR(__xludf.DUMMYFUNCTION("GOOGLETRANSLATE(A2317, ""ar"", ""bn"")"),"ভোটিং পদ্ধতি")</f>
        <v>ভোটিং পদ্ধতি</v>
      </c>
    </row>
    <row r="2318">
      <c r="A2318" s="2" t="s">
        <v>2390</v>
      </c>
      <c r="B2318" s="3" t="str">
        <f>IFERROR(__xludf.DUMMYFUNCTION("GOOGLETRANSLATE(A2318, ""ar"", ""bn"")"),"এটা তোলে নিষেধাজ্ঞার প্রস্তাব")</f>
        <v>এটা তোলে নিষেধাজ্ঞার প্রস্তাব</v>
      </c>
    </row>
    <row r="2319">
      <c r="A2319" s="2" t="s">
        <v>2391</v>
      </c>
      <c r="B2319" s="3" t="str">
        <f>IFERROR(__xludf.DUMMYFUNCTION("GOOGLETRANSLATE(A2319, ""ar"", ""bn"")"),"আন্তর্জাতিক কূটনীতি")</f>
        <v>আন্তর্জাতিক কূটনীতি</v>
      </c>
    </row>
    <row r="2320">
      <c r="A2320" s="2" t="s">
        <v>2392</v>
      </c>
      <c r="B2320" s="3" t="str">
        <f>IFERROR(__xludf.DUMMYFUNCTION("GOOGLETRANSLATE(A2320, ""ar"", ""bn"")"),"আন্তর্জাতিক নিষেধাজ্ঞার প্রস্তাব")</f>
        <v>আন্তর্জাতিক নিষেধাজ্ঞার প্রস্তাব</v>
      </c>
    </row>
    <row r="2321">
      <c r="A2321" s="2" t="s">
        <v>2393</v>
      </c>
      <c r="B2321" s="3" t="str">
        <f>IFERROR(__xludf.DUMMYFUNCTION("GOOGLETRANSLATE(A2321, ""ar"", ""bn"")"),"সুইসাইড হামলার")</f>
        <v>সুইসাইড হামলার</v>
      </c>
    </row>
    <row r="2322">
      <c r="A2322" s="2" t="s">
        <v>2394</v>
      </c>
      <c r="B2322" s="3" t="str">
        <f>IFERROR(__xludf.DUMMYFUNCTION("GOOGLETRANSLATE(A2322, ""ar"", ""bn"")"),"glories এর সামিট")</f>
        <v>glories এর সামিট</v>
      </c>
    </row>
    <row r="2323">
      <c r="A2323" s="2" t="s">
        <v>2395</v>
      </c>
      <c r="B2323" s="3" t="str">
        <f>IFERROR(__xludf.DUMMYFUNCTION("GOOGLETRANSLATE(A2323, ""ar"", ""bn"")"),"সামিট জয়লাভ")</f>
        <v>সামিট জয়লাভ</v>
      </c>
    </row>
    <row r="2324">
      <c r="A2324" s="2" t="s">
        <v>2396</v>
      </c>
      <c r="B2324" s="3" t="str">
        <f>IFERROR(__xludf.DUMMYFUNCTION("GOOGLETRANSLATE(A2324, ""ar"", ""bn"")"),"মেরু দেশের কন্ট্রোল")</f>
        <v>মেরু দেশের কন্ট্রোল</v>
      </c>
    </row>
    <row r="2325">
      <c r="A2325" s="2" t="s">
        <v>2397</v>
      </c>
      <c r="B2325" s="3" t="str">
        <f>IFERROR(__xludf.DUMMYFUNCTION("GOOGLETRANSLATE(A2325, ""ar"", ""bn"")"),"প্রভাবশালী পরাশক্তি")</f>
        <v>প্রভাবশালী পরাশক্তি</v>
      </c>
    </row>
    <row r="2326">
      <c r="A2326" s="2" t="s">
        <v>2398</v>
      </c>
      <c r="B2326" s="3" t="str">
        <f>IFERROR(__xludf.DUMMYFUNCTION("GOOGLETRANSLATE(A2326, ""ar"", ""bn"")"),"মেটাডাটা নীতিকে")</f>
        <v>মেটাডাটা নীতিকে</v>
      </c>
    </row>
    <row r="2327">
      <c r="A2327" s="2" t="s">
        <v>2399</v>
      </c>
      <c r="B2327" s="3" t="str">
        <f>IFERROR(__xludf.DUMMYFUNCTION("GOOGLETRANSLATE(A2327, ""ar"", ""bn"")"),"নিয়ন্ত্রণের সুপারভিশন")</f>
        <v>নিয়ন্ত্রণের সুপারভিশন</v>
      </c>
    </row>
    <row r="2328">
      <c r="A2328" s="2" t="s">
        <v>2400</v>
      </c>
      <c r="B2328" s="3" t="str">
        <f>IFERROR(__xludf.DUMMYFUNCTION("GOOGLETRANSLATE(A2328, ""ar"", ""bn"")"),"কনত্রোলটাওয়ার")</f>
        <v>কনত্রোলটাওয়ার</v>
      </c>
    </row>
    <row r="2329">
      <c r="A2329" s="2" t="s">
        <v>2401</v>
      </c>
      <c r="B2329" s="3" t="str">
        <f>IFERROR(__xludf.DUMMYFUNCTION("GOOGLETRANSLATE(A2329, ""ar"", ""bn"")"),"সুপারভাইজরি কমিটির")</f>
        <v>সুপারভাইজরি কমিটির</v>
      </c>
    </row>
    <row r="2330">
      <c r="A2330" s="2" t="s">
        <v>2402</v>
      </c>
      <c r="B2330" s="3" t="str">
        <f>IFERROR(__xludf.DUMMYFUNCTION("GOOGLETRANSLATE(A2330, ""ar"", ""bn"")"),"এটা তোলে শান্তি প্রচেষ্টায় সমর্থন")</f>
        <v>এটা তোলে শান্তি প্রচেষ্টায় সমর্থন</v>
      </c>
    </row>
    <row r="2331">
      <c r="A2331" s="2" t="s">
        <v>2403</v>
      </c>
      <c r="B2331" s="3" t="str">
        <f>IFERROR(__xludf.DUMMYFUNCTION("GOOGLETRANSLATE(A2331, ""ar"", ""bn"")"),"সমর্থন সরকার")</f>
        <v>সমর্থন সরকার</v>
      </c>
    </row>
    <row r="2332">
      <c r="A2332" s="2" t="s">
        <v>2404</v>
      </c>
      <c r="B2332" s="3" t="str">
        <f>IFERROR(__xludf.DUMMYFUNCTION("GOOGLETRANSLATE(A2332, ""ar"", ""bn"")"),"Imlga মানুষের মধ্যে দূরত্ব")</f>
        <v>Imlga মানুষের মধ্যে দূরত্ব</v>
      </c>
    </row>
    <row r="2333">
      <c r="A2333" s="2" t="s">
        <v>2405</v>
      </c>
      <c r="B2333" s="3" t="str">
        <f>IFERROR(__xludf.DUMMYFUNCTION("GOOGLETRANSLATE(A2333, ""ar"", ""bn"")"),"সন্ত্রাসবাদ সঙ্গে এস")</f>
        <v>সন্ত্রাসবাদ সঙ্গে এস</v>
      </c>
    </row>
    <row r="2334">
      <c r="A2334" s="2" t="s">
        <v>2406</v>
      </c>
      <c r="B2334" s="3" t="str">
        <f>IFERROR(__xludf.DUMMYFUNCTION("GOOGLETRANSLATE(A2334, ""ar"", ""bn"")"),"আইন আন্তর্জাতিক রুল")</f>
        <v>আইন আন্তর্জাতিক রুল</v>
      </c>
    </row>
    <row r="2335">
      <c r="A2335" s="2" t="s">
        <v>2407</v>
      </c>
      <c r="B2335" s="3" t="str">
        <f>IFERROR(__xludf.DUMMYFUNCTION("GOOGLETRANSLATE(A2335, ""ar"", ""bn"")"),"আইন এর নিয়ম")</f>
        <v>আইন এর নিয়ম</v>
      </c>
    </row>
    <row r="2336">
      <c r="A2336" s="2" t="s">
        <v>2408</v>
      </c>
      <c r="B2336" s="3" t="str">
        <f>IFERROR(__xludf.DUMMYFUNCTION("GOOGLETRANSLATE(A2336, ""ar"", ""bn"")"),"সুপ্রিম আইন প্রণয়নকারী কর্তৃপক্ষ")</f>
        <v>সুপ্রিম আইন প্রণয়নকারী কর্তৃপক্ষ</v>
      </c>
    </row>
    <row r="2337">
      <c r="A2337" s="2" t="s">
        <v>2409</v>
      </c>
      <c r="B2337" s="3" t="str">
        <f>IFERROR(__xludf.DUMMYFUNCTION("GOOGLETRANSLATE(A2337, ""ar"", ""bn"")"),"উচ্চ কর্তৃপক্ষ")</f>
        <v>উচ্চ কর্তৃপক্ষ</v>
      </c>
    </row>
    <row r="2338">
      <c r="A2338" s="2" t="s">
        <v>2410</v>
      </c>
      <c r="B2338" s="3" t="str">
        <f>IFERROR(__xludf.DUMMYFUNCTION("GOOGLETRANSLATE(A2338, ""ar"", ""bn"")"),"শত্রুর কাছে আত্মসমর্পণ করে")</f>
        <v>শত্রুর কাছে আত্মসমর্পণ করে</v>
      </c>
    </row>
    <row r="2339">
      <c r="A2339" s="2" t="s">
        <v>2411</v>
      </c>
      <c r="B2339" s="3" t="str">
        <f>IFERROR(__xludf.DUMMYFUNCTION("GOOGLETRANSLATE(A2339, ""ar"", ""bn"")"),"জনমত খোঁজ")</f>
        <v>জনমত খোঁজ</v>
      </c>
    </row>
    <row r="2340">
      <c r="A2340" s="2" t="s">
        <v>2412</v>
      </c>
      <c r="B2340" s="3" t="str">
        <f>IFERROR(__xludf.DUMMYFUNCTION("GOOGLETRANSLATE(A2340, ""ar"", ""bn"")"),"রাজনৈতিক ইভেন্টগুলি দেখুন")</f>
        <v>রাজনৈতিক ইভেন্টগুলি দেখুন</v>
      </c>
    </row>
    <row r="2341">
      <c r="A2341" s="2" t="s">
        <v>2413</v>
      </c>
      <c r="B2341" s="3" t="str">
        <f>IFERROR(__xludf.DUMMYFUNCTION("GOOGLETRANSLATE(A2341, ""ar"", ""bn"")"),"রাজনৈতিক বাস্তবতার দেখুন")</f>
        <v>রাজনৈতিক বাস্তবতার দেখুন</v>
      </c>
    </row>
    <row r="2342">
      <c r="A2342" s="2" t="s">
        <v>2414</v>
      </c>
      <c r="B2342" s="3" t="str">
        <f>IFERROR(__xludf.DUMMYFUNCTION("GOOGLETRANSLATE(A2342, ""ar"", ""bn"")"),"স্টে নীতি")</f>
        <v>স্টে নীতি</v>
      </c>
    </row>
    <row r="2343">
      <c r="A2343" s="2" t="s">
        <v>2415</v>
      </c>
      <c r="B2343" s="3" t="str">
        <f>IFERROR(__xludf.DUMMYFUNCTION("GOOGLETRANSLATE(A2343, ""ar"", ""bn"")"),"যোগ্যতমের বেঁচে থাকা")</f>
        <v>যোগ্যতমের বেঁচে থাকা</v>
      </c>
    </row>
    <row r="2344">
      <c r="A2344" s="2" t="s">
        <v>2416</v>
      </c>
      <c r="B2344" s="3" t="str">
        <f>IFERROR(__xludf.DUMMYFUNCTION("GOOGLETRANSLATE(A2344, ""ar"", ""bn"")"),"আলে কূটনৈতিক আলোচনার")</f>
        <v>আলে কূটনৈতিক আলোচনার</v>
      </c>
    </row>
    <row r="2345">
      <c r="A2345" s="2" t="s">
        <v>2417</v>
      </c>
      <c r="B2345" s="3" t="str">
        <f>IFERROR(__xludf.DUMMYFUNCTION("GOOGLETRANSLATE(A2345, ""ar"", ""bn"")"),"অমল রাজনৈতিক আলোচনা")</f>
        <v>অমল রাজনৈতিক আলোচনা</v>
      </c>
    </row>
    <row r="2346">
      <c r="A2346" s="2" t="s">
        <v>2418</v>
      </c>
      <c r="B2346" s="3" t="str">
        <f>IFERROR(__xludf.DUMMYFUNCTION("GOOGLETRANSLATE(A2346, ""ar"", ""bn"")"),"প্রকাশনা স্টপ")</f>
        <v>প্রকাশনা স্টপ</v>
      </c>
    </row>
    <row r="2347">
      <c r="A2347" s="2" t="s">
        <v>2419</v>
      </c>
      <c r="B2347" s="3" t="str">
        <f>IFERROR(__xludf.DUMMYFUNCTION("GOOGLETRANSLATE(A2347, ""ar"", ""bn"")"),"স্টপ বিমান হামলা")</f>
        <v>স্টপ বিমান হামলা</v>
      </c>
    </row>
    <row r="2348">
      <c r="A2348" s="2" t="s">
        <v>2420</v>
      </c>
      <c r="B2348" s="3" t="str">
        <f>IFERROR(__xludf.DUMMYFUNCTION("GOOGLETRANSLATE(A2348, ""ar"", ""bn"")"),"কূটনৈতিক সম্পর্ক স্থগিত")</f>
        <v>কূটনৈতিক সম্পর্ক স্থগিত</v>
      </c>
    </row>
    <row r="2349">
      <c r="A2349" s="2" t="s">
        <v>2421</v>
      </c>
      <c r="B2349" s="3" t="str">
        <f>IFERROR(__xludf.DUMMYFUNCTION("GOOGLETRANSLATE(A2349, ""ar"", ""bn"")"),"যুদ্ধ একটি অস্থায়ী স্থগিত")</f>
        <v>যুদ্ধ একটি অস্থায়ী স্থগিত</v>
      </c>
    </row>
    <row r="2350">
      <c r="A2350" s="2" t="s">
        <v>2422</v>
      </c>
      <c r="B2350" s="3" t="str">
        <f>IFERROR(__xludf.DUMMYFUNCTION("GOOGLETRANSLATE(A2350, ""ar"", ""bn"")"),"মন্তব্য দায়রা")</f>
        <v>মন্তব্য দায়রা</v>
      </c>
    </row>
    <row r="2351">
      <c r="A2351" s="2" t="s">
        <v>2423</v>
      </c>
      <c r="B2351" s="3" t="str">
        <f>IFERROR(__xludf.DUMMYFUNCTION("GOOGLETRANSLATE(A2351, ""ar"", ""bn"")"),"রাষ্ট্রের সদস্যপদ স্থগিত")</f>
        <v>রাষ্ট্রের সদস্যপদ স্থগিত</v>
      </c>
    </row>
    <row r="2352">
      <c r="A2352" s="2" t="s">
        <v>2424</v>
      </c>
      <c r="B2352" s="3" t="str">
        <f>IFERROR(__xludf.DUMMYFUNCTION("GOOGLETRANSLATE(A2352, ""ar"", ""bn"")"),"Amaad রাজনৈতিক সিদ্ধান্ত")</f>
        <v>Amaad রাজনৈতিক সিদ্ধান্ত</v>
      </c>
    </row>
    <row r="2353">
      <c r="A2353" s="2" t="s">
        <v>2425</v>
      </c>
      <c r="B2353" s="3" t="str">
        <f>IFERROR(__xludf.DUMMYFUNCTION("GOOGLETRANSLATE(A2353, ""ar"", ""bn"")"),"একটি স্থায়ী যুদ্ধবিরতির")</f>
        <v>একটি স্থায়ী যুদ্ধবিরতির</v>
      </c>
    </row>
    <row r="2354">
      <c r="A2354" s="2" t="s">
        <v>2426</v>
      </c>
      <c r="B2354" s="3" t="str">
        <f>IFERROR(__xludf.DUMMYFUNCTION("GOOGLETRANSLATE(A2354, ""ar"", ""bn"")"),"লার্জ আন্তর্জাতিক ছাড়")</f>
        <v>লার্জ আন্তর্জাতিক ছাড়</v>
      </c>
    </row>
    <row r="2355">
      <c r="A2355" s="2" t="s">
        <v>2427</v>
      </c>
      <c r="B2355" s="3" t="str">
        <f>IFERROR(__xludf.DUMMYFUNCTION("GOOGLETRANSLATE(A2355, ""ar"", ""bn"")"),"সাইফ বিচারপতি")</f>
        <v>সাইফ বিচারপতি</v>
      </c>
    </row>
    <row r="2356">
      <c r="A2356" s="2" t="s">
        <v>2428</v>
      </c>
      <c r="B2356" s="3" t="str">
        <f>IFERROR(__xludf.DUMMYFUNCTION("GOOGLETRANSLATE(A2356, ""ar"", ""bn"")"),"রেজা মৌন")</f>
        <v>রেজা মৌন</v>
      </c>
    </row>
    <row r="2357">
      <c r="A2357" s="2" t="s">
        <v>2429</v>
      </c>
      <c r="B2357" s="3" t="str">
        <f>IFERROR(__xludf.DUMMYFUNCTION("GOOGLETRANSLATE(A2357, ""ar"", ""bn"")"),"এটা তোলে নেতৃত্ব লাগে")</f>
        <v>এটা তোলে নেতৃত্ব লাগে</v>
      </c>
    </row>
    <row r="2358">
      <c r="A2358" s="2" t="s">
        <v>2430</v>
      </c>
      <c r="B2358" s="3" t="str">
        <f>IFERROR(__xludf.DUMMYFUNCTION("GOOGLETRANSLATE(A2358, ""ar"", ""bn"")"),"বাঁধন জন্য Astg সুবিধা")</f>
        <v>বাঁধন জন্য Astg সুবিধা</v>
      </c>
    </row>
    <row r="2359">
      <c r="A2359" s="2" t="s">
        <v>2431</v>
      </c>
      <c r="B2359" s="3" t="str">
        <f>IFERROR(__xludf.DUMMYFUNCTION("GOOGLETRANSLATE(A2359, ""ar"", ""bn"")"),"শুটিং")</f>
        <v>শুটিং</v>
      </c>
    </row>
    <row r="2360">
      <c r="A2360" s="2" t="s">
        <v>2429</v>
      </c>
      <c r="B2360" s="3" t="str">
        <f>IFERROR(__xludf.DUMMYFUNCTION("GOOGLETRANSLATE(A2360, ""ar"", ""bn"")"),"এটা তোলে নেতৃত্ব লাগে")</f>
        <v>এটা তোলে নেতৃত্ব লাগে</v>
      </c>
    </row>
    <row r="2361">
      <c r="A2361" s="2" t="s">
        <v>262</v>
      </c>
      <c r="B2361" s="3" t="str">
        <f>IFERROR(__xludf.DUMMYFUNCTION("GOOGLETRANSLATE(A2361, ""ar"", ""bn"")"),"কূটনীতি")</f>
        <v>কূটনীতি</v>
      </c>
    </row>
    <row r="2362">
      <c r="A2362" s="2" t="s">
        <v>2432</v>
      </c>
      <c r="B2362" s="3" t="str">
        <f>IFERROR(__xludf.DUMMYFUNCTION("GOOGLETRANSLATE(A2362, ""ar"", ""bn"")"),"বিবেচনা করা")</f>
        <v>বিবেচনা করা</v>
      </c>
    </row>
    <row r="2363">
      <c r="A2363" s="2" t="s">
        <v>2433</v>
      </c>
      <c r="B2363" s="3" t="str">
        <f>IFERROR(__xludf.DUMMYFUNCTION("GOOGLETRANSLATE(A2363, ""ar"", ""bn"")"),"আলোচনায় Emcerk")</f>
        <v>আলোচনায় Emcerk</v>
      </c>
    </row>
    <row r="2364">
      <c r="A2364" s="2" t="s">
        <v>262</v>
      </c>
      <c r="B2364" s="3" t="str">
        <f>IFERROR(__xludf.DUMMYFUNCTION("GOOGLETRANSLATE(A2364, ""ar"", ""bn"")"),"কূটনীতি")</f>
        <v>কূটনীতি</v>
      </c>
    </row>
    <row r="2365">
      <c r="A2365" s="2" t="s">
        <v>2434</v>
      </c>
      <c r="B2365" s="3" t="str">
        <f>IFERROR(__xludf.DUMMYFUNCTION("GOOGLETRANSLATE(A2365, ""ar"", ""bn"")"),"সংলাপে Emcerk")</f>
        <v>সংলাপে Emcerk</v>
      </c>
    </row>
    <row r="2366">
      <c r="A2366" s="2" t="s">
        <v>2435</v>
      </c>
      <c r="B2366" s="3" t="str">
        <f>IFERROR(__xludf.DUMMYFUNCTION("GOOGLETRANSLATE(A2366, ""ar"", ""bn"")"),"পূর্ব সতর্কতা গ্রহন করুন")</f>
        <v>পূর্ব সতর্কতা গ্রহন করুন</v>
      </c>
    </row>
    <row r="2367">
      <c r="A2367" s="2" t="s">
        <v>2436</v>
      </c>
      <c r="B2367" s="3" t="str">
        <f>IFERROR(__xludf.DUMMYFUNCTION("GOOGLETRANSLATE(A2367, ""ar"", ""bn"")"),"জে আশ্রয় নেবে")</f>
        <v>জে আশ্রয় নেবে</v>
      </c>
    </row>
    <row r="2368">
      <c r="A2368" s="2" t="s">
        <v>2437</v>
      </c>
      <c r="B2368" s="3" t="str">
        <f>IFERROR(__xludf.DUMMYFUNCTION("GOOGLETRANSLATE(A2368, ""ar"", ""bn"")"),"জে আত্মরক্ষামূলক নেবে")</f>
        <v>জে আত্মরক্ষামূলক নেবে</v>
      </c>
    </row>
    <row r="2369">
      <c r="A2369" s="2" t="s">
        <v>2438</v>
      </c>
      <c r="B2369" s="3" t="str">
        <f>IFERROR(__xludf.DUMMYFUNCTION("GOOGLETRANSLATE(A2369, ""ar"", ""bn"")"),"Ambaght শত্রু")</f>
        <v>Ambaght শত্রু</v>
      </c>
    </row>
    <row r="2370">
      <c r="A2370" s="2" t="s">
        <v>2439</v>
      </c>
      <c r="B2370" s="3" t="str">
        <f>IFERROR(__xludf.DUMMYFUNCTION("GOOGLETRANSLATE(A2370, ""ar"", ""bn"")"),"জে আক্রমণের অবস্থান নেবে")</f>
        <v>জে আক্রমণের অবস্থান নেবে</v>
      </c>
    </row>
    <row r="2371">
      <c r="A2371" s="2" t="s">
        <v>2440</v>
      </c>
      <c r="B2371" s="3" t="str">
        <f>IFERROR(__xludf.DUMMYFUNCTION("GOOGLETRANSLATE(A2371, ""ar"", ""bn"")"),"একাউন্টে গ্রহণ সুপারিশ")</f>
        <v>একাউন্টে গ্রহণ সুপারিশ</v>
      </c>
    </row>
    <row r="2372">
      <c r="A2372" s="2" t="s">
        <v>2441</v>
      </c>
      <c r="B2372" s="3" t="str">
        <f>IFERROR(__xludf.DUMMYFUNCTION("GOOGLETRANSLATE(A2372, ""ar"", ""bn"")"),"Amsatr সীমান্ত")</f>
        <v>Amsatr সীমান্ত</v>
      </c>
    </row>
    <row r="2373">
      <c r="A2373" s="2" t="s">
        <v>2442</v>
      </c>
      <c r="B2373" s="3" t="str">
        <f>IFERROR(__xludf.DUMMYFUNCTION("GOOGLETRANSLATE(A2373, ""ar"", ""bn"")"),"Amsatr তেল সম্পদ")</f>
        <v>Amsatr তেল সম্পদ</v>
      </c>
    </row>
    <row r="2374">
      <c r="A2374" s="2" t="s">
        <v>2443</v>
      </c>
      <c r="B2374" s="3" t="str">
        <f>IFERROR(__xludf.DUMMYFUNCTION("GOOGLETRANSLATE(A2374, ""ar"", ""bn"")"),"Amsatr পয়েন্ট")</f>
        <v>Amsatr পয়েন্ট</v>
      </c>
    </row>
    <row r="2375">
      <c r="A2375" s="2" t="s">
        <v>2100</v>
      </c>
      <c r="B2375" s="3" t="str">
        <f>IFERROR(__xludf.DUMMYFUNCTION("GOOGLETRANSLATE(A2375, ""ar"", ""bn"")"),"কৌশল")</f>
        <v>কৌশল</v>
      </c>
    </row>
    <row r="2376">
      <c r="A2376" s="2" t="s">
        <v>2444</v>
      </c>
      <c r="B2376" s="3" t="str">
        <f>IFERROR(__xludf.DUMMYFUNCTION("GOOGLETRANSLATE(A2376, ""ar"", ""bn"")"),"Amsatr সাইট")</f>
        <v>Amsatr সাইট</v>
      </c>
    </row>
    <row r="2377">
      <c r="A2377" s="2" t="s">
        <v>2100</v>
      </c>
      <c r="B2377" s="3" t="str">
        <f>IFERROR(__xludf.DUMMYFUNCTION("GOOGLETRANSLATE(A2377, ""ar"", ""bn"")"),"কৌশল")</f>
        <v>কৌশল</v>
      </c>
    </row>
    <row r="2378">
      <c r="A2378" s="2" t="s">
        <v>2445</v>
      </c>
      <c r="B2378" s="3" t="str">
        <f>IFERROR(__xludf.DUMMYFUNCTION("GOOGLETRANSLATE(A2378, ""ar"", ""bn"")"),"আলোচনায় Emcerk")</f>
        <v>আলোচনায় Emcerk</v>
      </c>
    </row>
    <row r="2379">
      <c r="A2379" s="2" t="s">
        <v>2446</v>
      </c>
      <c r="B2379" s="3" t="str">
        <f>IFERROR(__xludf.DUMMYFUNCTION("GOOGLETRANSLATE(A2379, ""ar"", ""bn"")"),"সংলাপে Emcerk")</f>
        <v>সংলাপে Emcerk</v>
      </c>
    </row>
    <row r="2380">
      <c r="A2380" s="2" t="s">
        <v>262</v>
      </c>
      <c r="B2380" s="3" t="str">
        <f>IFERROR(__xludf.DUMMYFUNCTION("GOOGLETRANSLATE(A2380, ""ar"", ""bn"")"),"কূটনীতি")</f>
        <v>কূটনীতি</v>
      </c>
    </row>
    <row r="2381">
      <c r="A2381" s="2" t="s">
        <v>2433</v>
      </c>
      <c r="B2381" s="3" t="str">
        <f>IFERROR(__xludf.DUMMYFUNCTION("GOOGLETRANSLATE(A2381, ""ar"", ""bn"")"),"আলোচনায় Emcerk")</f>
        <v>আলোচনায় Emcerk</v>
      </c>
    </row>
    <row r="2382">
      <c r="A2382" s="2" t="s">
        <v>468</v>
      </c>
      <c r="B2382" s="3" t="str">
        <f>IFERROR(__xludf.DUMMYFUNCTION("GOOGLETRANSLATE(A2382, ""ar"", ""bn"")"),"রাজনৈতিক")</f>
        <v>রাজনৈতিক</v>
      </c>
    </row>
    <row r="2383">
      <c r="A2383" s="2" t="s">
        <v>2447</v>
      </c>
      <c r="B2383" s="3" t="str">
        <f>IFERROR(__xludf.DUMMYFUNCTION("GOOGLETRANSLATE(A2383, ""ar"", ""bn"")"),"বেসামরিক টার্গেটিং")</f>
        <v>বেসামরিক টার্গেটিং</v>
      </c>
    </row>
    <row r="2384">
      <c r="A2384" s="2" t="s">
        <v>2448</v>
      </c>
      <c r="B2384" s="3" t="str">
        <f>IFERROR(__xludf.DUMMYFUNCTION("GOOGLETRANSLATE(A2384, ""ar"", ""bn"")"),"ভূমিকা থেকে একটি প্রাথমিক প্রস্তাব")</f>
        <v>ভূমিকা থেকে একটি প্রাথমিক প্রস্তাব</v>
      </c>
    </row>
    <row r="2385">
      <c r="A2385" s="2" t="s">
        <v>1724</v>
      </c>
      <c r="B2385" s="3" t="str">
        <f>IFERROR(__xludf.DUMMYFUNCTION("GOOGLETRANSLATE(A2385, ""ar"", ""bn"")"),"ভারতবর্ষের লোকসভা")</f>
        <v>ভারতবর্ষের লোকসভা</v>
      </c>
    </row>
    <row r="2386">
      <c r="A2386" s="2" t="s">
        <v>2449</v>
      </c>
      <c r="B2386" s="3" t="str">
        <f>IFERROR(__xludf.DUMMYFUNCTION("GOOGLETRANSLATE(A2386, ""ar"", ""bn"")"),"আইটেম শুটিং")</f>
        <v>আইটেম শুটিং</v>
      </c>
    </row>
    <row r="2387">
      <c r="A2387" s="2" t="s">
        <v>2450</v>
      </c>
      <c r="B2387" s="3" t="str">
        <f>IFERROR(__xludf.DUMMYFUNCTION("GOOGLETRANSLATE(A2387, ""ar"", ""bn"")"),"ধার্মিকতা অবরোধের")</f>
        <v>ধার্মিকতা অবরোধের</v>
      </c>
    </row>
    <row r="2388">
      <c r="A2388" s="2" t="s">
        <v>2451</v>
      </c>
      <c r="B2388" s="3" t="str">
        <f>IFERROR(__xludf.DUMMYFUNCTION("GOOGLETRANSLATE(A2388, ""ar"", ""bn"")"),"আঞ্চলিক আইন আবেদন")</f>
        <v>আঞ্চলিক আইন আবেদন</v>
      </c>
    </row>
    <row r="2389">
      <c r="A2389" s="2" t="s">
        <v>2452</v>
      </c>
      <c r="B2389" s="3" t="str">
        <f>IFERROR(__xludf.DUMMYFUNCTION("GOOGLETRANSLATE(A2389, ""ar"", ""bn"")"),"এম আঞ্চলিক আহ্বান")</f>
        <v>এম আঞ্চলিক আহ্বান</v>
      </c>
    </row>
    <row r="2390">
      <c r="A2390" s="2" t="s">
        <v>2453</v>
      </c>
      <c r="B2390" s="3" t="str">
        <f>IFERROR(__xludf.DUMMYFUNCTION("GOOGLETRANSLATE(A2390, ""ar"", ""bn"")"),"আঞ্চলিক বিভাগের")</f>
        <v>আঞ্চলিক বিভাগের</v>
      </c>
    </row>
    <row r="2391">
      <c r="A2391" s="2" t="s">
        <v>2454</v>
      </c>
      <c r="B2391" s="3" t="str">
        <f>IFERROR(__xludf.DUMMYFUNCTION("GOOGLETRANSLATE(A2391, ""ar"", ""bn"")"),"আঞ্চলিক সীমানা")</f>
        <v>আঞ্চলিক সীমানা</v>
      </c>
    </row>
    <row r="2392">
      <c r="A2392" s="2" t="s">
        <v>2455</v>
      </c>
      <c r="B2392" s="3" t="str">
        <f>IFERROR(__xludf.DUMMYFUNCTION("GOOGLETRANSLATE(A2392, ""ar"", ""bn"")"),"আইন স্থানিক গণ্ডি")</f>
        <v>আইন স্থানিক গণ্ডি</v>
      </c>
    </row>
    <row r="2393">
      <c r="A2393" s="2" t="s">
        <v>2456</v>
      </c>
      <c r="B2393" s="3" t="str">
        <f>IFERROR(__xludf.DUMMYFUNCTION("GOOGLETRANSLATE(A2393, ""ar"", ""bn"")"),"আঞ্চলিক পানি")</f>
        <v>আঞ্চলিক পানি</v>
      </c>
    </row>
    <row r="2394">
      <c r="A2394" s="2" t="s">
        <v>2457</v>
      </c>
      <c r="B2394" s="3" t="str">
        <f>IFERROR(__xludf.DUMMYFUNCTION("GOOGLETRANSLATE(A2394, ""ar"", ""bn"")"),"আঞ্চলিক আইন")</f>
        <v>আঞ্চলিক আইন</v>
      </c>
    </row>
    <row r="2395">
      <c r="A2395" s="2" t="s">
        <v>2458</v>
      </c>
      <c r="B2395" s="3" t="str">
        <f>IFERROR(__xludf.DUMMYFUNCTION("GOOGLETRANSLATE(A2395, ""ar"", ""bn"")"),"হে জাতি জমি")</f>
        <v>হে জাতি জমি</v>
      </c>
    </row>
    <row r="2396">
      <c r="A2396" s="2" t="s">
        <v>2459</v>
      </c>
      <c r="B2396" s="3" t="str">
        <f>IFERROR(__xludf.DUMMYFUNCTION("GOOGLETRANSLATE(A2396, ""ar"", ""bn"")"),"জনাদেশ অধীনে অঞ্চল")</f>
        <v>জনাদেশ অধীনে অঞ্চল</v>
      </c>
    </row>
    <row r="2397">
      <c r="A2397" s="2" t="s">
        <v>2460</v>
      </c>
      <c r="B2397" s="3" t="str">
        <f>IFERROR(__xludf.DUMMYFUNCTION("GOOGLETRANSLATE(A2397, ""ar"", ""bn"")"),"সন্ত্রাসবাদ হিসেবে")</f>
        <v>সন্ত্রাসবাদ হিসেবে</v>
      </c>
    </row>
    <row r="2398">
      <c r="A2398" s="2" t="s">
        <v>2461</v>
      </c>
      <c r="B2398" s="3" t="str">
        <f>IFERROR(__xludf.DUMMYFUNCTION("GOOGLETRANSLATE(A2398, ""ar"", ""bn"")"),"সন্ত্রাসবাদ পদ্ধতি")</f>
        <v>সন্ত্রাসবাদ পদ্ধতি</v>
      </c>
    </row>
    <row r="2399">
      <c r="A2399" s="2" t="s">
        <v>2462</v>
      </c>
      <c r="B2399" s="3" t="str">
        <f>IFERROR(__xludf.DUMMYFUNCTION("GOOGLETRANSLATE(A2399, ""ar"", ""bn"")"),"সন্ত্রাসবাদ")</f>
        <v>সন্ত্রাসবাদ</v>
      </c>
    </row>
    <row r="2400">
      <c r="A2400" s="2" t="s">
        <v>2463</v>
      </c>
      <c r="B2400" s="3" t="str">
        <f>IFERROR(__xludf.DUMMYFUNCTION("GOOGLETRANSLATE(A2400, ""ar"", ""bn"")"),"সন্ত্রাসবাদী")</f>
        <v>সন্ত্রাসবাদী</v>
      </c>
    </row>
    <row r="2401">
      <c r="A2401" s="2" t="s">
        <v>2464</v>
      </c>
      <c r="B2401" s="3" t="str">
        <f>IFERROR(__xludf.DUMMYFUNCTION("GOOGLETRANSLATE(A2401, ""ar"", ""bn"")"),"জঙ্গি হামলা")</f>
        <v>জঙ্গি হামলা</v>
      </c>
    </row>
    <row r="2402">
      <c r="A2402" s="2" t="s">
        <v>2465</v>
      </c>
      <c r="B2402" s="3" t="str">
        <f>IFERROR(__xludf.DUMMYFUNCTION("GOOGLETRANSLATE(A2402, ""ar"", ""bn"")"),"সন্ত্রাসী দলের")</f>
        <v>সন্ত্রাসী দলের</v>
      </c>
    </row>
    <row r="2403">
      <c r="A2403" s="2" t="s">
        <v>2466</v>
      </c>
      <c r="B2403" s="3" t="str">
        <f>IFERROR(__xludf.DUMMYFUNCTION("GOOGLETRANSLATE(A2403, ""ar"", ""bn"")"),"Amrhb বেসামরিক")</f>
        <v>Amrhb বেসামরিক</v>
      </c>
    </row>
    <row r="2404">
      <c r="A2404" s="2" t="s">
        <v>2467</v>
      </c>
      <c r="B2404" s="3" t="str">
        <f>IFERROR(__xludf.DUMMYFUNCTION("GOOGLETRANSLATE(A2404, ""ar"", ""bn"")"),"ধর্মীয় নিয়ম সিস্টেম")</f>
        <v>ধর্মীয় নিয়ম সিস্টেম</v>
      </c>
    </row>
    <row r="2405">
      <c r="A2405" s="2" t="s">
        <v>2468</v>
      </c>
      <c r="B2405" s="3" t="str">
        <f>IFERROR(__xludf.DUMMYFUNCTION("GOOGLETRANSLATE(A2405, ""ar"", ""bn"")"),"দিব্যতন্ত্র")</f>
        <v>দিব্যতন্ত্র</v>
      </c>
    </row>
    <row r="2406">
      <c r="A2406" s="2" t="s">
        <v>2469</v>
      </c>
      <c r="B2406" s="3" t="str">
        <f>IFERROR(__xludf.DUMMYFUNCTION("GOOGLETRANSLATE(A2406, ""ar"", ""bn"")"),"নির্ধারক পরিণত প্রত্যাখ্যান")</f>
        <v>নির্ধারক পরিণত প্রত্যাখ্যান</v>
      </c>
    </row>
    <row r="2407">
      <c r="A2407" s="2" t="s">
        <v>2470</v>
      </c>
      <c r="B2407" s="3" t="str">
        <f>IFERROR(__xludf.DUMMYFUNCTION("GOOGLETRANSLATE(A2407, ""ar"", ""bn"")"),"তৃতীয় বিশ্বের দেশে")</f>
        <v>তৃতীয় বিশ্বের দেশে</v>
      </c>
    </row>
    <row r="2408">
      <c r="A2408" s="2" t="s">
        <v>2471</v>
      </c>
      <c r="B2408" s="3" t="str">
        <f>IFERROR(__xludf.DUMMYFUNCTION("GOOGLETRANSLATE(A2408, ""ar"", ""bn"")"),"বল ব্যবহার Amahdd")</f>
        <v>বল ব্যবহার Amahdd</v>
      </c>
    </row>
    <row r="2409">
      <c r="A2409" s="2" t="s">
        <v>2472</v>
      </c>
      <c r="B2409" s="3" t="str">
        <f>IFERROR(__xludf.DUMMYFUNCTION("GOOGLETRANSLATE(A2409, ""ar"", ""bn"")"),"সন্ধির মেয়াদ শেষ হওয়ার তারিখ")</f>
        <v>সন্ধির মেয়াদ শেষ হওয়ার তারিখ</v>
      </c>
    </row>
    <row r="2410">
      <c r="A2410" s="2" t="s">
        <v>2473</v>
      </c>
      <c r="B2410" s="3" t="str">
        <f>IFERROR(__xludf.DUMMYFUNCTION("GOOGLETRANSLATE(A2410, ""ar"", ""bn"")"),"আলোচনার জন্য খুব দেরি")</f>
        <v>আলোচনার জন্য খুব দেরি</v>
      </c>
    </row>
    <row r="2411">
      <c r="A2411" s="2" t="s">
        <v>262</v>
      </c>
      <c r="B2411" s="3" t="str">
        <f>IFERROR(__xludf.DUMMYFUNCTION("GOOGLETRANSLATE(A2411, ""ar"", ""bn"")"),"কূটনীতি")</f>
        <v>কূটনীতি</v>
      </c>
    </row>
    <row r="2412">
      <c r="A2412" s="2" t="s">
        <v>2474</v>
      </c>
      <c r="B2412" s="3" t="str">
        <f>IFERROR(__xludf.DUMMYFUNCTION("GOOGLETRANSLATE(A2412, ""ar"", ""bn"")"),"যুদ্ধবিরতি তারিখ")</f>
        <v>যুদ্ধবিরতি তারিখ</v>
      </c>
    </row>
    <row r="2413">
      <c r="A2413" s="2" t="s">
        <v>2475</v>
      </c>
      <c r="B2413" s="3" t="str">
        <f>IFERROR(__xludf.DUMMYFUNCTION("GOOGLETRANSLATE(A2413, ""ar"", ""bn"")"),"রাজনৈতিক সিদ্ধান্ত মেনে চলতে")</f>
        <v>রাজনৈতিক সিদ্ধান্ত মেনে চলতে</v>
      </c>
    </row>
    <row r="2414">
      <c r="A2414" s="2" t="s">
        <v>2476</v>
      </c>
      <c r="B2414" s="3" t="str">
        <f>IFERROR(__xludf.DUMMYFUNCTION("GOOGLETRANSLATE(A2414, ""ar"", ""bn"")"),"দমন মরেছে")</f>
        <v>দমন মরেছে</v>
      </c>
    </row>
    <row r="2415">
      <c r="A2415" s="2" t="s">
        <v>2477</v>
      </c>
      <c r="B2415" s="3" t="str">
        <f>IFERROR(__xludf.DUMMYFUNCTION("GOOGLETRANSLATE(A2415, ""ar"", ""bn"")"),"সহিংসতার এক্সপোজার")</f>
        <v>সহিংসতার এক্সপোজার</v>
      </c>
    </row>
    <row r="2416">
      <c r="A2416" s="2" t="s">
        <v>2478</v>
      </c>
      <c r="B2416" s="3" t="str">
        <f>IFERROR(__xludf.DUMMYFUNCTION("GOOGLETRANSLATE(A2416, ""ar"", ""bn"")"),"সমস্যা পে মনোযোগ")</f>
        <v>সমস্যা পে মনোযোগ</v>
      </c>
    </row>
    <row r="2417">
      <c r="A2417" s="2" t="s">
        <v>579</v>
      </c>
      <c r="B2417" s="3" t="str">
        <f>IFERROR(__xludf.DUMMYFUNCTION("GOOGLETRANSLATE(A2417, ""ar"", ""bn"")"),"আন্তর্জাতিক")</f>
        <v>আন্তর্জাতিক</v>
      </c>
    </row>
    <row r="2418">
      <c r="A2418" s="2" t="s">
        <v>2479</v>
      </c>
      <c r="B2418" s="3" t="str">
        <f>IFERROR(__xludf.DUMMYFUNCTION("GOOGLETRANSLATE(A2418, ""ar"", ""bn"")"),"টপিক আলোচনা")</f>
        <v>টপিক আলোচনা</v>
      </c>
    </row>
    <row r="2419">
      <c r="A2419" s="2" t="s">
        <v>262</v>
      </c>
      <c r="B2419" s="3" t="str">
        <f>IFERROR(__xludf.DUMMYFUNCTION("GOOGLETRANSLATE(A2419, ""ar"", ""bn"")"),"কূটনীতি")</f>
        <v>কূটনীতি</v>
      </c>
    </row>
    <row r="2420">
      <c r="A2420" s="2" t="s">
        <v>2480</v>
      </c>
      <c r="B2420" s="3" t="str">
        <f>IFERROR(__xludf.DUMMYFUNCTION("GOOGLETRANSLATE(A2420, ""ar"", ""bn"")"),"রাজনৈতিক বন্দীদের নির্যাতন")</f>
        <v>রাজনৈতিক বন্দীদের নির্যাতন</v>
      </c>
    </row>
    <row r="2421">
      <c r="A2421" s="2" t="s">
        <v>2481</v>
      </c>
      <c r="B2421" s="3" t="str">
        <f>IFERROR(__xludf.DUMMYFUNCTION("GOOGLETRANSLATE(A2421, ""ar"", ""bn"")"),"সমেত সরকার")</f>
        <v>সমেত সরকার</v>
      </c>
    </row>
    <row r="2422">
      <c r="A2422" s="2" t="s">
        <v>2482</v>
      </c>
      <c r="B2422" s="3" t="str">
        <f>IFERROR(__xludf.DUMMYFUNCTION("GOOGLETRANSLATE(A2422, ""ar"", ""bn"")"),"একটি সর্বগ্রাসী শাসন শাসন")</f>
        <v>একটি সর্বগ্রাসী শাসন শাসন</v>
      </c>
    </row>
    <row r="2423">
      <c r="A2423" s="2" t="s">
        <v>2483</v>
      </c>
      <c r="B2423" s="3" t="str">
        <f>IFERROR(__xludf.DUMMYFUNCTION("GOOGLETRANSLATE(A2423, ""ar"", ""bn"")"),"একটি সর্বগ্রাসী রাষ্ট্র")</f>
        <v>একটি সর্বগ্রাসী রাষ্ট্র</v>
      </c>
    </row>
    <row r="2424">
      <c r="A2424" s="2" t="s">
        <v>2484</v>
      </c>
      <c r="B2424" s="3" t="str">
        <f>IFERROR(__xludf.DUMMYFUNCTION("GOOGLETRANSLATE(A2424, ""ar"", ""bn"")"),"সর্বগ্রাসী নিয়ম")</f>
        <v>সর্বগ্রাসী নিয়ম</v>
      </c>
    </row>
    <row r="2425">
      <c r="A2425" s="2" t="s">
        <v>2485</v>
      </c>
      <c r="B2425" s="3" t="str">
        <f>IFERROR(__xludf.DUMMYFUNCTION("GOOGLETRANSLATE(A2425, ""ar"", ""bn"")"),"মিউনিসিপ্যালিটির সভ্যগণ")</f>
        <v>মিউনিসিপ্যালিটির সভ্যগণ</v>
      </c>
    </row>
    <row r="2426">
      <c r="A2426" s="2" t="s">
        <v>2486</v>
      </c>
      <c r="B2426" s="3" t="str">
        <f>IFERROR(__xludf.DUMMYFUNCTION("GOOGLETRANSLATE(A2426, ""ar"", ""bn"")"),"লাইন বা সীমানা অঙ্কন")</f>
        <v>লাইন বা সীমানা অঙ্কন</v>
      </c>
    </row>
    <row r="2427">
      <c r="A2427" s="2" t="s">
        <v>2487</v>
      </c>
      <c r="B2427" s="3" t="str">
        <f>IFERROR(__xludf.DUMMYFUNCTION("GOOGLETRANSLATE(A2427, ""ar"", ""bn"")"),"মানবিক পরিস্থিতি দুঃখজনক")</f>
        <v>মানবিক পরিস্থিতি দুঃখজনক</v>
      </c>
    </row>
    <row r="2428">
      <c r="A2428" s="2" t="s">
        <v>2488</v>
      </c>
      <c r="B2428" s="3" t="str">
        <f>IFERROR(__xludf.DUMMYFUNCTION("GOOGLETRANSLATE(A2428, ""ar"", ""bn"")"),"দুঃখজনক রাজনৈতিক ঘটনা")</f>
        <v>দুঃখজনক রাজনৈতিক ঘটনা</v>
      </c>
    </row>
    <row r="2429">
      <c r="A2429" s="2" t="s">
        <v>2489</v>
      </c>
      <c r="B2429" s="3" t="str">
        <f>IFERROR(__xludf.DUMMYFUNCTION("GOOGLETRANSLATE(A2429, ""ar"", ""bn"")"),"বিশ্বাসঘাতক")</f>
        <v>বিশ্বাসঘাতক</v>
      </c>
    </row>
    <row r="2430">
      <c r="A2430" s="2" t="s">
        <v>2490</v>
      </c>
      <c r="B2430" s="3" t="str">
        <f>IFERROR(__xludf.DUMMYFUNCTION("GOOGLETRANSLATE(A2430, ""ar"", ""bn"")"),"মন্ত্রণালয় রূপান্তরটি")</f>
        <v>মন্ত্রণালয় রূপান্তরটি</v>
      </c>
    </row>
    <row r="2431">
      <c r="A2431" s="2" t="s">
        <v>2491</v>
      </c>
      <c r="B2431" s="3" t="str">
        <f>IFERROR(__xludf.DUMMYFUNCTION("GOOGLETRANSLATE(A2431, ""ar"", ""bn"")"),"ট্রানজিশনাল ব্যবস্থা")</f>
        <v>ট্রানজিশনাল ব্যবস্থা</v>
      </c>
    </row>
    <row r="2432">
      <c r="A2432" s="2" t="s">
        <v>2492</v>
      </c>
      <c r="B2432" s="3" t="str">
        <f>IFERROR(__xludf.DUMMYFUNCTION("GOOGLETRANSLATE(A2432, ""ar"", ""bn"")"),"দেশের মধ্যে তথ্য প্রেরণ")</f>
        <v>দেশের মধ্যে তথ্য প্রেরণ</v>
      </c>
    </row>
    <row r="2433">
      <c r="A2433" s="2" t="s">
        <v>2493</v>
      </c>
      <c r="B2433" s="3" t="str">
        <f>IFERROR(__xludf.DUMMYFUNCTION("GOOGLETRANSLATE(A2433, ""ar"", ""bn"")"),"রাষ্ট্র নীতির ট্রান্সপারেন্সি")</f>
        <v>রাষ্ট্র নীতির ট্রান্সপারেন্সি</v>
      </c>
    </row>
    <row r="2434">
      <c r="A2434" s="2" t="s">
        <v>2494</v>
      </c>
      <c r="B2434" s="3" t="str">
        <f>IFERROR(__xludf.DUMMYFUNCTION("GOOGLETRANSLATE(A2434, ""ar"", ""bn"")"),"বিশ্বাসঘাতকতা")</f>
        <v>বিশ্বাসঘাতকতা</v>
      </c>
    </row>
    <row r="2435">
      <c r="A2435" s="2" t="s">
        <v>2495</v>
      </c>
      <c r="B2435" s="3" t="str">
        <f>IFERROR(__xludf.DUMMYFUNCTION("GOOGLETRANSLATE(A2435, ""ar"", ""bn"")"),"ভিত্তিতে Aamaaml দেশ")</f>
        <v>ভিত্তিতে Aamaaml দেশ</v>
      </c>
    </row>
    <row r="2436">
      <c r="A2436" s="2" t="s">
        <v>2496</v>
      </c>
      <c r="B2436" s="3" t="str">
        <f>IFERROR(__xludf.DUMMYFUNCTION("GOOGLETRANSLATE(A2436, ""ar"", ""bn"")"),"সমতা")</f>
        <v>সমতা</v>
      </c>
    </row>
    <row r="2437">
      <c r="A2437" s="2" t="s">
        <v>2497</v>
      </c>
      <c r="B2437" s="3" t="str">
        <f>IFERROR(__xludf.DUMMYFUNCTION("GOOGLETRANSLATE(A2437, ""ar"", ""bn"")"),"সমতার ভিত্তিতে Aamaaml")</f>
        <v>সমতার ভিত্তিতে Aamaaml</v>
      </c>
    </row>
    <row r="2438">
      <c r="A2438" s="2" t="s">
        <v>2498</v>
      </c>
      <c r="B2438" s="3" t="str">
        <f>IFERROR(__xludf.DUMMYFUNCTION("GOOGLETRANSLATE(A2438, ""ar"", ""bn"")"),"বিদেশীদের সঙ্গে লেনদেন")</f>
        <v>বিদেশীদের সঙ্গে লেনদেন</v>
      </c>
    </row>
    <row r="2439">
      <c r="A2439" s="2" t="s">
        <v>2499</v>
      </c>
      <c r="B2439" s="3" t="str">
        <f>IFERROR(__xludf.DUMMYFUNCTION("GOOGLETRANSLATE(A2439, ""ar"", ""bn"")"),"চুক্তি")</f>
        <v>চুক্তি</v>
      </c>
    </row>
    <row r="2440">
      <c r="A2440" s="2" t="s">
        <v>2500</v>
      </c>
      <c r="B2440" s="3" t="str">
        <f>IFERROR(__xludf.DUMMYFUNCTION("GOOGLETRANSLATE(A2440, ""ar"", ""bn"")"),"ট্রাই-অ্যালায়েন্স")</f>
        <v>ট্রাই-অ্যালায়েন্স</v>
      </c>
    </row>
    <row r="2441">
      <c r="A2441" s="2" t="s">
        <v>2501</v>
      </c>
      <c r="B2441" s="3" t="str">
        <f>IFERROR(__xludf.DUMMYFUNCTION("GOOGLETRANSLATE(A2441, ""ar"", ""bn"")"),"ট্রিপল চুক্তি")</f>
        <v>ট্রিপল চুক্তি</v>
      </c>
    </row>
    <row r="2442">
      <c r="A2442" s="2" t="s">
        <v>2502</v>
      </c>
      <c r="B2442" s="3" t="str">
        <f>IFERROR(__xludf.DUMMYFUNCTION("GOOGLETRANSLATE(A2442, ""ar"", ""bn"")"),"বিজয়")</f>
        <v>বিজয়</v>
      </c>
    </row>
    <row r="2443">
      <c r="A2443" s="2" t="s">
        <v>2503</v>
      </c>
      <c r="B2443" s="3" t="str">
        <f>IFERROR(__xludf.DUMMYFUNCTION("GOOGLETRANSLATE(A2443, ""ar"", ""bn"")"),"এম কারণ অস্থিরতা")</f>
        <v>এম কারণ অস্থিরতা</v>
      </c>
    </row>
    <row r="2444">
      <c r="A2444" s="2" t="s">
        <v>2504</v>
      </c>
      <c r="B2444" s="3" t="str">
        <f>IFERROR(__xludf.DUMMYFUNCTION("GOOGLETRANSLATE(A2444, ""ar"", ""bn"")"),"অস্থিরতার কারণ স্ক্রীনিং")</f>
        <v>অস্থিরতার কারণ স্ক্রীনিং</v>
      </c>
    </row>
    <row r="2445">
      <c r="A2445" s="2" t="s">
        <v>2505</v>
      </c>
      <c r="B2445" s="3" t="str">
        <f>IFERROR(__xludf.DUMMYFUNCTION("GOOGLETRANSLATE(A2445, ""ar"", ""bn"")"),"যুদ্ধবিরতির ব্যানার")</f>
        <v>যুদ্ধবিরতির ব্যানার</v>
      </c>
    </row>
    <row r="2446">
      <c r="A2446" s="2" t="s">
        <v>2506</v>
      </c>
      <c r="B2446" s="3" t="str">
        <f>IFERROR(__xludf.DUMMYFUNCTION("GOOGLETRANSLATE(A2446, ""ar"", ""bn"")"),"যুদ্ধবিরতি চুক্তি")</f>
        <v>যুদ্ধবিরতি চুক্তি</v>
      </c>
    </row>
    <row r="2447">
      <c r="A2447" s="2" t="s">
        <v>2507</v>
      </c>
      <c r="B2447" s="3" t="str">
        <f>IFERROR(__xludf.DUMMYFUNCTION("GOOGLETRANSLATE(A2447, ""ar"", ""bn"")"),"ন্যাসরক্ষা কাউন্সিল")</f>
        <v>ন্যাসরক্ষা কাউন্সিল</v>
      </c>
    </row>
    <row r="2448">
      <c r="A2448" s="2" t="s">
        <v>2508</v>
      </c>
      <c r="B2448" s="3" t="str">
        <f>IFERROR(__xludf.DUMMYFUNCTION("GOOGLETRANSLATE(A2448, ""ar"", ""bn"")"),"ন্যাসরক্ষা সিস্টেম")</f>
        <v>ন্যাসরক্ষা সিস্টেম</v>
      </c>
    </row>
    <row r="2449">
      <c r="A2449" s="2" t="s">
        <v>2509</v>
      </c>
      <c r="B2449" s="3" t="str">
        <f>IFERROR(__xludf.DUMMYFUNCTION("GOOGLETRANSLATE(A2449, ""ar"", ""bn"")"),"দুই-তৃতীয়াংশ সংখ্যাগরিষ্ঠতা")</f>
        <v>দুই-তৃতীয়াংশ সংখ্যাগরিষ্ঠতা</v>
      </c>
    </row>
    <row r="2450">
      <c r="A2450" s="2" t="s">
        <v>2510</v>
      </c>
      <c r="B2450" s="3" t="str">
        <f>IFERROR(__xludf.DUMMYFUNCTION("GOOGLETRANSLATE(A2450, ""ar"", ""bn"")"),"স্বৈরশাসন")</f>
        <v>স্বৈরশাসন</v>
      </c>
    </row>
    <row r="2451">
      <c r="A2451" s="2" t="s">
        <v>2511</v>
      </c>
      <c r="B2451" s="3" t="str">
        <f>IFERROR(__xludf.DUMMYFUNCTION("GOOGLETRANSLATE(A2451, ""ar"", ""bn"")"),"সতর্কতা")</f>
        <v>সতর্কতা</v>
      </c>
    </row>
    <row r="2452">
      <c r="A2452" s="2" t="s">
        <v>2512</v>
      </c>
      <c r="B2452" s="3" t="str">
        <f>IFERROR(__xludf.DUMMYFUNCTION("GOOGLETRANSLATE(A2452, ""ar"", ""bn"")"),"জাতিসংঘের শরীরের সামিট")</f>
        <v>জাতিসংঘের শরীরের সামিট</v>
      </c>
    </row>
    <row r="2453">
      <c r="A2453" s="2" t="s">
        <v>2513</v>
      </c>
      <c r="B2453" s="3" t="str">
        <f>IFERROR(__xludf.DUMMYFUNCTION("GOOGLETRANSLATE(A2453, ""ar"", ""bn"")"),"ঐক্য")</f>
        <v>ঐক্য</v>
      </c>
    </row>
    <row r="2454">
      <c r="A2454" s="2" t="s">
        <v>2514</v>
      </c>
      <c r="B2454" s="3" t="str">
        <f>IFERROR(__xludf.DUMMYFUNCTION("GOOGLETRANSLATE(A2454, ""ar"", ""bn"")"),"ঐক্য")</f>
        <v>ঐক্য</v>
      </c>
    </row>
    <row r="2455">
      <c r="A2455" s="2" t="s">
        <v>2515</v>
      </c>
      <c r="B2455" s="3" t="str">
        <f>IFERROR(__xludf.DUMMYFUNCTION("GOOGLETRANSLATE(A2455, ""ar"", ""bn"")"),"সর্বসম্মত অনুমোদন")</f>
        <v>সর্বসম্মত অনুমোদন</v>
      </c>
    </row>
    <row r="2456">
      <c r="A2456" s="2" t="s">
        <v>2516</v>
      </c>
      <c r="B2456" s="3" t="str">
        <f>IFERROR(__xludf.DUMMYFUNCTION("GOOGLETRANSLATE(A2456, ""ar"", ""bn"")"),"সর্বসম্মতিক্রমে নির্বাচিত")</f>
        <v>সর্বসম্মতিক্রমে নির্বাচিত</v>
      </c>
    </row>
    <row r="2457">
      <c r="A2457" s="2" t="s">
        <v>2517</v>
      </c>
      <c r="B2457" s="3" t="str">
        <f>IFERROR(__xludf.DUMMYFUNCTION("GOOGLETRANSLATE(A2457, ""ar"", ""bn"")"),"সর্বসম্মত ভোট")</f>
        <v>সর্বসম্মত ভোট</v>
      </c>
    </row>
    <row r="2458">
      <c r="A2458" s="2" t="s">
        <v>2518</v>
      </c>
      <c r="B2458" s="3" t="str">
        <f>IFERROR(__xludf.DUMMYFUNCTION("GOOGLETRANSLATE(A2458, ""ar"", ""bn"")"),"সীমাবদ্ধ এলাকা")</f>
        <v>সীমাবদ্ধ এলাকা</v>
      </c>
    </row>
    <row r="2459">
      <c r="A2459" s="2" t="s">
        <v>2519</v>
      </c>
      <c r="B2459" s="3" t="str">
        <f>IFERROR(__xludf.DUMMYFUNCTION("GOOGLETRANSLATE(A2459, ""ar"", ""bn"")"),"একটি অ বাঁধাই")</f>
        <v>একটি অ বাঁধাই</v>
      </c>
    </row>
    <row r="2460">
      <c r="A2460" s="2" t="s">
        <v>2520</v>
      </c>
      <c r="B2460" s="3" t="str">
        <f>IFERROR(__xludf.DUMMYFUNCTION("GOOGLETRANSLATE(A2460, ""ar"", ""bn"")"),"সিদ্ধান্ত অনিশ্চিত")</f>
        <v>সিদ্ধান্ত অনিশ্চিত</v>
      </c>
    </row>
    <row r="2461">
      <c r="A2461" s="2" t="s">
        <v>2521</v>
      </c>
      <c r="B2461" s="3" t="str">
        <f>IFERROR(__xludf.DUMMYFUNCTION("GOOGLETRANSLATE(A2461, ""ar"", ""bn"")"),"একটি নিঃশর্ত মুক্তি")</f>
        <v>একটি নিঃশর্ত মুক্তি</v>
      </c>
    </row>
    <row r="2462">
      <c r="A2462" s="2" t="s">
        <v>2522</v>
      </c>
      <c r="B2462" s="3" t="str">
        <f>IFERROR(__xludf.DUMMYFUNCTION("GOOGLETRANSLATE(A2462, ""ar"", ""bn"")"),"আগুন")</f>
        <v>আগুন</v>
      </c>
    </row>
    <row r="2463">
      <c r="A2463" s="2" t="s">
        <v>2523</v>
      </c>
      <c r="B2463" s="3" t="str">
        <f>IFERROR(__xludf.DUMMYFUNCTION("GOOGLETRANSLATE(A2463, ""ar"", ""bn"")"),"নিঃশর্ত মুক্তি")</f>
        <v>নিঃশর্ত মুক্তি</v>
      </c>
    </row>
    <row r="2464">
      <c r="A2464" s="2" t="s">
        <v>2524</v>
      </c>
      <c r="B2464" s="3" t="str">
        <f>IFERROR(__xludf.DUMMYFUNCTION("GOOGLETRANSLATE(A2464, ""ar"", ""bn"")"),"প্রিজনার্স")</f>
        <v>প্রিজনার্স</v>
      </c>
    </row>
    <row r="2465">
      <c r="A2465" s="2" t="s">
        <v>2525</v>
      </c>
      <c r="B2465" s="3" t="str">
        <f>IFERROR(__xludf.DUMMYFUNCTION("GOOGLETRANSLATE(A2465, ""ar"", ""bn"")"),"আইন অসাংবিধানিক")</f>
        <v>আইন অসাংবিধানিক</v>
      </c>
    </row>
    <row r="2466">
      <c r="A2466" s="2" t="s">
        <v>2526</v>
      </c>
      <c r="B2466" s="3" t="str">
        <f>IFERROR(__xludf.DUMMYFUNCTION("GOOGLETRANSLATE(A2466, ""ar"", ""bn"")"),"আইন অ সাংবিধানিক")</f>
        <v>আইন অ সাংবিধানিক</v>
      </c>
    </row>
    <row r="2467">
      <c r="A2467" s="2" t="s">
        <v>2527</v>
      </c>
      <c r="B2467" s="3" t="str">
        <f>IFERROR(__xludf.DUMMYFUNCTION("GOOGLETRANSLATE(A2467, ""ar"", ""bn"")"),"অস্ত্র অধীনে")</f>
        <v>অস্ত্র অধীনে</v>
      </c>
    </row>
    <row r="2468">
      <c r="A2468" s="2" t="s">
        <v>2528</v>
      </c>
      <c r="B2468" s="3" t="str">
        <f>IFERROR(__xludf.DUMMYFUNCTION("GOOGLETRANSLATE(A2468, ""ar"", ""bn"")"),"আটক")</f>
        <v>আটক</v>
      </c>
    </row>
    <row r="2469">
      <c r="A2469" s="2" t="s">
        <v>2529</v>
      </c>
      <c r="B2469" s="3" t="str">
        <f>IFERROR(__xludf.DUMMYFUNCTION("GOOGLETRANSLATE(A2469, ""ar"", ""bn"")"),"গোলাবর্ষণ অধীনে এম শহর")</f>
        <v>গোলাবর্ষণ অধীনে এম শহর</v>
      </c>
    </row>
    <row r="2470">
      <c r="A2470" s="2" t="s">
        <v>2530</v>
      </c>
      <c r="B2470" s="3" t="str">
        <f>IFERROR(__xludf.DUMMYFUNCTION("GOOGLETRANSLATE(A2470, ""ar"", ""bn"")"),"আলোচনার অধীন")</f>
        <v>আলোচনার অধীন</v>
      </c>
    </row>
    <row r="2471">
      <c r="A2471" s="2" t="s">
        <v>2531</v>
      </c>
      <c r="B2471" s="3" t="str">
        <f>IFERROR(__xludf.DUMMYFUNCTION("GOOGLETRANSLATE(A2471, ""ar"", ""bn"")"),"আন্তর্জাতিক আইন অনুযায়ী")</f>
        <v>আন্তর্জাতিক আইন অনুযায়ী</v>
      </c>
    </row>
    <row r="2472">
      <c r="A2472" s="2" t="s">
        <v>2532</v>
      </c>
      <c r="B2472" s="3" t="str">
        <f>IFERROR(__xludf.DUMMYFUNCTION("GOOGLETRANSLATE(A2472, ""ar"", ""bn"")"),"জনাদেশ অধীনে দেশ")</f>
        <v>জনাদেশ অধীনে দেশ</v>
      </c>
    </row>
    <row r="2473">
      <c r="A2473" s="2" t="s">
        <v>2533</v>
      </c>
      <c r="B2473" s="3" t="str">
        <f>IFERROR(__xludf.DUMMYFUNCTION("GOOGLETRANSLATE(A2473, ""ar"", ""bn"")"),"আলাপ - আলোচনাধীন")</f>
        <v>আলাপ - আলোচনাধীন</v>
      </c>
    </row>
    <row r="2474">
      <c r="A2474" s="2" t="s">
        <v>2534</v>
      </c>
      <c r="B2474" s="3" t="str">
        <f>IFERROR(__xludf.DUMMYFUNCTION("GOOGLETRANSLATE(A2474, ""ar"", ""bn"")"),"প্রতিবাদ অধীনে")</f>
        <v>প্রতিবাদ অধীনে</v>
      </c>
    </row>
    <row r="2475">
      <c r="A2475" s="2" t="s">
        <v>2535</v>
      </c>
      <c r="B2475" s="3" t="str">
        <f>IFERROR(__xludf.DUMMYFUNCTION("GOOGLETRANSLATE(A2475, ""ar"", ""bn"")"),"যত্ন অধীনে")</f>
        <v>যত্ন অধীনে</v>
      </c>
    </row>
    <row r="2476">
      <c r="A2476" s="2" t="s">
        <v>2536</v>
      </c>
      <c r="B2476" s="3" t="str">
        <f>IFERROR(__xludf.DUMMYFUNCTION("GOOGLETRANSLATE(A2476, ""ar"", ""bn"")"),"যুদ্ধ অবস্থার সময়")</f>
        <v>যুদ্ধ অবস্থার সময়</v>
      </c>
    </row>
    <row r="2477">
      <c r="A2477" s="2" t="s">
        <v>2537</v>
      </c>
      <c r="B2477" s="3" t="str">
        <f>IFERROR(__xludf.DUMMYFUNCTION("GOOGLETRANSLATE(A2477, ""ar"", ""bn"")"),"বৃদ্ধির প্রক্রিয়ায় দেশ")</f>
        <v>বৃদ্ধির প্রক্রিয়ায় দেশ</v>
      </c>
    </row>
    <row r="2478">
      <c r="A2478" s="2" t="s">
        <v>2537</v>
      </c>
      <c r="B2478" s="3" t="str">
        <f>IFERROR(__xludf.DUMMYFUNCTION("GOOGLETRANSLATE(A2478, ""ar"", ""bn"")"),"বৃদ্ধির প্রক্রিয়ায় দেশ")</f>
        <v>বৃদ্ধির প্রক্রিয়ায় দেশ</v>
      </c>
    </row>
    <row r="2479">
      <c r="A2479" s="2" t="s">
        <v>2538</v>
      </c>
      <c r="B2479" s="3" t="str">
        <f>IFERROR(__xludf.DUMMYFUNCTION("GOOGLETRANSLATE(A2479, ""ar"", ""bn"")"),"শত্রুর miscalculation")</f>
        <v>শত্রুর miscalculation</v>
      </c>
    </row>
    <row r="2480">
      <c r="A2480" s="2" t="s">
        <v>2539</v>
      </c>
      <c r="B2480" s="3" t="str">
        <f>IFERROR(__xludf.DUMMYFUNCTION("GOOGLETRANSLATE(A2480, ""ar"", ""bn"")"),"রাজনৈতিক ভাষ্য হল")</f>
        <v>রাজনৈতিক ভাষ্য হল</v>
      </c>
    </row>
    <row r="2481">
      <c r="A2481" s="2" t="s">
        <v>2540</v>
      </c>
      <c r="B2481" s="3" t="str">
        <f>IFERROR(__xludf.DUMMYFUNCTION("GOOGLETRANSLATE(A2481, ""ar"", ""bn"")"),"এম ন্যায্য")</f>
        <v>এম ন্যায্য</v>
      </c>
    </row>
    <row r="2482">
      <c r="A2482" s="2" t="s">
        <v>2541</v>
      </c>
      <c r="B2482" s="3" t="str">
        <f>IFERROR(__xludf.DUMMYFUNCTION("GOOGLETRANSLATE(A2482, ""ar"", ""bn"")"),"অপ্রত্যাশিত রাজনৈতিক পরিস্থিতি")</f>
        <v>অপ্রত্যাশিত রাজনৈতিক পরিস্থিতি</v>
      </c>
    </row>
    <row r="2483">
      <c r="A2483" s="2" t="s">
        <v>2542</v>
      </c>
      <c r="B2483" s="3" t="str">
        <f>IFERROR(__xludf.DUMMYFUNCTION("GOOGLETRANSLATE(A2483, ""ar"", ""bn"")"),"রাজনৈতিক ঘটনা অপ্রত্যাশিত")</f>
        <v>রাজনৈতিক ঘটনা অপ্রত্যাশিত</v>
      </c>
    </row>
    <row r="2484">
      <c r="A2484" s="2" t="s">
        <v>2543</v>
      </c>
      <c r="B2484" s="3" t="str">
        <f>IFERROR(__xludf.DUMMYFUNCTION("GOOGLETRANSLATE(A2484, ""ar"", ""bn"")"),"রাজনৈতিক নেতৃত্ব সমন্বয়সাধন করা")</f>
        <v>রাজনৈতিক নেতৃত্ব সমন্বয়সাধন করা</v>
      </c>
    </row>
    <row r="2485">
      <c r="A2485" s="2" t="s">
        <v>2544</v>
      </c>
      <c r="B2485" s="3" t="str">
        <f>IFERROR(__xludf.DUMMYFUNCTION("GOOGLETRANSLATE(A2485, ""ar"", ""bn"")"),"ইউনিফায়েড নেতৃত্ব")</f>
        <v>ইউনিফায়েড নেতৃত্ব</v>
      </c>
    </row>
    <row r="2486">
      <c r="A2486" s="2" t="s">
        <v>2545</v>
      </c>
      <c r="B2486" s="3" t="str">
        <f>IFERROR(__xludf.DUMMYFUNCTION("GOOGLETRANSLATE(A2486, ""ar"", ""bn"")"),"মানবিক শান্তি Amouhd")</f>
        <v>মানবিক শান্তি Amouhd</v>
      </c>
    </row>
    <row r="2487">
      <c r="A2487" s="2" t="s">
        <v>2546</v>
      </c>
      <c r="B2487" s="3" t="str">
        <f>IFERROR(__xludf.DUMMYFUNCTION("GOOGLETRANSLATE(A2487, ""ar"", ""bn"")"),"একা")</f>
        <v>একা</v>
      </c>
    </row>
    <row r="2488">
      <c r="A2488" s="2" t="s">
        <v>2547</v>
      </c>
      <c r="B2488" s="3" t="str">
        <f>IFERROR(__xludf.DUMMYFUNCTION("GOOGLETRANSLATE(A2488, ""ar"", ""bn"")"),"ইউনিয়ন ওয়েই নিন")</f>
        <v>ইউনিয়ন ওয়েই নিন</v>
      </c>
    </row>
    <row r="2489">
      <c r="A2489" s="2" t="s">
        <v>2548</v>
      </c>
      <c r="B2489" s="3" t="str">
        <f>IFERROR(__xludf.DUMMYFUNCTION("GOOGLETRANSLATE(A2489, ""ar"", ""bn"")"),"নেশনস ইউনিয়ন")</f>
        <v>নেশনস ইউনিয়ন</v>
      </c>
    </row>
    <row r="2490">
      <c r="A2490" s="2" t="s">
        <v>2549</v>
      </c>
      <c r="B2490" s="3" t="str">
        <f>IFERROR(__xludf.DUMMYFUNCTION("GOOGLETRANSLATE(A2490, ""ar"", ""bn"")"),"কর্তৃপক্ষ ইউনিয়ন")</f>
        <v>কর্তৃপক্ষ ইউনিয়ন</v>
      </c>
    </row>
    <row r="2491">
      <c r="A2491" s="2" t="s">
        <v>2550</v>
      </c>
      <c r="B2491" s="3" t="str">
        <f>IFERROR(__xludf.DUMMYFUNCTION("GOOGLETRANSLATE(A2491, ""ar"", ""bn"")"),"এক মেরু")</f>
        <v>এক মেরু</v>
      </c>
    </row>
    <row r="2492">
      <c r="A2492" s="2" t="s">
        <v>2551</v>
      </c>
      <c r="B2492" s="3" t="str">
        <f>IFERROR(__xludf.DUMMYFUNCTION("GOOGLETRANSLATE(A2492, ""ar"", ""bn"")"),"ইউনিয়নগুলোর")</f>
        <v>ইউনিয়নগুলোর</v>
      </c>
    </row>
    <row r="2493">
      <c r="A2493" s="2" t="s">
        <v>2552</v>
      </c>
      <c r="B2493" s="3" t="str">
        <f>IFERROR(__xludf.DUMMYFUNCTION("GOOGLETRANSLATE(A2493, ""ar"", ""bn"")"),"ইউনাইটেড নেশনস শিক্ষা")</f>
        <v>ইউনাইটেড নেশনস শিক্ষা</v>
      </c>
    </row>
    <row r="2494">
      <c r="A2494" s="2" t="s">
        <v>2553</v>
      </c>
      <c r="B2494" s="3" t="str">
        <f>IFERROR(__xludf.DUMMYFUNCTION("GOOGLETRANSLATE(A2494, ""ar"", ""bn"")"),"বিজ্ঞান ও সংস্কৃতি")</f>
        <v>বিজ্ঞান ও সংস্কৃতি</v>
      </c>
    </row>
    <row r="2495">
      <c r="A2495" s="2" t="s">
        <v>2554</v>
      </c>
      <c r="B2495" s="3" t="str">
        <f>IFERROR(__xludf.DUMMYFUNCTION("GOOGLETRANSLATE(A2495, ""ar"", ""bn"")"),"জাতিসংঘের চার্টার")</f>
        <v>জাতিসংঘের চার্টার</v>
      </c>
    </row>
    <row r="2496">
      <c r="A2496" s="2" t="s">
        <v>2555</v>
      </c>
      <c r="B2496" s="3" t="str">
        <f>IFERROR(__xludf.DUMMYFUNCTION("GOOGLETRANSLATE(A2496, ""ar"", ""bn"")"),"জাতিসংঘের ফান্ড যত্ন নিতে")</f>
        <v>জাতিসংঘের ফান্ড যত্ন নিতে</v>
      </c>
    </row>
    <row r="2497">
      <c r="A2497" s="2" t="s">
        <v>2556</v>
      </c>
      <c r="B2497" s="3" t="str">
        <f>IFERROR(__xludf.DUMMYFUNCTION("GOOGLETRANSLATE(A2497, ""ar"", ""bn"")"),"শৈশব")</f>
        <v>শৈশব</v>
      </c>
    </row>
    <row r="2498">
      <c r="A2498" s="2" t="s">
        <v>2557</v>
      </c>
      <c r="B2498" s="3" t="str">
        <f>IFERROR(__xludf.DUMMYFUNCTION("GOOGLETRANSLATE(A2498, ""ar"", ""bn"")"),"জাতিসংঘের জরুরি অবস্থা থেকে গু")</f>
        <v>জাতিসংঘের জরুরি অবস্থা থেকে গু</v>
      </c>
    </row>
    <row r="2499">
      <c r="A2499" s="2" t="s">
        <v>2558</v>
      </c>
      <c r="B2499" s="3" t="str">
        <f>IFERROR(__xludf.DUMMYFUNCTION("GOOGLETRANSLATE(A2499, ""ar"", ""bn"")"),"জাতিসংঘ থেকে গু")</f>
        <v>জাতিসংঘ থেকে গু</v>
      </c>
    </row>
    <row r="2500">
      <c r="A2500" s="2" t="s">
        <v>2559</v>
      </c>
      <c r="B2500" s="3" t="str">
        <f>IFERROR(__xludf.DUMMYFUNCTION("GOOGLETRANSLATE(A2500, ""ar"", ""bn"")"),"জাতিসংঘ সাধারণ পরিষদের")</f>
        <v>জাতিসংঘ সাধারণ পরিষদের</v>
      </c>
    </row>
    <row r="2501">
      <c r="A2501" s="2" t="s">
        <v>2560</v>
      </c>
      <c r="B2501" s="3" t="str">
        <f>IFERROR(__xludf.DUMMYFUNCTION("GOOGLETRANSLATE(A2501, ""ar"", ""bn"")"),"জাতিসংঘের সংস্থা")</f>
        <v>জাতিসংঘের সংস্থা</v>
      </c>
    </row>
    <row r="2502">
      <c r="A2502" s="2" t="s">
        <v>2561</v>
      </c>
      <c r="B2502" s="3" t="str">
        <f>IFERROR(__xludf.DUMMYFUNCTION("GOOGLETRANSLATE(A2502, ""ar"", ""bn"")"),"জাতিসংঘ উন্নয়ন তহবিলের")</f>
        <v>জাতিসংঘ উন্নয়ন তহবিলের</v>
      </c>
    </row>
    <row r="2503">
      <c r="A2503" s="2" t="s">
        <v>2233</v>
      </c>
      <c r="B2503" s="3" t="str">
        <f>IFERROR(__xludf.DUMMYFUNCTION("GOOGLETRANSLATE(A2503, ""ar"", ""bn"")"),"শিল্প")</f>
        <v>শিল্প</v>
      </c>
    </row>
    <row r="2504">
      <c r="A2504" s="2" t="s">
        <v>2562</v>
      </c>
      <c r="B2504" s="3" t="str">
        <f>IFERROR(__xludf.DUMMYFUNCTION("GOOGLETRANSLATE(A2504, ""ar"", ""bn"")"),"গু গুলি জাতিসংঘের রিলিফ")</f>
        <v>গু গুলি জাতিসংঘের রিলিফ</v>
      </c>
    </row>
    <row r="2505">
      <c r="A2505" s="2" t="s">
        <v>2563</v>
      </c>
      <c r="B2505" s="3" t="str">
        <f>IFERROR(__xludf.DUMMYFUNCTION("GOOGLETRANSLATE(A2505, ""ar"", ""bn"")"),"জাতিসংঘের শীর্ষ সম্মেলন")</f>
        <v>জাতিসংঘের শীর্ষ সম্মেলন</v>
      </c>
    </row>
    <row r="2506">
      <c r="A2506" s="2" t="s">
        <v>2564</v>
      </c>
      <c r="B2506" s="3" t="str">
        <f>IFERROR(__xludf.DUMMYFUNCTION("GOOGLETRANSLATE(A2506, ""ar"", ""bn"")"),"একটি সমন্বিত রাজ্যের")</f>
        <v>একটি সমন্বিত রাজ্যের</v>
      </c>
    </row>
    <row r="2507">
      <c r="A2507" s="2" t="s">
        <v>2565</v>
      </c>
      <c r="B2507" s="3" t="str">
        <f>IFERROR(__xludf.DUMMYFUNCTION("GOOGLETRANSLATE(A2507, ""ar"", ""bn"")"),"মানুষের জাতিগত ঐক্য")</f>
        <v>মানুষের জাতিগত ঐক্য</v>
      </c>
    </row>
    <row r="2508">
      <c r="A2508" s="2" t="s">
        <v>2566</v>
      </c>
      <c r="B2508" s="3" t="str">
        <f>IFERROR(__xludf.DUMMYFUNCTION("GOOGLETRANSLATE(A2508, ""ar"", ""bn"")"),"আলোচনার জন্য বিশ্বব্যাপী রেসিপি")</f>
        <v>আলোচনার জন্য বিশ্বব্যাপী রেসিপি</v>
      </c>
    </row>
    <row r="2509">
      <c r="A2509" s="2" t="s">
        <v>468</v>
      </c>
      <c r="B2509" s="3" t="str">
        <f>IFERROR(__xludf.DUMMYFUNCTION("GOOGLETRANSLATE(A2509, ""ar"", ""bn"")"),"রাজনৈতিক")</f>
        <v>রাজনৈতিক</v>
      </c>
    </row>
    <row r="2510">
      <c r="A2510" s="2" t="s">
        <v>2566</v>
      </c>
      <c r="B2510" s="3" t="str">
        <f>IFERROR(__xludf.DUMMYFUNCTION("GOOGLETRANSLATE(A2510, ""ar"", ""bn"")"),"আলোচনার জন্য বিশ্বব্যাপী রেসিপি")</f>
        <v>আলোচনার জন্য বিশ্বব্যাপী রেসিপি</v>
      </c>
    </row>
    <row r="2511">
      <c r="A2511" s="2" t="s">
        <v>262</v>
      </c>
      <c r="B2511" s="3" t="str">
        <f>IFERROR(__xludf.DUMMYFUNCTION("GOOGLETRANSLATE(A2511, ""ar"", ""bn"")"),"কূটনীতি")</f>
        <v>কূটনীতি</v>
      </c>
    </row>
    <row r="2512">
      <c r="A2512" s="2" t="s">
        <v>2567</v>
      </c>
      <c r="B2512" s="3" t="str">
        <f>IFERROR(__xludf.DUMMYFUNCTION("GOOGLETRANSLATE(A2512, ""ar"", ""bn"")"),"ইউনিভার্সাল ব্যালট")</f>
        <v>ইউনিভার্সাল ব্যালট</v>
      </c>
    </row>
    <row r="2513">
      <c r="A2513" s="2" t="s">
        <v>2568</v>
      </c>
      <c r="B2513" s="3" t="str">
        <f>IFERROR(__xludf.DUMMYFUNCTION("GOOGLETRANSLATE(A2513, ""ar"", ""bn"")"),"কসমিক ওয়ার")</f>
        <v>কসমিক ওয়ার</v>
      </c>
    </row>
    <row r="2514">
      <c r="A2514" s="2" t="s">
        <v>2569</v>
      </c>
      <c r="B2514" s="3" t="str">
        <f>IFERROR(__xludf.DUMMYFUNCTION("GOOGLETRANSLATE(A2514, ""ar"", ""bn"")"),"আন্তর্জাতিক")</f>
        <v>আন্তর্জাতিক</v>
      </c>
    </row>
    <row r="2515">
      <c r="A2515" s="2" t="s">
        <v>2570</v>
      </c>
      <c r="B2515" s="3" t="str">
        <f>IFERROR(__xludf.DUMMYFUNCTION("GOOGLETRANSLATE(A2515, ""ar"", ""bn"")"),"রিজার্ভেশন ছাড়া ডিসিশন")</f>
        <v>রিজার্ভেশন ছাড়া ডিসিশন</v>
      </c>
    </row>
    <row r="2516">
      <c r="A2516" s="2" t="s">
        <v>2571</v>
      </c>
      <c r="B2516" s="3" t="str">
        <f>IFERROR(__xludf.DUMMYFUNCTION("GOOGLETRANSLATE(A2516, ""ar"", ""bn"")"),"আন্তর্জাতিক দ্বন্দ্ব ভিত্তিক")</f>
        <v>আন্তর্জাতিক দ্বন্দ্ব ভিত্তিক</v>
      </c>
    </row>
    <row r="2517">
      <c r="A2517" s="2" t="s">
        <v>2572</v>
      </c>
      <c r="B2517" s="3" t="str">
        <f>IFERROR(__xludf.DUMMYFUNCTION("GOOGLETRANSLATE(A2517, ""ar"", ""bn"")"),"অন্যান্য অর্ডারের ইস্যু পর্যন্ত")</f>
        <v>অন্যান্য অর্ডারের ইস্যু পর্যন্ত</v>
      </c>
    </row>
    <row r="2518">
      <c r="A2518" s="2" t="s">
        <v>2573</v>
      </c>
      <c r="B2518" s="3" t="str">
        <f>IFERROR(__xludf.DUMMYFUNCTION("GOOGLETRANSLATE(A2518, ""ar"", ""bn"")"),"সংবিধান লেখা হয়")</f>
        <v>সংবিধান লেখা হয়</v>
      </c>
    </row>
    <row r="2519">
      <c r="A2519" s="2" t="s">
        <v>2574</v>
      </c>
      <c r="B2519" s="3" t="str">
        <f>IFERROR(__xludf.DUMMYFUNCTION("GOOGLETRANSLATE(A2519, ""ar"", ""bn"")"),"Amakhl রাজনৈতিক ভারসাম্য")</f>
        <v>Amakhl রাজনৈতিক ভারসাম্য</v>
      </c>
    </row>
    <row r="2520">
      <c r="A2520" s="2" t="s">
        <v>2575</v>
      </c>
      <c r="B2520" s="3" t="str">
        <f>IFERROR(__xludf.DUMMYFUNCTION("GOOGLETRANSLATE(A2520, ""ar"", ""bn"")"),"উই ভারসাম্য পরিমাণ জন্য M ঞ এক্স")</f>
        <v>উই ভারসাম্য পরিমাণ জন্য M ঞ এক্স</v>
      </c>
    </row>
    <row r="2521">
      <c r="A2521" s="2" t="s">
        <v>2576</v>
      </c>
      <c r="B2521" s="3" t="str">
        <f>IFERROR(__xludf.DUMMYFUNCTION("GOOGLETRANSLATE(A2521, ""ar"", ""bn"")"),"Amakhl আন্তর্জাতিক ভারসাম্য")</f>
        <v>Amakhl আন্তর্জাতিক ভারসাম্য</v>
      </c>
    </row>
    <row r="2522">
      <c r="A2522" s="2" t="s">
        <v>2577</v>
      </c>
      <c r="B2522" s="3" t="str">
        <f>IFERROR(__xludf.DUMMYFUNCTION("GOOGLETRANSLATE(A2522, ""ar"", ""bn"")"),"জরুরী মানবিক মিশন")</f>
        <v>জরুরী মানবিক মিশন</v>
      </c>
    </row>
    <row r="2523">
      <c r="A2523" s="2" t="s">
        <v>2578</v>
      </c>
      <c r="B2523" s="3" t="str">
        <f>IFERROR(__xludf.DUMMYFUNCTION("GOOGLETRANSLATE(A2523, ""ar"", ""bn"")"),"জরুরী অধিবেশন")</f>
        <v>জরুরী অধিবেশন</v>
      </c>
    </row>
    <row r="2524">
      <c r="A2524" s="2" t="s">
        <v>2579</v>
      </c>
      <c r="B2524" s="3" t="str">
        <f>IFERROR(__xludf.DUMMYFUNCTION("GOOGLETRANSLATE(A2524, ""ar"", ""bn"")"),"জরুরী সাময়িক যুদ্ধবিরতি")</f>
        <v>জরুরী সাময়িক যুদ্ধবিরতি</v>
      </c>
    </row>
    <row r="2525">
      <c r="A2525" s="2" t="s">
        <v>2580</v>
      </c>
      <c r="B2525" s="3" t="str">
        <f>IFERROR(__xludf.DUMMYFUNCTION("GOOGLETRANSLATE(A2525, ""ar"", ""bn"")"),"জোরাজুরি")</f>
        <v>জোরাজুরি</v>
      </c>
    </row>
    <row r="2526">
      <c r="A2526" s="2" t="s">
        <v>2581</v>
      </c>
      <c r="B2526" s="3" t="str">
        <f>IFERROR(__xludf.DUMMYFUNCTION("GOOGLETRANSLATE(A2526, ""ar"", ""bn"")"),"একটি রাজনৈতিক কর্মখালি অবস্থান")</f>
        <v>একটি রাজনৈতিক কর্মখালি অবস্থান</v>
      </c>
    </row>
    <row r="2527">
      <c r="A2527" s="2" t="s">
        <v>2582</v>
      </c>
      <c r="B2527" s="3" t="str">
        <f>IFERROR(__xludf.DUMMYFUNCTION("GOOGLETRANSLATE(A2527, ""ar"", ""bn"")"),"পোস্টটি পরিত্যাগ")</f>
        <v>পোস্টটি পরিত্যাগ</v>
      </c>
    </row>
    <row r="2528">
      <c r="A2528" s="2" t="s">
        <v>2583</v>
      </c>
      <c r="B2528" s="3" t="str">
        <f>IFERROR(__xludf.DUMMYFUNCTION("GOOGLETRANSLATE(A2528, ""ar"", ""bn"")"),"রাজনৈতিক সিদ্ধান্তে অস্পষ্টতা")</f>
        <v>রাজনৈতিক সিদ্ধান্তে অস্পষ্টতা</v>
      </c>
    </row>
    <row r="2529">
      <c r="A2529" s="2" t="s">
        <v>2584</v>
      </c>
      <c r="B2529" s="3" t="str">
        <f>IFERROR(__xludf.DUMMYFUNCTION("GOOGLETRANSLATE(A2529, ""ar"", ""bn"")"),"এম জে পরীক্ষিত আইনগত স্বাস্থ্য")</f>
        <v>এম জে পরীক্ষিত আইনগত স্বাস্থ্য</v>
      </c>
    </row>
    <row r="2530">
      <c r="A2530" s="2" t="s">
        <v>2585</v>
      </c>
      <c r="B2530" s="3" t="str">
        <f>IFERROR(__xludf.DUMMYFUNCTION("GOOGLETRANSLATE(A2530, ""ar"", ""bn"")"),"শত্রু পরাজিত")</f>
        <v>শত্রু পরাজিত</v>
      </c>
    </row>
    <row r="2531">
      <c r="A2531" s="2" t="s">
        <v>2586</v>
      </c>
      <c r="B2531" s="3" t="str">
        <f>IFERROR(__xludf.DUMMYFUNCTION("GOOGLETRANSLATE(A2531, ""ar"", ""bn"")"),"পিপলস Qhorh")</f>
        <v>পিপলস Qhorh</v>
      </c>
    </row>
    <row r="2532">
      <c r="A2532" s="2" t="s">
        <v>2587</v>
      </c>
      <c r="B2532" s="3" t="str">
        <f>IFERROR(__xludf.DUMMYFUNCTION("GOOGLETRANSLATE(A2532, ""ar"", ""bn"")"),"মৌখিক প্রতিবেদন")</f>
        <v>মৌখিক প্রতিবেদন</v>
      </c>
    </row>
    <row r="2533">
      <c r="A2533" s="2" t="s">
        <v>2588</v>
      </c>
      <c r="B2533" s="3" t="str">
        <f>IFERROR(__xludf.DUMMYFUNCTION("GOOGLETRANSLATE(A2533, ""ar"", ""bn"")"),"Mpho জেড পূর্ণ কর্তৃপক্ষ")</f>
        <v>Mpho জেড পূর্ণ কর্তৃপক্ষ</v>
      </c>
    </row>
    <row r="2534">
      <c r="A2534" s="2" t="s">
        <v>2589</v>
      </c>
      <c r="B2534" s="3" t="str">
        <f>IFERROR(__xludf.DUMMYFUNCTION("GOOGLETRANSLATE(A2534, ""ar"", ""bn"")"),"সরাইয়া সিদ্ধান্ত সেট")</f>
        <v>সরাইয়া সিদ্ধান্ত সেট</v>
      </c>
    </row>
    <row r="2535">
      <c r="A2535" s="2" t="s">
        <v>2590</v>
      </c>
      <c r="B2535" s="3" t="str">
        <f>IFERROR(__xludf.DUMMYFUNCTION("GOOGLETRANSLATE(A2535, ""ar"", ""bn"")"),"ভাইস কনসাল")</f>
        <v>ভাইস কনসাল</v>
      </c>
    </row>
    <row r="2536">
      <c r="A2536" s="2" t="s">
        <v>2591</v>
      </c>
      <c r="B2536" s="3" t="str">
        <f>IFERROR(__xludf.DUMMYFUNCTION("GOOGLETRANSLATE(A2536, ""ar"", ""bn"")"),"উপরাষ্ট্রপতি")</f>
        <v>উপরাষ্ট্রপতি</v>
      </c>
    </row>
    <row r="2537">
      <c r="A2537" s="2" t="s">
        <v>2592</v>
      </c>
      <c r="B2537" s="3" t="str">
        <f>IFERROR(__xludf.DUMMYFUNCTION("GOOGLETRANSLATE(A2537, ""ar"", ""bn"")"),"শিকার")</f>
        <v>শিকার</v>
      </c>
    </row>
    <row r="2538">
      <c r="A2538" s="2" t="s">
        <v>2593</v>
      </c>
      <c r="B2538" s="3" t="str">
        <f>IFERROR(__xludf.DUMMYFUNCTION("GOOGLETRANSLATE(A2538, ""ar"", ""bn"")"),"নাশিদ টেক্সট")</f>
        <v>নাশিদ টেক্সট</v>
      </c>
    </row>
    <row r="2539">
      <c r="A2539" s="2" t="s">
        <v>2594</v>
      </c>
      <c r="B2539" s="3" t="str">
        <f>IFERROR(__xludf.DUMMYFUNCTION("GOOGLETRANSLATE(A2539, ""ar"", ""bn"")"),"Peacebuilding কমিশন")</f>
        <v>Peacebuilding কমিশন</v>
      </c>
    </row>
    <row r="2540">
      <c r="A2540" s="2" t="s">
        <v>2595</v>
      </c>
      <c r="B2540" s="3" t="str">
        <f>IFERROR(__xludf.DUMMYFUNCTION("GOOGLETRANSLATE(A2540, ""ar"", ""bn"")"),"যুদ্ধবিরতি চুক্তি লঙ্ঘন করে")</f>
        <v>যুদ্ধবিরতি চুক্তি লঙ্ঘন করে</v>
      </c>
    </row>
    <row r="2541">
      <c r="A2541" s="2" t="s">
        <v>2596</v>
      </c>
      <c r="B2541" s="3" t="str">
        <f>IFERROR(__xludf.DUMMYFUNCTION("GOOGLETRANSLATE(A2541, ""ar"", ""bn"")"),"নিরপেক্ষতার Amakhl অবস্থার")</f>
        <v>নিরপেক্ষতার Amakhl অবস্থার</v>
      </c>
    </row>
    <row r="2542">
      <c r="A2542" s="2" t="s">
        <v>2597</v>
      </c>
      <c r="B2542" s="3" t="str">
        <f>IFERROR(__xludf.DUMMYFUNCTION("GOOGLETRANSLATE(A2542, ""ar"", ""bn"")"),"মানবাধিকার লঙ্ঘন")</f>
        <v>মানবাধিকার লঙ্ঘন</v>
      </c>
    </row>
    <row r="2543">
      <c r="A2543" s="2" t="s">
        <v>2598</v>
      </c>
      <c r="B2543" s="3" t="str">
        <f>IFERROR(__xludf.DUMMYFUNCTION("GOOGLETRANSLATE(A2543, ""ar"", ""bn"")"),"পৃথক স্বাধীনতা লঙ্ঘন")</f>
        <v>পৃথক স্বাধীনতা লঙ্ঘন</v>
      </c>
    </row>
    <row r="2544">
      <c r="A2544" s="2" t="s">
        <v>2599</v>
      </c>
      <c r="B2544" s="3" t="str">
        <f>IFERROR(__xludf.DUMMYFUNCTION("GOOGLETRANSLATE(A2544, ""ar"", ""bn"")"),"কূটনৈতিক নিয়ম ভঙ্গ")</f>
        <v>কূটনৈতিক নিয়ম ভঙ্গ</v>
      </c>
    </row>
    <row r="2545">
      <c r="A2545" s="2" t="s">
        <v>579</v>
      </c>
      <c r="B2545" s="3" t="str">
        <f>IFERROR(__xludf.DUMMYFUNCTION("GOOGLETRANSLATE(A2545, ""ar"", ""bn"")"),"আন্তর্জাতিক")</f>
        <v>আন্তর্জাতিক</v>
      </c>
    </row>
    <row r="2546">
      <c r="A2546" s="2" t="s">
        <v>2600</v>
      </c>
      <c r="B2546" s="3" t="str">
        <f>IFERROR(__xludf.DUMMYFUNCTION("GOOGLETRANSLATE(A2546, ""ar"", ""bn"")"),"নিরপেক্ষতা পদ ভঙ্গ")</f>
        <v>নিরপেক্ষতা পদ ভঙ্গ</v>
      </c>
    </row>
    <row r="2547">
      <c r="A2547" s="2" t="s">
        <v>2601</v>
      </c>
      <c r="B2547" s="3" t="str">
        <f>IFERROR(__xludf.DUMMYFUNCTION("GOOGLETRANSLATE(A2547, ""ar"", ""bn"")"),"রাজনৈতিক স্বাধীনতা ডেটা লঙ্ঘন")</f>
        <v>রাজনৈতিক স্বাধীনতা ডেটা লঙ্ঘন</v>
      </c>
    </row>
    <row r="2548">
      <c r="A2548" s="2" t="s">
        <v>2602</v>
      </c>
      <c r="B2548" s="3" t="str">
        <f>IFERROR(__xludf.DUMMYFUNCTION("GOOGLETRANSLATE(A2548, ""ar"", ""bn"")"),"প্রকাশ্য সান্ত্বনা Perturbing")</f>
        <v>প্রকাশ্য সান্ত্বনা Perturbing</v>
      </c>
    </row>
    <row r="2549">
      <c r="A2549" s="2" t="s">
        <v>2603</v>
      </c>
      <c r="B2549" s="3" t="str">
        <f>IFERROR(__xludf.DUMMYFUNCTION("GOOGLETRANSLATE(A2549, ""ar"", ""bn"")"),"নির্যাতনের শিকার")</f>
        <v>নির্যাতনের শিকার</v>
      </c>
    </row>
    <row r="2550">
      <c r="A2550" s="2" t="s">
        <v>2604</v>
      </c>
      <c r="B2550" s="3" t="str">
        <f>IFERROR(__xludf.DUMMYFUNCTION("GOOGLETRANSLATE(A2550, ""ar"", ""bn"")"),"হিংসাত্মক")</f>
        <v>হিংসাত্মক</v>
      </c>
    </row>
    <row r="2551">
      <c r="A2551" s="2" t="s">
        <v>2605</v>
      </c>
      <c r="B2551" s="3" t="str">
        <f>IFERROR(__xludf.DUMMYFUNCTION("GOOGLETRANSLATE(A2551, ""ar"", ""bn"")"),"দর্শকরা নিবন্ধন")</f>
        <v>দর্শকরা নিবন্ধন</v>
      </c>
    </row>
    <row r="2552">
      <c r="A2552" s="2" t="s">
        <v>2606</v>
      </c>
      <c r="B2552" s="3" t="str">
        <f>IFERROR(__xludf.DUMMYFUNCTION("GOOGLETRANSLATE(A2552, ""ar"", ""bn"")"),"আন্তর্জাতিক স্বার্থ অহিযো ইয়ে")</f>
        <v>আন্তর্জাতিক স্বার্থ অহিযো ইয়ে</v>
      </c>
    </row>
    <row r="2553">
      <c r="A2553" s="2" t="s">
        <v>2607</v>
      </c>
      <c r="B2553" s="3" t="str">
        <f>IFERROR(__xludf.DUMMYFUNCTION("GOOGLETRANSLATE(A2553, ""ar"", ""bn"")"),"রাজনৈতিক স্বার্থ অহিযো ইয়ে")</f>
        <v>রাজনৈতিক স্বার্থ অহিযো ইয়ে</v>
      </c>
    </row>
    <row r="2554">
      <c r="A2554" s="2" t="s">
        <v>2608</v>
      </c>
      <c r="B2554" s="3" t="str">
        <f>IFERROR(__xludf.DUMMYFUNCTION("GOOGLETRANSLATE(A2554, ""ar"", ""bn"")"),"স্বেচ্ছা সহযোগিতা")</f>
        <v>স্বেচ্ছা সহযোগিতা</v>
      </c>
    </row>
    <row r="2555">
      <c r="A2555" s="2" t="s">
        <v>2609</v>
      </c>
      <c r="B2555" s="3" t="str">
        <f>IFERROR(__xludf.DUMMYFUNCTION("GOOGLETRANSLATE(A2555, ""ar"", ""bn"")"),"এম Mtto পি")</f>
        <v>এম Mtto পি</v>
      </c>
    </row>
    <row r="2556">
      <c r="A2556" s="2" t="s">
        <v>2610</v>
      </c>
      <c r="B2556" s="3" t="str">
        <f>IFERROR(__xludf.DUMMYFUNCTION("GOOGLETRANSLATE(A2556, ""ar"", ""bn"")"),"ভোট")</f>
        <v>ভোট</v>
      </c>
    </row>
    <row r="2557">
      <c r="A2557" s="2" t="s">
        <v>2611</v>
      </c>
      <c r="B2557" s="3" t="str">
        <f>IFERROR(__xludf.DUMMYFUNCTION("GOOGLETRANSLATE(A2557, ""ar"", ""bn"")"),"Amso টি প্রত্যাখ্যাত")</f>
        <v>Amso টি প্রত্যাখ্যাত</v>
      </c>
    </row>
    <row r="2558">
      <c r="A2558" s="2" t="s">
        <v>2612</v>
      </c>
      <c r="B2558" s="3" t="str">
        <f>IFERROR(__xludf.DUMMYFUNCTION("GOOGLETRANSLATE(A2558, ""ar"", ""bn"")"),"Amso টি যুদ্ধবিরতি")</f>
        <v>Amso টি যুদ্ধবিরতি</v>
      </c>
    </row>
    <row r="2559">
      <c r="A2559" s="2" t="s">
        <v>2613</v>
      </c>
      <c r="B2559" s="3" t="str">
        <f>IFERROR(__xludf.DUMMYFUNCTION("GOOGLETRANSLATE(A2559, ""ar"", ""bn"")"),"হাতের দেন")</f>
        <v>হাতের দেন</v>
      </c>
    </row>
    <row r="2560">
      <c r="A2560" s="2" t="s">
        <v>2614</v>
      </c>
      <c r="B2560" s="3" t="str">
        <f>IFERROR(__xludf.DUMMYFUNCTION("GOOGLETRANSLATE(A2560, ""ar"", ""bn"")"),"ক্রম অনুযায়ী ভোট দিন")</f>
        <v>ক্রম অনুযায়ী ভোট দিন</v>
      </c>
    </row>
    <row r="2561">
      <c r="A2561" s="2" t="s">
        <v>2615</v>
      </c>
      <c r="B2561" s="3" t="str">
        <f>IFERROR(__xludf.DUMMYFUNCTION("GOOGLETRANSLATE(A2561, ""ar"", ""bn"")"),"আইটেম অধীনে ভোট")</f>
        <v>আইটেম অধীনে ভোট</v>
      </c>
    </row>
    <row r="2562">
      <c r="A2562" s="2" t="s">
        <v>2616</v>
      </c>
      <c r="B2562" s="3" t="str">
        <f>IFERROR(__xludf.DUMMYFUNCTION("GOOGLETRANSLATE(A2562, ""ar"", ""bn"")"),"কার্ড দ্বারা ভোট")</f>
        <v>কার্ড দ্বারা ভোট</v>
      </c>
    </row>
    <row r="2563">
      <c r="A2563" s="2" t="s">
        <v>2617</v>
      </c>
      <c r="B2563" s="3" t="str">
        <f>IFERROR(__xludf.DUMMYFUNCTION("GOOGLETRANSLATE(A2563, ""ar"", ""bn"")"),"আস্থা জ্ঞাপন")</f>
        <v>আস্থা জ্ঞাপন</v>
      </c>
    </row>
    <row r="2564">
      <c r="A2564" s="2" t="s">
        <v>2618</v>
      </c>
      <c r="B2564" s="3" t="str">
        <f>IFERROR(__xludf.DUMMYFUNCTION("GOOGLETRANSLATE(A2564, ""ar"", ""bn"")"),"বিদ্যমান ভিত্তিতে ভোট")</f>
        <v>বিদ্যমান ভিত্তিতে ভোট</v>
      </c>
    </row>
    <row r="2565">
      <c r="A2565" s="2" t="s">
        <v>2619</v>
      </c>
      <c r="B2565" s="3" t="str">
        <f>IFERROR(__xludf.DUMMYFUNCTION("GOOGLETRANSLATE(A2565, ""ar"", ""bn"")"),"পক্ষে ভোট")</f>
        <v>পক্ষে ভোট</v>
      </c>
    </row>
    <row r="2566">
      <c r="A2566" s="2" t="s">
        <v>2620</v>
      </c>
      <c r="B2566" s="3" t="str">
        <f>IFERROR(__xludf.DUMMYFUNCTION("GOOGLETRANSLATE(A2566, ""ar"", ""bn"")"),"ভোট দিন ব্যালট Ales রে")</f>
        <v>ভোট দিন ব্যালট Ales রে</v>
      </c>
    </row>
    <row r="2567">
      <c r="A2567" s="2" t="s">
        <v>2621</v>
      </c>
      <c r="B2567" s="3" t="str">
        <f>IFERROR(__xludf.DUMMYFUNCTION("GOOGLETRANSLATE(A2567, ""ar"", ""bn"")"),"ভোট দিন প্রত্যাখ্যাত")</f>
        <v>ভোট দিন প্রত্যাখ্যাত</v>
      </c>
    </row>
    <row r="2568">
      <c r="A2568" s="2" t="s">
        <v>2622</v>
      </c>
      <c r="B2568" s="3" t="str">
        <f>IFERROR(__xludf.DUMMYFUNCTION("GOOGLETRANSLATE(A2568, ""ar"", ""bn"")"),"অনাস্থা একটি ভোট")</f>
        <v>অনাস্থা একটি ভোট</v>
      </c>
    </row>
    <row r="2569">
      <c r="A2569" s="2" t="s">
        <v>2623</v>
      </c>
      <c r="B2569" s="3" t="str">
        <f>IFERROR(__xludf.DUMMYFUNCTION("GOOGLETRANSLATE(A2569, ""ar"", ""bn"")"),"মিমি টি Mso ভোটারদের Guetra")</f>
        <v>মিমি টি Mso ভোটারদের Guetra</v>
      </c>
    </row>
    <row r="2570">
      <c r="A2570" s="2" t="s">
        <v>2624</v>
      </c>
      <c r="B2570" s="3" t="str">
        <f>IFERROR(__xludf.DUMMYFUNCTION("GOOGLETRANSLATE(A2570, ""ar"", ""bn"")"),"ভোটিং পদ্ধতি")</f>
        <v>ভোটিং পদ্ধতি</v>
      </c>
    </row>
    <row r="2571">
      <c r="A2571" s="2" t="s">
        <v>2625</v>
      </c>
      <c r="B2571" s="3" t="str">
        <f>IFERROR(__xludf.DUMMYFUNCTION("GOOGLETRANSLATE(A2571, ""ar"", ""bn"")"),"ভোটিং কাগজপত্র")</f>
        <v>ভোটিং কাগজপত্র</v>
      </c>
    </row>
    <row r="2572">
      <c r="A2572" s="2" t="s">
        <v>2626</v>
      </c>
      <c r="B2572" s="3" t="str">
        <f>IFERROR(__xludf.DUMMYFUNCTION("GOOGLETRANSLATE(A2572, ""ar"", ""bn"")"),"ভোট দানের ফলাফলগুলি")</f>
        <v>ভোট দানের ফলাফলগুলি</v>
      </c>
    </row>
    <row r="2573">
      <c r="A2573" s="2" t="s">
        <v>2627</v>
      </c>
      <c r="B2573" s="3" t="str">
        <f>IFERROR(__xludf.DUMMYFUNCTION("GOOGLETRANSLATE(A2573, ""ar"", ""bn"")"),"রাজনৈতিক পরিস্থিতি বাঁধানো ঘ")</f>
        <v>রাজনৈতিক পরিস্থিতি বাঁধানো ঘ</v>
      </c>
    </row>
    <row r="2574">
      <c r="A2574" s="2" t="s">
        <v>2628</v>
      </c>
      <c r="B2574" s="3" t="str">
        <f>IFERROR(__xludf.DUMMYFUNCTION("GOOGLETRANSLATE(A2574, ""ar"", ""bn"")"),"ইমিউনিটি দাবিত্যাগ")</f>
        <v>ইমিউনিটি দাবিত্যাগ</v>
      </c>
    </row>
    <row r="2575">
      <c r="A2575" s="2" t="s">
        <v>2629</v>
      </c>
      <c r="B2575" s="3" t="str">
        <f>IFERROR(__xludf.DUMMYFUNCTION("GOOGLETRANSLATE(A2575, ""ar"", ""bn"")"),"যুদ্ধের দেবতা")</f>
        <v>যুদ্ধের দেবতা</v>
      </c>
    </row>
    <row r="2576">
      <c r="A2576" s="2" t="s">
        <v>2630</v>
      </c>
      <c r="B2576" s="3" t="str">
        <f>IFERROR(__xludf.DUMMYFUNCTION("GOOGLETRANSLATE(A2576, ""ar"", ""bn"")"),"যুদ্ধের চাবুক")</f>
        <v>যুদ্ধের চাবুক</v>
      </c>
    </row>
    <row r="2577">
      <c r="A2577" s="2" t="s">
        <v>2631</v>
      </c>
      <c r="B2577" s="3" t="str">
        <f>IFERROR(__xludf.DUMMYFUNCTION("GOOGLETRANSLATE(A2577, ""ar"", ""bn"")"),"যুদ্ধবন্দীদের")</f>
        <v>যুদ্ধবন্দীদের</v>
      </c>
    </row>
    <row r="2578">
      <c r="A2578" s="2" t="s">
        <v>2632</v>
      </c>
      <c r="B2578" s="3" t="str">
        <f>IFERROR(__xludf.DUMMYFUNCTION("GOOGLETRANSLATE(A2578, ""ar"", ""bn"")"),"যুদ্ধের কাউন্সিল")</f>
        <v>যুদ্ধের কাউন্সিল</v>
      </c>
    </row>
    <row r="2579">
      <c r="A2579" s="2" t="s">
        <v>2633</v>
      </c>
      <c r="B2579" s="3" t="str">
        <f>IFERROR(__xludf.DUMMYFUNCTION("GOOGLETRANSLATE(A2579, ""ar"", ""bn"")"),"ওয়ার কোর্ট")</f>
        <v>ওয়ার কোর্ট</v>
      </c>
    </row>
    <row r="2580">
      <c r="A2580" s="2" t="s">
        <v>2634</v>
      </c>
      <c r="B2580" s="3" t="str">
        <f>IFERROR(__xludf.DUMMYFUNCTION("GOOGLETRANSLATE(A2580, ""ar"", ""bn"")"),"যুদ্ধ অপরাধের")</f>
        <v>যুদ্ধ অপরাধের</v>
      </c>
    </row>
    <row r="2581">
      <c r="A2581" s="2" t="s">
        <v>2635</v>
      </c>
      <c r="B2581" s="3" t="str">
        <f>IFERROR(__xludf.DUMMYFUNCTION("GOOGLETRANSLATE(A2581, ""ar"", ""bn"")"),"যুদ্ধের একটি ফৌজদারি")</f>
        <v>যুদ্ধের একটি ফৌজদারি</v>
      </c>
    </row>
    <row r="2582">
      <c r="A2582" s="2" t="s">
        <v>2636</v>
      </c>
      <c r="B2582" s="3" t="str">
        <f>IFERROR(__xludf.DUMMYFUNCTION("GOOGLETRANSLATE(A2582, ""ar"", ""bn"")"),"যুদ্ধের ভয়াবহতা")</f>
        <v>যুদ্ধের ভয়াবহতা</v>
      </c>
    </row>
    <row r="2583">
      <c r="A2583" s="2" t="s">
        <v>2637</v>
      </c>
      <c r="B2583" s="3" t="str">
        <f>IFERROR(__xludf.DUMMYFUNCTION("GOOGLETRANSLATE(A2583, ""ar"", ""bn"")"),"ক্ষয় যুদ্ধের")</f>
        <v>ক্ষয় যুদ্ধের</v>
      </c>
    </row>
    <row r="2584">
      <c r="A2584" s="2" t="s">
        <v>2638</v>
      </c>
      <c r="B2584" s="3" t="str">
        <f>IFERROR(__xludf.DUMMYFUNCTION("GOOGLETRANSLATE(A2584, ""ar"", ""bn"")"),"গণহত্যা")</f>
        <v>গণহত্যা</v>
      </c>
    </row>
    <row r="2585">
      <c r="A2585" s="2" t="s">
        <v>2639</v>
      </c>
      <c r="B2585" s="3" t="str">
        <f>IFERROR(__xludf.DUMMYFUNCTION("GOOGLETRANSLATE(A2585, ""ar"", ""bn"")"),"স্নায়ু যুদ্ধের")</f>
        <v>স্নায়ু যুদ্ধের</v>
      </c>
    </row>
    <row r="2586">
      <c r="A2586" s="2" t="s">
        <v>2640</v>
      </c>
      <c r="B2586" s="3" t="str">
        <f>IFERROR(__xludf.DUMMYFUNCTION("GOOGLETRANSLATE(A2586, ""ar"", ""bn"")"),"যুদ্ধ বন্দী")</f>
        <v>যুদ্ধ বন্দী</v>
      </c>
    </row>
    <row r="2587">
      <c r="A2587" s="2" t="s">
        <v>2641</v>
      </c>
      <c r="B2587" s="3" t="str">
        <f>IFERROR(__xludf.DUMMYFUNCTION("GOOGLETRANSLATE(A2587, ""ar"", ""bn"")"),"যুদ্ধ ঘোষণা")</f>
        <v>যুদ্ধ ঘোষণা</v>
      </c>
    </row>
    <row r="2588">
      <c r="A2588" s="2" t="s">
        <v>2642</v>
      </c>
      <c r="B2588" s="3" t="str">
        <f>IFERROR(__xludf.DUMMYFUNCTION("GOOGLETRANSLATE(A2588, ""ar"", ""bn"")"),"যুদ্ধ অপারেশনের শিল্প")</f>
        <v>যুদ্ধ অপারেশনের শিল্প</v>
      </c>
    </row>
    <row r="2589">
      <c r="A2589" s="2" t="s">
        <v>2643</v>
      </c>
      <c r="B2589" s="3" t="str">
        <f>IFERROR(__xludf.DUMMYFUNCTION("GOOGLETRANSLATE(A2589, ""ar"", ""bn"")"),"যুদ্ধ দেখুন")</f>
        <v>যুদ্ধ দেখুন</v>
      </c>
    </row>
    <row r="2590">
      <c r="A2590" s="2" t="s">
        <v>2644</v>
      </c>
      <c r="B2590" s="3" t="str">
        <f>IFERROR(__xludf.DUMMYFUNCTION("GOOGLETRANSLATE(A2590, ""ar"", ""bn"")"),"ওয়ার জোন")</f>
        <v>ওয়ার জোন</v>
      </c>
    </row>
    <row r="2591">
      <c r="A2591" s="2" t="s">
        <v>2645</v>
      </c>
      <c r="B2591" s="3" t="str">
        <f>IFERROR(__xludf.DUMMYFUNCTION("GOOGLETRANSLATE(A2591, ""ar"", ""bn"")"),"সতর্কতা মেমো")</f>
        <v>সতর্কতা মেমো</v>
      </c>
    </row>
    <row r="2592">
      <c r="A2592" s="2" t="s">
        <v>2646</v>
      </c>
      <c r="B2592" s="3" t="str">
        <f>IFERROR(__xludf.DUMMYFUNCTION("GOOGLETRANSLATE(A2592, ""ar"", ""bn"")"),"যুদ্ধের ফলাফল")</f>
        <v>যুদ্ধের ফলাফল</v>
      </c>
    </row>
    <row r="2593">
      <c r="A2593" s="2" t="s">
        <v>2647</v>
      </c>
      <c r="B2593" s="3" t="str">
        <f>IFERROR(__xludf.DUMMYFUNCTION("GOOGLETRANSLATE(A2593, ""ar"", ""bn"")"),"যুদ্ধগুলোতে মৃত্যুর জন্য পূর্বনির্দিষ্ট")</f>
        <v>যুদ্ধগুলোতে মৃত্যুর জন্য পূর্বনির্দিষ্ট</v>
      </c>
    </row>
    <row r="2594">
      <c r="A2594" s="2" t="s">
        <v>2648</v>
      </c>
      <c r="B2594" s="3" t="str">
        <f>IFERROR(__xludf.DUMMYFUNCTION("GOOGLETRANSLATE(A2594, ""ar"", ""bn"")"),"যুদ্ধের খারাপ")</f>
        <v>যুদ্ধের খারাপ</v>
      </c>
    </row>
    <row r="2595">
      <c r="A2595" s="2" t="s">
        <v>2649</v>
      </c>
      <c r="B2595" s="3" t="str">
        <f>IFERROR(__xludf.DUMMYFUNCTION("GOOGLETRANSLATE(A2595, ""ar"", ""bn"")"),"যুদ্ধের গৌরব")</f>
        <v>যুদ্ধের গৌরব</v>
      </c>
    </row>
    <row r="2596">
      <c r="A2596" s="2" t="s">
        <v>2650</v>
      </c>
      <c r="B2596" s="3" t="str">
        <f>IFERROR(__xludf.DUMMYFUNCTION("GOOGLETRANSLATE(A2596, ""ar"", ""bn"")"),"যুদ্ধের ক্ষতিপূরণ")</f>
        <v>যুদ্ধের ক্ষতিপূরণ</v>
      </c>
    </row>
    <row r="2597">
      <c r="A2597" s="2" t="s">
        <v>2651</v>
      </c>
      <c r="B2597" s="3" t="str">
        <f>IFERROR(__xludf.DUMMYFUNCTION("GOOGLETRANSLATE(A2597, ""ar"", ""bn"")"),"যুদ্ধের আইন")</f>
        <v>যুদ্ধের আইন</v>
      </c>
    </row>
    <row r="2598">
      <c r="A2598" s="2" t="s">
        <v>2652</v>
      </c>
      <c r="B2598" s="3" t="str">
        <f>IFERROR(__xludf.DUMMYFUNCTION("GOOGLETRANSLATE(A2598, ""ar"", ""bn"")"),"যুদ্ধের শিকার")</f>
        <v>যুদ্ধের শিকার</v>
      </c>
    </row>
    <row r="2599">
      <c r="A2599" s="2" t="s">
        <v>2653</v>
      </c>
      <c r="B2599" s="3" t="str">
        <f>IFERROR(__xludf.DUMMYFUNCTION("GOOGLETRANSLATE(A2599, ""ar"", ""bn"")"),"জয়লাভ যুদ্ধ")</f>
        <v>জয়লাভ যুদ্ধ</v>
      </c>
    </row>
    <row r="2600">
      <c r="A2600" s="2" t="s">
        <v>2654</v>
      </c>
      <c r="B2600" s="3" t="str">
        <f>IFERROR(__xludf.DUMMYFUNCTION("GOOGLETRANSLATE(A2600, ""ar"", ""bn"")"),"অস্ত্র")</f>
        <v>অস্ত্র</v>
      </c>
    </row>
    <row r="2601">
      <c r="A2601" s="2" t="s">
        <v>2655</v>
      </c>
      <c r="B2601" s="3" t="str">
        <f>IFERROR(__xludf.DUMMYFUNCTION("GOOGLETRANSLATE(A2601, ""ar"", ""bn"")"),"Amreh রাজনৈতিক সিদ্ধান্ত")</f>
        <v>Amreh রাজনৈতিক সিদ্ধান্ত</v>
      </c>
    </row>
    <row r="2602">
      <c r="A2602" s="2" t="s">
        <v>2656</v>
      </c>
      <c r="B2602" s="3" t="str">
        <f>IFERROR(__xludf.DUMMYFUNCTION("GOOGLETRANSLATE(A2602, ""ar"", ""bn"")"),"কল্যাণ রাষ্ট্র")</f>
        <v>কল্যাণ রাষ্ট্র</v>
      </c>
    </row>
    <row r="2603">
      <c r="A2603" s="2" t="s">
        <v>2657</v>
      </c>
      <c r="B2603" s="3" t="str">
        <f>IFERROR(__xludf.DUMMYFUNCTION("GOOGLETRANSLATE(A2603, ""ar"", ""bn"")"),"আন্তর্জাতিক সম্প্রদায় জ বছর দেখার")</f>
        <v>আন্তর্জাতিক সম্প্রদায় জ বছর দেখার</v>
      </c>
    </row>
    <row r="2604">
      <c r="A2604" s="2" t="s">
        <v>2658</v>
      </c>
      <c r="B2604" s="3" t="str">
        <f>IFERROR(__xludf.DUMMYFUNCTION("GOOGLETRANSLATE(A2604, ""ar"", ""bn"")"),"এম ভাল-বিশ্বাস আলোচনার")</f>
        <v>এম ভাল-বিশ্বাস আলোচনার</v>
      </c>
    </row>
    <row r="2605">
      <c r="A2605" s="2" t="s">
        <v>2659</v>
      </c>
      <c r="B2605" s="3" t="str">
        <f>IFERROR(__xludf.DUMMYFUNCTION("GOOGLETRANSLATE(A2605, ""ar"", ""bn"")"),"ভাল মধ্যে কূটনৈতিক তৎপরতা")</f>
        <v>ভাল মধ্যে কূটনৈতিক তৎপরতা</v>
      </c>
    </row>
    <row r="2606">
      <c r="A2606" s="2" t="s">
        <v>2660</v>
      </c>
      <c r="B2606" s="3" t="str">
        <f>IFERROR(__xludf.DUMMYFUNCTION("GOOGLETRANSLATE(A2606, ""ar"", ""bn"")"),"উদ্দেশ্য")</f>
        <v>উদ্দেশ্য</v>
      </c>
    </row>
    <row r="2607">
      <c r="A2607" s="2" t="s">
        <v>2661</v>
      </c>
      <c r="B2607" s="3" t="str">
        <f>IFERROR(__xludf.DUMMYFUNCTION("GOOGLETRANSLATE(A2607, ""ar"", ""bn"")"),"পশ্চিম তীর")</f>
        <v>পশ্চিম তীর</v>
      </c>
    </row>
    <row r="2608">
      <c r="A2608" s="2" t="s">
        <v>2662</v>
      </c>
      <c r="B2608" s="3" t="str">
        <f>IFERROR(__xludf.DUMMYFUNCTION("GOOGLETRANSLATE(A2608, ""ar"", ""bn"")"),"পশ্চিমা সমাজের")</f>
        <v>পশ্চিমা সমাজের</v>
      </c>
    </row>
    <row r="2609">
      <c r="A2609" s="2" t="s">
        <v>2663</v>
      </c>
      <c r="B2609" s="3" t="str">
        <f>IFERROR(__xludf.DUMMYFUNCTION("GOOGLETRANSLATE(A2609, ""ar"", ""bn"")"),"হোয়াইট সংখ্যাগরিষ্ঠ")</f>
        <v>হোয়াইট সংখ্যাগরিষ্ঠ</v>
      </c>
    </row>
    <row r="2610">
      <c r="A2610" s="2" t="s">
        <v>2664</v>
      </c>
      <c r="B2610" s="3" t="str">
        <f>IFERROR(__xludf.DUMMYFUNCTION("GOOGLETRANSLATE(A2610, ""ar"", ""bn"")"),"হোয়াইট সংখ্যালঘু")</f>
        <v>হোয়াইট সংখ্যালঘু</v>
      </c>
    </row>
    <row r="2611">
      <c r="A2611" s="2" t="s">
        <v>2665</v>
      </c>
      <c r="B2611" s="3" t="str">
        <f>IFERROR(__xludf.DUMMYFUNCTION("GOOGLETRANSLATE(A2611, ""ar"", ""bn"")"),"Yos পি যুক্তরাষ্ট্র মধ্যে সহযোগিতা")</f>
        <v>Yos পি যুক্তরাষ্ট্র মধ্যে সহযোগিতা</v>
      </c>
    </row>
    <row r="2612">
      <c r="A2612" s="2" t="s">
        <v>2666</v>
      </c>
      <c r="B2612" s="3" t="str">
        <f>IFERROR(__xludf.DUMMYFUNCTION("GOOGLETRANSLATE(A2612, ""ar"", ""bn"")"),"Lemos পি স্থল আক্রমণের")</f>
        <v>Lemos পি স্থল আক্রমণের</v>
      </c>
    </row>
    <row r="2613">
      <c r="A2613" s="2" t="s">
        <v>2667</v>
      </c>
      <c r="B2613" s="3" t="str">
        <f>IFERROR(__xludf.DUMMYFUNCTION("GOOGLETRANSLATE(A2613, ""ar"", ""bn"")"),"মনিটরিং টেলিফোন লাইনের")</f>
        <v>মনিটরিং টেলিফোন লাইনের</v>
      </c>
    </row>
    <row r="2614">
      <c r="A2614" s="2" t="s">
        <v>2668</v>
      </c>
      <c r="B2614" s="3" t="str">
        <f>IFERROR(__xludf.DUMMYFUNCTION("GOOGLETRANSLATE(A2614, ""ar"", ""bn"")"),"বিজ্ঞ নীতি")</f>
        <v>বিজ্ঞ নীতি</v>
      </c>
    </row>
    <row r="2615">
      <c r="A2615" s="2" t="s">
        <v>2669</v>
      </c>
      <c r="B2615" s="3" t="str">
        <f>IFERROR(__xludf.DUMMYFUNCTION("GOOGLETRANSLATE(A2615, ""ar"", ""bn"")"),"সীমান্ত পিছনে প্রত্যাহার")</f>
        <v>সীমান্ত পিছনে প্রত্যাহার</v>
      </c>
    </row>
    <row r="2616">
      <c r="A2616" s="2" t="s">
        <v>2670</v>
      </c>
      <c r="B2616" s="3" t="str">
        <f>IFERROR(__xludf.DUMMYFUNCTION("GOOGLETRANSLATE(A2616, ""ar"", ""bn"")"),"স্বাধীনতা প্রত্যাহার")</f>
        <v>স্বাধীনতা প্রত্যাহার</v>
      </c>
    </row>
    <row r="2617">
      <c r="A2617" s="2" t="s">
        <v>2671</v>
      </c>
      <c r="B2617" s="3" t="str">
        <f>IFERROR(__xludf.DUMMYFUNCTION("GOOGLETRANSLATE(A2617, ""ar"", ""bn"")"),"ফোর্সেস বিদেশী তথ্য প্রত্যাহারের")</f>
        <v>ফোর্সেস বিদেশী তথ্য প্রত্যাহারের</v>
      </c>
    </row>
    <row r="2618">
      <c r="A2618" s="2" t="s">
        <v>2672</v>
      </c>
      <c r="B2618" s="3" t="str">
        <f>IFERROR(__xludf.DUMMYFUNCTION("GOOGLETRANSLATE(A2618, ""ar"", ""bn"")"),"নিঃসন্দেহে")</f>
        <v>নিঃসন্দেহে</v>
      </c>
    </row>
    <row r="2619">
      <c r="A2619" s="2" t="s">
        <v>2673</v>
      </c>
      <c r="B2619" s="3" t="str">
        <f>IFERROR(__xludf.DUMMYFUNCTION("GOOGLETRANSLATE(A2619, ""ar"", ""bn"")"),"কোন দেরী না করে")</f>
        <v>কোন দেরী না করে</v>
      </c>
    </row>
    <row r="2620">
      <c r="A2620" s="2" t="s">
        <v>2674</v>
      </c>
      <c r="B2620" s="3" t="str">
        <f>IFERROR(__xludf.DUMMYFUNCTION("GOOGLETRANSLATE(A2620, ""ar"", ""bn"")"),"রিজার্ভেশন ছাড়া")</f>
        <v>রিজার্ভেশন ছাড়া</v>
      </c>
    </row>
    <row r="2621">
      <c r="A2621" s="2" t="s">
        <v>2675</v>
      </c>
      <c r="B2621" s="3" t="str">
        <f>IFERROR(__xludf.DUMMYFUNCTION("GOOGLETRANSLATE(A2621, ""ar"", ""bn"")"),"রাজনৈতিক দমন প্রতিরোধ")</f>
        <v>রাজনৈতিক দমন প্রতিরোধ</v>
      </c>
    </row>
    <row r="2622">
      <c r="A2622" s="2" t="s">
        <v>2676</v>
      </c>
      <c r="B2622" s="3" t="str">
        <f>IFERROR(__xludf.DUMMYFUNCTION("GOOGLETRANSLATE(A2622, ""ar"", ""bn"")"),"চাপ সহ্য")</f>
        <v>চাপ সহ্য</v>
      </c>
    </row>
    <row r="2623">
      <c r="A2623" s="2" t="s">
        <v>262</v>
      </c>
      <c r="B2623" s="3" t="str">
        <f>IFERROR(__xludf.DUMMYFUNCTION("GOOGLETRANSLATE(A2623, ""ar"", ""bn"")"),"কূটনীতি")</f>
        <v>কূটনীতি</v>
      </c>
    </row>
    <row r="2624">
      <c r="A2624" s="2" t="s">
        <v>2677</v>
      </c>
      <c r="B2624" s="3" t="str">
        <f>IFERROR(__xludf.DUMMYFUNCTION("GOOGLETRANSLATE(A2624, ""ar"", ""bn"")"),"প্রতিষ্ঠানের ভাষায় ওয়ার্কিং")</f>
        <v>প্রতিষ্ঠানের ভাষায় ওয়ার্কিং</v>
      </c>
    </row>
    <row r="2625">
      <c r="A2625" s="2" t="s">
        <v>2678</v>
      </c>
      <c r="B2625" s="3" t="str">
        <f>IFERROR(__xludf.DUMMYFUNCTION("GOOGLETRANSLATE(A2625, ""ar"", ""bn"")"),"পিতা মেকানিসম")</f>
        <v>পিতা মেকানিসম</v>
      </c>
    </row>
    <row r="2626">
      <c r="A2626" s="2" t="s">
        <v>2679</v>
      </c>
      <c r="B2626" s="3" t="str">
        <f>IFERROR(__xludf.DUMMYFUNCTION("GOOGLETRANSLATE(A2626, ""ar"", ""bn"")"),"এম আন্তর্জাতিক বিষয়ক সংবাদদাতা")</f>
        <v>এম আন্তর্জাতিক বিষয়ক সংবাদদাতা</v>
      </c>
    </row>
    <row r="2627">
      <c r="A2627" s="2" t="s">
        <v>2680</v>
      </c>
      <c r="B2627" s="3" t="str">
        <f>IFERROR(__xludf.DUMMYFUNCTION("GOOGLETRANSLATE(A2627, ""ar"", ""bn"")"),"বিশ্বব্যাপী বিপর্যয়")</f>
        <v>বিশ্বব্যাপী বিপর্যয়</v>
      </c>
    </row>
    <row r="2628">
      <c r="A2628" s="2" t="s">
        <v>2681</v>
      </c>
      <c r="B2628" s="3" t="str">
        <f>IFERROR(__xludf.DUMMYFUNCTION("GOOGLETRANSLATE(A2628, ""ar"", ""bn"")"),"বিশ্বব্যাপী শেক")</f>
        <v>বিশ্বব্যাপী শেক</v>
      </c>
    </row>
    <row r="2629">
      <c r="A2629" s="2" t="s">
        <v>2682</v>
      </c>
      <c r="B2629" s="3" t="str">
        <f>IFERROR(__xludf.DUMMYFUNCTION("GOOGLETRANSLATE(A2629, ""ar"", ""bn"")"),"শিখর")</f>
        <v>শিখর</v>
      </c>
    </row>
    <row r="2630">
      <c r="A2630" s="2" t="s">
        <v>2683</v>
      </c>
      <c r="B2630" s="3" t="str">
        <f>IFERROR(__xludf.DUMMYFUNCTION("GOOGLETRANSLATE(A2630, ""ar"", ""bn"")"),"গ্লোবাল বিবেক")</f>
        <v>গ্লোবাল বিবেক</v>
      </c>
    </row>
    <row r="2631">
      <c r="A2631" s="2" t="s">
        <v>2684</v>
      </c>
      <c r="B2631" s="3" t="str">
        <f>IFERROR(__xludf.DUMMYFUNCTION("GOOGLETRANSLATE(A2631, ""ar"", ""bn"")"),"এর একটি আন্তর্জাতিক সহযোগিতা")</f>
        <v>এর একটি আন্তর্জাতিক সহযোগিতা</v>
      </c>
    </row>
    <row r="2632">
      <c r="A2632" s="2" t="s">
        <v>2685</v>
      </c>
      <c r="B2632" s="3" t="str">
        <f>IFERROR(__xludf.DUMMYFUNCTION("GOOGLETRANSLATE(A2632, ""ar"", ""bn"")"),"আন্তর্জাতিক মান")</f>
        <v>আন্তর্জাতিক মান</v>
      </c>
    </row>
    <row r="2633">
      <c r="A2633" s="2" t="s">
        <v>2686</v>
      </c>
      <c r="B2633" s="3" t="str">
        <f>IFERROR(__xludf.DUMMYFUNCTION("GOOGLETRANSLATE(A2633, ""ar"", ""bn"")"),"গু আন্তর্জাতিক জরুরি অবস্থা ডেটা")</f>
        <v>গু আন্তর্জাতিক জরুরি অবস্থা ডেটা</v>
      </c>
    </row>
    <row r="2634">
      <c r="A2634" s="2" t="s">
        <v>2687</v>
      </c>
      <c r="B2634" s="3" t="str">
        <f>IFERROR(__xludf.DUMMYFUNCTION("GOOGLETRANSLATE(A2634, ""ar"", ""bn"")"),"এম আন্তর্জাতিক প্রতিবাদী")</f>
        <v>এম আন্তর্জাতিক প্রতিবাদী</v>
      </c>
    </row>
    <row r="2635">
      <c r="A2635" s="2" t="s">
        <v>2688</v>
      </c>
      <c r="B2635" s="3" t="str">
        <f>IFERROR(__xludf.DUMMYFUNCTION("GOOGLETRANSLATE(A2635, ""ar"", ""bn"")"),"বিশ্ব নেতাদের বৈঠক")</f>
        <v>বিশ্ব নেতাদের বৈঠক</v>
      </c>
    </row>
    <row r="2636">
      <c r="A2636" s="2" t="s">
        <v>2689</v>
      </c>
      <c r="B2636" s="3" t="str">
        <f>IFERROR(__xludf.DUMMYFUNCTION("GOOGLETRANSLATE(A2636, ""ar"", ""bn"")"),"আন্তর্জাতিক সামরিক অবস্থা")</f>
        <v>আন্তর্জাতিক সামরিক অবস্থা</v>
      </c>
    </row>
    <row r="2637">
      <c r="A2637" s="2" t="s">
        <v>2690</v>
      </c>
      <c r="B2637" s="3" t="str">
        <f>IFERROR(__xludf.DUMMYFUNCTION("GOOGLETRANSLATE(A2637, ""ar"", ""bn"")"),"সংহতি একজন বিশ্ব")</f>
        <v>সংহতি একজন বিশ্ব</v>
      </c>
    </row>
    <row r="2638">
      <c r="A2638" s="2" t="s">
        <v>2691</v>
      </c>
      <c r="B2638" s="3" t="str">
        <f>IFERROR(__xludf.DUMMYFUNCTION("GOOGLETRANSLATE(A2638, ""ar"", ""bn"")"),"বিশ্ব শান্তি")</f>
        <v>বিশ্ব শান্তি</v>
      </c>
    </row>
    <row r="2639">
      <c r="A2639" s="2" t="s">
        <v>2692</v>
      </c>
      <c r="B2639" s="3" t="str">
        <f>IFERROR(__xludf.DUMMYFUNCTION("GOOGLETRANSLATE(A2639, ""ar"", ""bn"")"),"বিশ্ব রাজনীতিতে")</f>
        <v>বিশ্ব রাজনীতিতে</v>
      </c>
    </row>
    <row r="2640">
      <c r="A2640" s="2" t="s">
        <v>2693</v>
      </c>
      <c r="B2640" s="3" t="str">
        <f>IFERROR(__xludf.DUMMYFUNCTION("GOOGLETRANSLATE(A2640, ""ar"", ""bn"")"),"বিশ্বব্যাপী রাজনৈতিক পরিস্থিতি")</f>
        <v>বিশ্বব্যাপী রাজনৈতিক পরিস্থিতি</v>
      </c>
    </row>
    <row r="2641">
      <c r="A2641" s="2" t="s">
        <v>2694</v>
      </c>
      <c r="B2641" s="3" t="str">
        <f>IFERROR(__xludf.DUMMYFUNCTION("GOOGLETRANSLATE(A2641, ""ar"", ""bn"")"),"গ্লোবাল কর্তৃপক্ষ")</f>
        <v>গ্লোবাল কর্তৃপক্ষ</v>
      </c>
    </row>
    <row r="2642">
      <c r="A2642" s="2" t="s">
        <v>2695</v>
      </c>
      <c r="B2642" s="3" t="str">
        <f>IFERROR(__xludf.DUMMYFUNCTION("GOOGLETRANSLATE(A2642, ""ar"", ""bn"")"),"আন্তর্জাতিক ক্ষমতা")</f>
        <v>আন্তর্জাতিক ক্ষমতা</v>
      </c>
    </row>
    <row r="2643">
      <c r="A2643" s="2" t="s">
        <v>2696</v>
      </c>
      <c r="B2643" s="3" t="str">
        <f>IFERROR(__xludf.DUMMYFUNCTION("GOOGLETRANSLATE(A2643, ""ar"", ""bn"")"),"আন্তর্জাতিক সুরক্ষা")</f>
        <v>আন্তর্জাতিক সুরক্ষা</v>
      </c>
    </row>
    <row r="2644">
      <c r="A2644" s="2" t="s">
        <v>2697</v>
      </c>
      <c r="B2644" s="3" t="str">
        <f>IFERROR(__xludf.DUMMYFUNCTION("GOOGLETRANSLATE(A2644, ""ar"", ""bn"")"),"বিশ্বযুদ্ধ")</f>
        <v>বিশ্বযুদ্ধ</v>
      </c>
    </row>
    <row r="2645">
      <c r="A2645" s="2" t="s">
        <v>2698</v>
      </c>
      <c r="B2645" s="3" t="str">
        <f>IFERROR(__xludf.DUMMYFUNCTION("GOOGLETRANSLATE(A2645, ""ar"", ""bn"")"),"ওয়াইড আন্তর্জাতিক প্রচলন")</f>
        <v>ওয়াইড আন্তর্জাতিক প্রচলন</v>
      </c>
    </row>
    <row r="2646">
      <c r="A2646" s="2" t="s">
        <v>2699</v>
      </c>
      <c r="B2646" s="3" t="str">
        <f>IFERROR(__xludf.DUMMYFUNCTION("GOOGLETRANSLATE(A2646, ""ar"", ""bn"")"),"আন্তর্জাতিক শিশু সাধারণ")</f>
        <v>আন্তর্জাতিক শিশু সাধারণ</v>
      </c>
    </row>
    <row r="2647">
      <c r="A2647" s="2" t="s">
        <v>2700</v>
      </c>
      <c r="B2647" s="3" t="str">
        <f>IFERROR(__xludf.DUMMYFUNCTION("GOOGLETRANSLATE(A2647, ""ar"", ""bn"")"),"আন্তর্জাতিক মানবাধিকার বছর")</f>
        <v>আন্তর্জাতিক মানবাধিকার বছর</v>
      </c>
    </row>
    <row r="2648">
      <c r="A2648" s="2" t="s">
        <v>2701</v>
      </c>
      <c r="B2648" s="3" t="str">
        <f>IFERROR(__xludf.DUMMYFUNCTION("GOOGLETRANSLATE(A2648, ""ar"", ""bn"")"),"নারী অধিকার জন্য আন্তর্জাতিক বছর")</f>
        <v>নারী অধিকার জন্য আন্তর্জাতিক বছর</v>
      </c>
    </row>
    <row r="2649">
      <c r="A2649" s="2" t="s">
        <v>2702</v>
      </c>
      <c r="B2649" s="3" t="str">
        <f>IFERROR(__xludf.DUMMYFUNCTION("GOOGLETRANSLATE(A2649, ""ar"", ""bn"")"),"একটি লিখিত সংবিধান")</f>
        <v>একটি লিখিত সংবিধান</v>
      </c>
    </row>
    <row r="2650">
      <c r="A2650" s="2" t="s">
        <v>2703</v>
      </c>
      <c r="B2650" s="3" t="str">
        <f>IFERROR(__xludf.DUMMYFUNCTION("GOOGLETRANSLATE(A2650, ""ar"", ""bn"")"),"জে লাইন প্রতিবেদন")</f>
        <v>জে লাইন প্রতিবেদন</v>
      </c>
    </row>
    <row r="2651">
      <c r="A2651" s="2" t="s">
        <v>2704</v>
      </c>
      <c r="B2651" s="3" t="str">
        <f>IFERROR(__xludf.DUMMYFUNCTION("GOOGLETRANSLATE(A2651, ""ar"", ""bn"")"),"বিদেশীদের সম্বন্ধে অহেতুক ভয়")</f>
        <v>বিদেশীদের সম্বন্ধে অহেতুক ভয়</v>
      </c>
    </row>
    <row r="2652">
      <c r="A2652" s="2" t="s">
        <v>2705</v>
      </c>
      <c r="B2652" s="3" t="str">
        <f>IFERROR(__xludf.DUMMYFUNCTION("GOOGLETRANSLATE(A2652, ""ar"", ""bn"")"),"Amsl অস্ত্র")</f>
        <v>Amsl অস্ত্র</v>
      </c>
    </row>
    <row r="2653">
      <c r="A2653" s="2" t="s">
        <v>2706</v>
      </c>
      <c r="B2653" s="3" t="str">
        <f>IFERROR(__xludf.DUMMYFUNCTION("GOOGLETRANSLATE(A2653, ""ar"", ""bn"")"),"নে টি উপনিবেশবাদ")</f>
        <v>নে টি উপনিবেশবাদ</v>
      </c>
    </row>
    <row r="2654">
      <c r="A2654" s="2" t="s">
        <v>2707</v>
      </c>
      <c r="B2654" s="3" t="str">
        <f>IFERROR(__xludf.DUMMYFUNCTION("GOOGLETRANSLATE(A2654, ""ar"", ""bn"")"),"ইহুদিবাদের")</f>
        <v>ইহুদিবাদের</v>
      </c>
    </row>
    <row r="2655">
      <c r="A2655" s="2" t="s">
        <v>2708</v>
      </c>
      <c r="B2655" s="3" t="str">
        <f>IFERROR(__xludf.DUMMYFUNCTION("GOOGLETRANSLATE(A2655, ""ar"", ""bn"")"),"অনুচ্ছেদ ২")</f>
        <v>অনুচ্ছেদ ২</v>
      </c>
    </row>
    <row r="2656">
      <c r="A2656" s="2" t="s">
        <v>2709</v>
      </c>
      <c r="B2656" s="3" t="str">
        <f>IFERROR(__xludf.DUMMYFUNCTION("GOOGLETRANSLATE(A2656, ""ar"", ""bn"")"),"আরবি ইংরেজি")</f>
        <v>আরবি ইংরেজি</v>
      </c>
    </row>
    <row r="2657">
      <c r="A2657" s="2" t="s">
        <v>1809</v>
      </c>
      <c r="B2657" s="3" t="str">
        <f>IFERROR(__xludf.DUMMYFUNCTION("GOOGLETRANSLATE(A2657, ""ar"", ""bn"")"),"রাজনৈতিক জোট")</f>
        <v>রাজনৈতিক জোট</v>
      </c>
    </row>
    <row r="2658">
      <c r="A2658" s="2" t="s">
        <v>1052</v>
      </c>
      <c r="B2658" s="3" t="str">
        <f>IFERROR(__xludf.DUMMYFUNCTION("GOOGLETRANSLATE(A2658, ""ar"", ""bn"")"),"গণহত্যা")</f>
        <v>গণহত্যা</v>
      </c>
    </row>
    <row r="2659">
      <c r="A2659" s="2" t="s">
        <v>241</v>
      </c>
      <c r="B2659" s="3" t="str">
        <f>IFERROR(__xludf.DUMMYFUNCTION("GOOGLETRANSLATE(A2659, ""ar"", ""bn"")"),"মানুষের উন্মূলন")</f>
        <v>মানুষের উন্মূলন</v>
      </c>
    </row>
    <row r="2660">
      <c r="A2660" s="2" t="s">
        <v>2051</v>
      </c>
      <c r="B2660" s="3" t="str">
        <f>IFERROR(__xludf.DUMMYFUNCTION("GOOGLETRANSLATE(A2660, ""ar"", ""bn"")"),"জাতিগত গণহত্যা")</f>
        <v>জাতিগত গণহত্যা</v>
      </c>
    </row>
    <row r="2661">
      <c r="A2661" s="2" t="s">
        <v>2710</v>
      </c>
      <c r="B2661" s="3" t="str">
        <f>IFERROR(__xludf.DUMMYFUNCTION("GOOGLETRANSLATE(A2661, ""ar"", ""bn"")"),"দেশের একটি গ্রুপ মধ্যে একটি ইউনিয়ন")</f>
        <v>দেশের একটি গ্রুপ মধ্যে একটি ইউনিয়ন</v>
      </c>
    </row>
    <row r="2662">
      <c r="A2662" s="2" t="s">
        <v>2711</v>
      </c>
      <c r="B2662" s="3" t="str">
        <f>IFERROR(__xludf.DUMMYFUNCTION("GOOGLETRANSLATE(A2662, ""ar"", ""bn"")"),"যুক্তরাষ্ট্রীয়")</f>
        <v>যুক্তরাষ্ট্রীয়</v>
      </c>
    </row>
    <row r="2663">
      <c r="A2663" s="2" t="s">
        <v>2548</v>
      </c>
      <c r="B2663" s="3" t="str">
        <f>IFERROR(__xludf.DUMMYFUNCTION("GOOGLETRANSLATE(A2663, ""ar"", ""bn"")"),"নেশনস ইউনিয়ন")</f>
        <v>নেশনস ইউনিয়ন</v>
      </c>
    </row>
    <row r="2664">
      <c r="A2664" s="2" t="s">
        <v>2549</v>
      </c>
      <c r="B2664" s="3" t="str">
        <f>IFERROR(__xludf.DUMMYFUNCTION("GOOGLETRANSLATE(A2664, ""ar"", ""bn"")"),"কর্তৃপক্ষ ইউনিয়ন")</f>
        <v>কর্তৃপক্ষ ইউনিয়ন</v>
      </c>
    </row>
    <row r="2665">
      <c r="A2665" s="2" t="s">
        <v>2547</v>
      </c>
      <c r="B2665" s="3" t="str">
        <f>IFERROR(__xludf.DUMMYFUNCTION("GOOGLETRANSLATE(A2665, ""ar"", ""bn"")"),"ইউনিয়ন ওয়েই নিন")</f>
        <v>ইউনিয়ন ওয়েই নিন</v>
      </c>
    </row>
    <row r="2666">
      <c r="A2666" s="2" t="s">
        <v>2334</v>
      </c>
      <c r="B2666" s="3" t="str">
        <f>IFERROR(__xludf.DUMMYFUNCTION("GOOGLETRANSLATE(A2666, ""ar"", ""bn"")"),"ইন্টারন্যাশনাল ফেডারেশন")</f>
        <v>ইন্টারন্যাশনাল ফেডারেশন</v>
      </c>
    </row>
    <row r="2667">
      <c r="A2667" s="2" t="s">
        <v>1477</v>
      </c>
      <c r="B2667" s="3" t="str">
        <f>IFERROR(__xludf.DUMMYFUNCTION("GOOGLETRANSLATE(A2667, ""ar"", ""bn"")"),"সেনাবাহিনী ইউনিয়ন")</f>
        <v>সেনাবাহিনী ইউনিয়ন</v>
      </c>
    </row>
    <row r="2668">
      <c r="A2668" s="2" t="s">
        <v>921</v>
      </c>
      <c r="B2668" s="3" t="str">
        <f>IFERROR(__xludf.DUMMYFUNCTION("GOOGLETRANSLATE(A2668, ""ar"", ""bn"")"),"অসহ্য হামলার প্রসার")</f>
        <v>অসহ্য হামলার প্রসার</v>
      </c>
    </row>
    <row r="2669">
      <c r="A2669" s="2" t="s">
        <v>2712</v>
      </c>
      <c r="B2669" s="3" t="str">
        <f>IFERROR(__xludf.DUMMYFUNCTION("GOOGLETRANSLATE(A2669, ""ar"", ""bn"")"),"কমিটি মধ্যে রাজনৈতিক পরিচিতি")</f>
        <v>কমিটি মধ্যে রাজনৈতিক পরিচিতি</v>
      </c>
    </row>
    <row r="2670">
      <c r="A2670" s="2" t="s">
        <v>726</v>
      </c>
      <c r="B2670" s="3" t="str">
        <f>IFERROR(__xludf.DUMMYFUNCTION("GOOGLETRANSLATE(A2670, ""ar"", ""bn"")"),"কূটনৈতিক পরিচিতি")</f>
        <v>কূটনৈতিক পরিচিতি</v>
      </c>
    </row>
    <row r="2671">
      <c r="A2671" s="2" t="s">
        <v>2104</v>
      </c>
      <c r="B2671" s="3" t="str">
        <f>IFERROR(__xludf.DUMMYFUNCTION("GOOGLETRANSLATE(A2671, ""ar"", ""bn"")"),"আঞ্চলিক চুক্তি")</f>
        <v>আঞ্চলিক চুক্তি</v>
      </c>
    </row>
    <row r="2672">
      <c r="A2672" s="2" t="s">
        <v>1323</v>
      </c>
      <c r="B2672" s="3" t="str">
        <f>IFERROR(__xludf.DUMMYFUNCTION("GOOGLETRANSLATE(A2672, ""ar"", ""bn"")"),"জমি-জন্য-শান্তি চুক্তি")</f>
        <v>জমি-জন্য-শান্তি চুক্তি</v>
      </c>
    </row>
    <row r="2673">
      <c r="A2673" s="2" t="s">
        <v>1279</v>
      </c>
      <c r="B2673" s="3" t="str">
        <f>IFERROR(__xludf.DUMMYFUNCTION("GOOGLETRANSLATE(A2673, ""ar"", ""bn"")"),"আন্তর্জাতিক ট্রাফিক চুক্তি")</f>
        <v>আন্তর্জাতিক ট্রাফিক চুক্তি</v>
      </c>
    </row>
    <row r="2674">
      <c r="A2674" s="2" t="s">
        <v>1225</v>
      </c>
      <c r="B2674" s="3" t="str">
        <f>IFERROR(__xludf.DUMMYFUNCTION("GOOGLETRANSLATE(A2674, ""ar"", ""bn"")"),"আন্তর্জাতিক চুক্তির")</f>
        <v>আন্তর্জাতিক চুক্তির</v>
      </c>
    </row>
    <row r="2675">
      <c r="A2675" s="2" t="s">
        <v>587</v>
      </c>
      <c r="B2675" s="3" t="str">
        <f>IFERROR(__xludf.DUMMYFUNCTION("GOOGLETRANSLATE(A2675, ""ar"", ""bn"")"),"চুক্তি")</f>
        <v>চুক্তি</v>
      </c>
    </row>
    <row r="2676">
      <c r="A2676" s="2" t="s">
        <v>1475</v>
      </c>
      <c r="B2676" s="3" t="str">
        <f>IFERROR(__xludf.DUMMYFUNCTION("GOOGLETRANSLATE(A2676, ""ar"", ""bn"")"),"একটি সামরিক চুক্তি")</f>
        <v>একটি সামরিক চুক্তি</v>
      </c>
    </row>
    <row r="2677">
      <c r="A2677" s="2" t="s">
        <v>2031</v>
      </c>
      <c r="B2677" s="3" t="str">
        <f>IFERROR(__xludf.DUMMYFUNCTION("GOOGLETRANSLATE(A2677, ""ar"", ""bn"")"),"যুদ্ধের মনস্তাত্ত্বিক প্রভাব")</f>
        <v>যুদ্ধের মনস্তাত্ত্বিক প্রভাব</v>
      </c>
    </row>
    <row r="2678">
      <c r="A2678" s="2" t="s">
        <v>2536</v>
      </c>
      <c r="B2678" s="3" t="str">
        <f>IFERROR(__xludf.DUMMYFUNCTION("GOOGLETRANSLATE(A2678, ""ar"", ""bn"")"),"যুদ্ধ অবস্থার সময়")</f>
        <v>যুদ্ধ অবস্থার সময়</v>
      </c>
    </row>
    <row r="2679">
      <c r="A2679" s="2" t="s">
        <v>905</v>
      </c>
      <c r="B2679" s="3" t="str">
        <f>IFERROR(__xludf.DUMMYFUNCTION("GOOGLETRANSLATE(A2679, ""ar"", ""bn"")"),"অভ মিটিং")</f>
        <v>অভ মিটিং</v>
      </c>
    </row>
    <row r="2680">
      <c r="A2680" s="2" t="s">
        <v>1968</v>
      </c>
      <c r="B2680" s="3" t="str">
        <f>IFERROR(__xludf.DUMMYFUNCTION("GOOGLETRANSLATE(A2680, ""ar"", ""bn"")"),"রাষ্ট্রপতি সভা")</f>
        <v>রাষ্ট্রপতি সভা</v>
      </c>
    </row>
    <row r="2681">
      <c r="A2681" s="2" t="s">
        <v>2215</v>
      </c>
      <c r="B2681" s="3" t="str">
        <f>IFERROR(__xludf.DUMMYFUNCTION("GOOGLETRANSLATE(A2681, ""ar"", ""bn"")"),"রাউন্ড টেবিল সভা")</f>
        <v>রাউন্ড টেবিল সভা</v>
      </c>
    </row>
    <row r="2682">
      <c r="A2682" s="2" t="s">
        <v>1071</v>
      </c>
      <c r="B2682" s="3" t="str">
        <f>IFERROR(__xludf.DUMMYFUNCTION("GOOGLETRANSLATE(A2682, ""ar"", ""bn"")"),"রক্ষনশীল সভা")</f>
        <v>রক্ষনশীল সভা</v>
      </c>
    </row>
    <row r="2683">
      <c r="A2683" s="2" t="s">
        <v>1941</v>
      </c>
      <c r="B2683" s="3" t="str">
        <f>IFERROR(__xludf.DUMMYFUNCTION("GOOGLETRANSLATE(A2683, ""ar"", ""bn"")"),"একটি প্রাথমিক বৈঠক")</f>
        <v>একটি প্রাথমিক বৈঠক</v>
      </c>
    </row>
    <row r="2684">
      <c r="A2684" s="2" t="s">
        <v>1434</v>
      </c>
      <c r="B2684" s="3" t="str">
        <f>IFERROR(__xludf.DUMMYFUNCTION("GOOGLETRANSLATE(A2684, ""ar"", ""bn"")"),"জনসভায়")</f>
        <v>জনসভায়</v>
      </c>
    </row>
    <row r="2685">
      <c r="A2685" s="2" t="s">
        <v>1663</v>
      </c>
      <c r="B2685" s="3" t="str">
        <f>IFERROR(__xludf.DUMMYFUNCTION("GOOGLETRANSLATE(A2685, ""ar"", ""bn"")"),"আনুষ্ঠানিক বৈঠক")</f>
        <v>আনুষ্ঠানিক বৈঠক</v>
      </c>
    </row>
    <row r="2686">
      <c r="A2686" s="2" t="s">
        <v>858</v>
      </c>
      <c r="B2686" s="3" t="str">
        <f>IFERROR(__xludf.DUMMYFUNCTION("GOOGLETRANSLATE(A2686, ""ar"", ""bn"")"),"জরুরী বৈঠক")</f>
        <v>জরুরী বৈঠক</v>
      </c>
    </row>
    <row r="2687">
      <c r="A2687" s="2" t="s">
        <v>1174</v>
      </c>
      <c r="B2687" s="3" t="str">
        <f>IFERROR(__xludf.DUMMYFUNCTION("GOOGLETRANSLATE(A2687, ""ar"", ""bn"")"),"অনানুষ্ঠানিক বৈঠক")</f>
        <v>অনানুষ্ঠানিক বৈঠক</v>
      </c>
    </row>
    <row r="2688">
      <c r="A2688" s="2" t="s">
        <v>2688</v>
      </c>
      <c r="B2688" s="3" t="str">
        <f>IFERROR(__xludf.DUMMYFUNCTION("GOOGLETRANSLATE(A2688, ""ar"", ""bn"")"),"বিশ্ব নেতাদের বৈঠক")</f>
        <v>বিশ্ব নেতাদের বৈঠক</v>
      </c>
    </row>
    <row r="2689">
      <c r="A2689" s="2" t="s">
        <v>1308</v>
      </c>
      <c r="B2689" s="3" t="str">
        <f>IFERROR(__xludf.DUMMYFUNCTION("GOOGLETRANSLATE(A2689, ""ar"", ""bn"")"),"যৌথ সভায়")</f>
        <v>যৌথ সভায়</v>
      </c>
    </row>
    <row r="2690">
      <c r="A2690" s="2" t="s">
        <v>453</v>
      </c>
      <c r="B2690" s="3" t="str">
        <f>IFERROR(__xludf.DUMMYFUNCTION("GOOGLETRANSLATE(A2690, ""ar"", ""bn"")"),"বদ্ধ সভায়")</f>
        <v>বদ্ধ সভায়</v>
      </c>
    </row>
    <row r="2691">
      <c r="A2691" s="2" t="s">
        <v>1683</v>
      </c>
      <c r="B2691" s="3" t="str">
        <f>IFERROR(__xludf.DUMMYFUNCTION("GOOGLETRANSLATE(A2691, ""ar"", ""bn"")"),"ওপেন সভা")</f>
        <v>ওপেন সভা</v>
      </c>
    </row>
    <row r="2692">
      <c r="A2692" s="2" t="s">
        <v>1290</v>
      </c>
      <c r="B2692" s="3" t="str">
        <f>IFERROR(__xludf.DUMMYFUNCTION("GOOGLETRANSLATE(A2692, ""ar"", ""bn"")"),"শহরগুলোর ইনভেশন")</f>
        <v>শহরগুলোর ইনভেশন</v>
      </c>
    </row>
    <row r="2693">
      <c r="A2693" s="2" t="s">
        <v>1936</v>
      </c>
      <c r="B2693" s="3" t="str">
        <f>IFERROR(__xludf.DUMMYFUNCTION("GOOGLETRANSLATE(A2693, ""ar"", ""bn"")"),"নির্বাচনের পদ্ধতি জন্য প্রস্তুতি")</f>
        <v>নির্বাচনের পদ্ধতি জন্য প্রস্তুতি</v>
      </c>
    </row>
    <row r="2694">
      <c r="A2694" s="2" t="s">
        <v>1204</v>
      </c>
      <c r="B2694" s="3" t="str">
        <f>IFERROR(__xludf.DUMMYFUNCTION("GOOGLETRANSLATE(A2694, ""ar"", ""bn"")"),"আন্তর্জাতিক সালিসি মামলা")</f>
        <v>আন্তর্জাতিক সালিসি মামলা</v>
      </c>
    </row>
    <row r="2695">
      <c r="A2695" s="2" t="s">
        <v>2251</v>
      </c>
      <c r="B2695" s="3" t="str">
        <f>IFERROR(__xludf.DUMMYFUNCTION("GOOGLETRANSLATE(A2695, ""ar"", ""bn"")"),"সুরক্ষা পদ্ধতিগুলি")</f>
        <v>সুরক্ষা পদ্ধতিগুলি</v>
      </c>
    </row>
    <row r="2696">
      <c r="A2696" s="2" t="s">
        <v>840</v>
      </c>
      <c r="B2696" s="3" t="str">
        <f>IFERROR(__xludf.DUMMYFUNCTION("GOOGLETRANSLATE(A2696, ""ar"", ""bn"")"),"নির্বাচনী পদ্ধতি")</f>
        <v>নির্বাচনী পদ্ধতি</v>
      </c>
    </row>
    <row r="2697">
      <c r="A2697" s="2" t="s">
        <v>554</v>
      </c>
      <c r="B2697" s="3" t="str">
        <f>IFERROR(__xludf.DUMMYFUNCTION("GOOGLETRANSLATE(A2697, ""ar"", ""bn"")"),"সাংবিধানিক পদ্ধতি")</f>
        <v>সাংবিধানিক পদ্ধতি</v>
      </c>
    </row>
    <row r="2698">
      <c r="A2698" s="2" t="s">
        <v>1206</v>
      </c>
      <c r="B2698" s="3" t="str">
        <f>IFERROR(__xludf.DUMMYFUNCTION("GOOGLETRANSLATE(A2698, ""ar"", ""bn"")"),"আন্তর্জাতিক কর্ম")</f>
        <v>আন্তর্জাতিক কর্ম</v>
      </c>
    </row>
    <row r="2699">
      <c r="A2699" s="2" t="s">
        <v>1342</v>
      </c>
      <c r="B2699" s="3" t="str">
        <f>IFERROR(__xludf.DUMMYFUNCTION("GOOGLETRANSLATE(A2699, ""ar"", ""bn"")"),"আইনানুগ ব্যবস্থা")</f>
        <v>আইনানুগ ব্যবস্থা</v>
      </c>
    </row>
    <row r="2700">
      <c r="A2700" s="2" t="s">
        <v>2513</v>
      </c>
      <c r="B2700" s="3" t="str">
        <f>IFERROR(__xludf.DUMMYFUNCTION("GOOGLETRANSLATE(A2700, ""ar"", ""bn"")"),"ঐক্য")</f>
        <v>ঐক্য</v>
      </c>
    </row>
    <row r="2701">
      <c r="A2701" s="2" t="s">
        <v>2514</v>
      </c>
      <c r="B2701" s="3" t="str">
        <f>IFERROR(__xludf.DUMMYFUNCTION("GOOGLETRANSLATE(A2701, ""ar"", ""bn"")"),"ঐক্য")</f>
        <v>ঐক্য</v>
      </c>
    </row>
    <row r="2702">
      <c r="A2702" s="2" t="s">
        <v>541</v>
      </c>
      <c r="B2702" s="3" t="str">
        <f>IFERROR(__xludf.DUMMYFUNCTION("GOOGLETRANSLATE(A2702, ""ar"", ""bn"")"),"ঐকমত্য ভোট")</f>
        <v>ঐকমত্য ভোট</v>
      </c>
    </row>
    <row r="2703">
      <c r="A2703" s="2" t="s">
        <v>1018</v>
      </c>
      <c r="B2703" s="3" t="str">
        <f>IFERROR(__xludf.DUMMYFUNCTION("GOOGLETRANSLATE(A2703, ""ar"", ""bn"")"),"আনুষ্ঠানিক কূটনৈতিক প্রতিবাদ")</f>
        <v>আনুষ্ঠানিক কূটনৈতিক প্রতিবাদ</v>
      </c>
    </row>
    <row r="2704">
      <c r="A2704" s="2" t="s">
        <v>1020</v>
      </c>
      <c r="B2704" s="3" t="str">
        <f>IFERROR(__xludf.DUMMYFUNCTION("GOOGLETRANSLATE(A2704, ""ar"", ""bn"")"),"আনুষ্ঠানিক প্রতিবাদ")</f>
        <v>আনুষ্ঠানিক প্রতিবাদ</v>
      </c>
    </row>
    <row r="2705">
      <c r="A2705" s="2" t="s">
        <v>1915</v>
      </c>
      <c r="B2705" s="3" t="str">
        <f>IFERROR(__xludf.DUMMYFUNCTION("GOOGLETRANSLATE(A2705, ""ar"", ""bn"")"),"চিৎকার শুরু")</f>
        <v>চিৎকার শুরু</v>
      </c>
    </row>
    <row r="2706">
      <c r="A2706" s="2" t="s">
        <v>608</v>
      </c>
      <c r="B2706" s="3" t="str">
        <f>IFERROR(__xludf.DUMMYFUNCTION("GOOGLETRANSLATE(A2706, ""ar"", ""bn"")"),"এন্টি-পাল্টা প্রতিবাদ")</f>
        <v>এন্টি-পাল্টা প্রতিবাদ</v>
      </c>
    </row>
    <row r="2707">
      <c r="A2707" s="2" t="s">
        <v>1554</v>
      </c>
      <c r="B2707" s="3" t="str">
        <f>IFERROR(__xludf.DUMMYFUNCTION("GOOGLETRANSLATE(A2707, ""ar"", ""bn"")"),"দেশের মধ্যে পারস্পরিক শ্রদ্ধা")</f>
        <v>দেশের মধ্যে পারস্পরিক শ্রদ্ধা</v>
      </c>
    </row>
    <row r="2708">
      <c r="A2708" s="2" t="s">
        <v>1163</v>
      </c>
      <c r="B2708" s="3" t="str">
        <f>IFERROR(__xludf.DUMMYFUNCTION("GOOGLETRANSLATE(A2708, ""ar"", ""bn"")"),"উদ্বোধনী অনুষ্ঠানে")</f>
        <v>উদ্বোধনী অনুষ্ঠানে</v>
      </c>
    </row>
    <row r="2709">
      <c r="A2709" s="2" t="s">
        <v>402</v>
      </c>
      <c r="B2709" s="3" t="str">
        <f>IFERROR(__xludf.DUMMYFUNCTION("GOOGLETRANSLATE(A2709, ""ar"", ""bn"")"),"এক কর্মকর্তা অনুষ্ঠান")</f>
        <v>এক কর্মকর্তা অনুষ্ঠান</v>
      </c>
    </row>
    <row r="2710">
      <c r="A2710" s="2" t="s">
        <v>478</v>
      </c>
      <c r="B2710" s="3" t="str">
        <f>IFERROR(__xludf.DUMMYFUNCTION("GOOGLETRANSLATE(A2710, ""ar"", ""bn"")"),"স্মৃতিরক্ষা The একটি অনুষ্ঠান")</f>
        <v>স্মৃতিরক্ষা The একটি অনুষ্ঠান</v>
      </c>
    </row>
    <row r="2711">
      <c r="A2711" s="2" t="s">
        <v>1534</v>
      </c>
      <c r="B2711" s="3" t="str">
        <f>IFERROR(__xludf.DUMMYFUNCTION("GOOGLETRANSLATE(A2711, ""ar"", ""bn"")"),"একাধিকার")</f>
        <v>একাধিকার</v>
      </c>
    </row>
    <row r="2712">
      <c r="A2712" s="2" t="s">
        <v>1537</v>
      </c>
      <c r="B2712" s="3" t="str">
        <f>IFERROR(__xludf.DUMMYFUNCTION("GOOGLETRANSLATE(A2712, ""ar"", ""bn"")"),"মনোপলি কর্তৃপক্ষ")</f>
        <v>মনোপলি কর্তৃপক্ষ</v>
      </c>
    </row>
    <row r="2713">
      <c r="A2713" s="2" t="s">
        <v>1536</v>
      </c>
      <c r="B2713" s="3" t="str">
        <f>IFERROR(__xludf.DUMMYFUNCTION("GOOGLETRANSLATE(A2713, ""ar"", ""bn"")"),"রাজনৈতিক কার্যক্রম মনোপলি")</f>
        <v>রাজনৈতিক কার্যক্রম মনোপলি</v>
      </c>
    </row>
    <row r="2714">
      <c r="A2714" s="2" t="s">
        <v>1535</v>
      </c>
      <c r="B2714" s="3" t="str">
        <f>IFERROR(__xludf.DUMMYFUNCTION("GOOGLETRANSLATE(A2714, ""ar"", ""bn"")"),"মিডিয়ার মনোপলি")</f>
        <v>মিডিয়ার মনোপলি</v>
      </c>
    </row>
    <row r="2715">
      <c r="A2715" s="2" t="s">
        <v>472</v>
      </c>
      <c r="B2715" s="3" t="str">
        <f>IFERROR(__xludf.DUMMYFUNCTION("GOOGLETRANSLATE(A2715, ""ar"", ""bn"")"),"পেশা")</f>
        <v>পেশা</v>
      </c>
    </row>
    <row r="2716">
      <c r="A2716" s="2" t="s">
        <v>1460</v>
      </c>
      <c r="B2716" s="3" t="str">
        <f>IFERROR(__xludf.DUMMYFUNCTION("GOOGLETRANSLATE(A2716, ""ar"", ""bn"")"),"সেনাবাহিনী দখল")</f>
        <v>সেনাবাহিনী দখল</v>
      </c>
    </row>
    <row r="2717">
      <c r="A2717" s="2" t="s">
        <v>1571</v>
      </c>
      <c r="B2717" s="3" t="str">
        <f>IFERROR(__xludf.DUMMYFUNCTION("GOOGLETRANSLATE(A2717, ""ar"", ""bn"")"),"জাতীয় চাহিদা")</f>
        <v>জাতীয় চাহিদা</v>
      </c>
    </row>
    <row r="2718">
      <c r="A2718" s="2" t="s">
        <v>2220</v>
      </c>
      <c r="B2718" s="3" t="str">
        <f>IFERROR(__xludf.DUMMYFUNCTION("GOOGLETRANSLATE(A2718, ""ar"", ""bn"")"),"চলমান রাজনৈতিক ঘটনা")</f>
        <v>চলমান রাজনৈতিক ঘটনা</v>
      </c>
    </row>
    <row r="2719">
      <c r="A2719" s="2" t="s">
        <v>353</v>
      </c>
      <c r="B2719" s="3" t="str">
        <f>IFERROR(__xludf.DUMMYFUNCTION("GOOGLETRANSLATE(A2719, ""ar"", ""bn"")"),"রক্তাক্ত রাজনৈতিক ঘটনা")</f>
        <v>রক্তাক্ত রাজনৈতিক ঘটনা</v>
      </c>
    </row>
    <row r="2720">
      <c r="A2720" s="2" t="s">
        <v>2542</v>
      </c>
      <c r="B2720" s="3" t="str">
        <f>IFERROR(__xludf.DUMMYFUNCTION("GOOGLETRANSLATE(A2720, ""ar"", ""bn"")"),"রাজনৈতিক ঘটনা অপ্রত্যাশিত")</f>
        <v>রাজনৈতিক ঘটনা অপ্রত্যাশিত</v>
      </c>
    </row>
    <row r="2721">
      <c r="A2721" s="2" t="s">
        <v>2488</v>
      </c>
      <c r="B2721" s="3" t="str">
        <f>IFERROR(__xludf.DUMMYFUNCTION("GOOGLETRANSLATE(A2721, ""ar"", ""bn"")"),"দুঃখজনক রাজনৈতিক ঘটনা")</f>
        <v>দুঃখজনক রাজনৈতিক ঘটনা</v>
      </c>
    </row>
    <row r="2722">
      <c r="A2722" s="2" t="s">
        <v>1449</v>
      </c>
      <c r="B2722" s="3" t="str">
        <f>IFERROR(__xludf.DUMMYFUNCTION("GOOGLETRANSLATE(A2722, ""ar"", ""bn"")"),"উল্লেখযোগ্য রাজনৈতিক ঘটনা")</f>
        <v>উল্লেখযোগ্য রাজনৈতিক ঘটনা</v>
      </c>
    </row>
    <row r="2723">
      <c r="A2723" s="2" t="s">
        <v>1339</v>
      </c>
      <c r="B2723" s="3" t="str">
        <f>IFERROR(__xludf.DUMMYFUNCTION("GOOGLETRANSLATE(A2723, ""ar"", ""bn"")"),"বাম দলগুলোর")</f>
        <v>বাম দলগুলোর</v>
      </c>
    </row>
    <row r="2724">
      <c r="A2724" s="2" t="s">
        <v>2205</v>
      </c>
      <c r="B2724" s="3" t="str">
        <f>IFERROR(__xludf.DUMMYFUNCTION("GOOGLETRANSLATE(A2724, ""ar"", ""bn"")"),"ডানপন্থী দলগুলোর")</f>
        <v>ডানপন্থী দলগুলোর</v>
      </c>
    </row>
    <row r="2725">
      <c r="A2725" s="2" t="s">
        <v>1867</v>
      </c>
      <c r="B2725" s="3" t="str">
        <f>IFERROR(__xludf.DUMMYFUNCTION("GOOGLETRANSLATE(A2725, ""ar"", ""bn"")"),"রাজনৈতিক দলগুলো")</f>
        <v>রাজনৈতিক দলগুলো</v>
      </c>
    </row>
    <row r="2726">
      <c r="A2726" s="2" t="s">
        <v>545</v>
      </c>
      <c r="B2726" s="3" t="str">
        <f>IFERROR(__xludf.DUMMYFUNCTION("GOOGLETRANSLATE(A2726, ""ar"", ""bn"")"),"রক্ষনশীল দলগুলোর")</f>
        <v>রক্ষনশীল দলগুলোর</v>
      </c>
    </row>
    <row r="2727">
      <c r="A2727" s="2" t="s">
        <v>1695</v>
      </c>
      <c r="B2727" s="3" t="str">
        <f>IFERROR(__xludf.DUMMYFUNCTION("GOOGLETRANSLATE(A2727, ""ar"", ""bn"")"),"অত্যাচারিত দলগুলোর")</f>
        <v>অত্যাচারিত দলগুলোর</v>
      </c>
    </row>
    <row r="2728">
      <c r="A2728" s="2" t="s">
        <v>2329</v>
      </c>
      <c r="B2728" s="3" t="str">
        <f>IFERROR(__xludf.DUMMYFUNCTION("GOOGLETRANSLATE(A2728, ""ar"", ""bn"")"),"সেনাশাসন")</f>
        <v>সেনাশাসন</v>
      </c>
    </row>
    <row r="2729">
      <c r="A2729" s="2" t="s">
        <v>2163</v>
      </c>
      <c r="B2729" s="3" t="str">
        <f>IFERROR(__xludf.DUMMYFUNCTION("GOOGLETRANSLATE(A2729, ""ar"", ""bn"")"),"শান্তি আলোচনা পুনরুজ্জীবিত")</f>
        <v>শান্তি আলোচনা পুনরুজ্জীবিত</v>
      </c>
    </row>
    <row r="2730">
      <c r="A2730" s="2" t="s">
        <v>2713</v>
      </c>
      <c r="B2730" s="3" t="str">
        <f>IFERROR(__xludf.DUMMYFUNCTION("GOOGLETRANSLATE(A2730, ""ar"", ""bn"")"),"কূটনৈতিক আলোচনা শেষে")</f>
        <v>কূটনৈতিক আলোচনা শেষে</v>
      </c>
    </row>
    <row r="2731">
      <c r="A2731" s="2" t="s">
        <v>1811</v>
      </c>
      <c r="B2731" s="3" t="str">
        <f>IFERROR(__xludf.DUMMYFUNCTION("GOOGLETRANSLATE(A2731, ""ar"", ""bn"")"),"রাজনৈতিক অধিক্ষেত্র")</f>
        <v>রাজনৈতিক অধিক্ষেত্র</v>
      </c>
    </row>
    <row r="2732">
      <c r="A2732" s="2" t="s">
        <v>1320</v>
      </c>
      <c r="B2732" s="3" t="str">
        <f>IFERROR(__xludf.DUMMYFUNCTION("GOOGLETRANSLATE(A2732, ""ar"", ""bn"")"),"অপহরণ")</f>
        <v>অপহরণ</v>
      </c>
    </row>
    <row r="2733">
      <c r="A2733" s="2" t="s">
        <v>810</v>
      </c>
      <c r="B2733" s="3" t="str">
        <f>IFERROR(__xludf.DUMMYFUNCTION("GOOGLETRANSLATE(A2733, ""ar"", ""bn"")"),"ভিন্ন রাজনৈতিক মতামত")</f>
        <v>ভিন্ন রাজনৈতিক মতামত</v>
      </c>
    </row>
    <row r="2734">
      <c r="A2734" s="2" t="s">
        <v>373</v>
      </c>
      <c r="B2734" s="3" t="str">
        <f>IFERROR(__xludf.DUMMYFUNCTION("GOOGLETRANSLATE(A2734, ""ar"", ""bn"")"),"সর্বশেষ রাজনৈতিক সংবাদ")</f>
        <v>সর্বশেষ রাজনৈতিক সংবাদ</v>
      </c>
    </row>
    <row r="2735">
      <c r="A2735" s="2" t="s">
        <v>633</v>
      </c>
      <c r="B2735" s="3" t="str">
        <f>IFERROR(__xludf.DUMMYFUNCTION("GOOGLETRANSLATE(A2735, ""ar"", ""bn"")"),"সৈন্য প্রত্যাহারের শেষ তারিখ")</f>
        <v>সৈন্য প্রত্যাহারের শেষ তারিখ</v>
      </c>
    </row>
    <row r="2736">
      <c r="A2736" s="2" t="s">
        <v>984</v>
      </c>
      <c r="B2736" s="3" t="str">
        <f>IFERROR(__xludf.DUMMYFUNCTION("GOOGLETRANSLATE(A2736, ""ar"", ""bn"")"),"শেষ অবলম্বন বিজ্ঞপ্তি")</f>
        <v>শেষ অবলম্বন বিজ্ঞপ্তি</v>
      </c>
    </row>
    <row r="2737">
      <c r="A2737" s="2" t="s">
        <v>371</v>
      </c>
      <c r="B2737" s="3" t="str">
        <f>IFERROR(__xludf.DUMMYFUNCTION("GOOGLETRANSLATE(A2737, ""ar"", ""bn"")"),"দাঙ্গা")</f>
        <v>দাঙ্গা</v>
      </c>
    </row>
    <row r="2738">
      <c r="A2738" s="2" t="s">
        <v>743</v>
      </c>
      <c r="B2738" s="3" t="str">
        <f>IFERROR(__xludf.DUMMYFUNCTION("GOOGLETRANSLATE(A2738, ""ar"", ""bn"")"),"কূটনৈতিক শিষ্টাচার")</f>
        <v>কূটনৈতিক শিষ্টাচার</v>
      </c>
    </row>
    <row r="2739">
      <c r="A2739" s="2" t="s">
        <v>1185</v>
      </c>
      <c r="B2739" s="3" t="str">
        <f>IFERROR(__xludf.DUMMYFUNCTION("GOOGLETRANSLATE(A2739, ""ar"", ""bn"")"),"গোয়েন্দা বিভাগের")</f>
        <v>গোয়েন্দা বিভাগের</v>
      </c>
    </row>
    <row r="2740">
      <c r="A2740" s="2" t="s">
        <v>1219</v>
      </c>
      <c r="B2740" s="3" t="str">
        <f>IFERROR(__xludf.DUMMYFUNCTION("GOOGLETRANSLATE(A2740, ""ar"", ""bn"")"),"আন্তর্জাতিক নিন্দা")</f>
        <v>আন্তর্জাতিক নিন্দা</v>
      </c>
    </row>
    <row r="2741">
      <c r="A2741" s="2" t="s">
        <v>995</v>
      </c>
      <c r="B2741" s="3" t="str">
        <f>IFERROR(__xludf.DUMMYFUNCTION("GOOGLETRANSLATE(A2741, ""ar"", ""bn"")"),"পররাষ্ট্র সম্প্রচার")</f>
        <v>পররাষ্ট্র সম্প্রচার</v>
      </c>
    </row>
    <row r="2742">
      <c r="A2742" s="2" t="s">
        <v>1690</v>
      </c>
      <c r="B2742" s="3" t="str">
        <f>IFERROR(__xludf.DUMMYFUNCTION("GOOGLETRANSLATE(A2742, ""ar"", ""bn"")"),"বিরোধী দলীয় রেডিও")</f>
        <v>বিরোধী দলীয় রেডিও</v>
      </c>
    </row>
    <row r="2743">
      <c r="A2743" s="2" t="s">
        <v>2714</v>
      </c>
      <c r="B2743" s="3" t="str">
        <f>IFERROR(__xludf.DUMMYFUNCTION("GOOGLETRANSLATE(A2743, ""ar"", ""bn"")"),"রেডিও উপগ্রহ দ্বারা")</f>
        <v>রেডিও উপগ্রহ দ্বারা</v>
      </c>
    </row>
    <row r="2744">
      <c r="A2744" s="2" t="s">
        <v>1761</v>
      </c>
      <c r="B2744" s="3" t="str">
        <f>IFERROR(__xludf.DUMMYFUNCTION("GOOGLETRANSLATE(A2744, ""ar"", ""bn"")"),"মানুষের ইচ্ছার")</f>
        <v>মানুষের ইচ্ছার</v>
      </c>
    </row>
    <row r="2745">
      <c r="A2745" s="2" t="s">
        <v>2459</v>
      </c>
      <c r="B2745" s="3" t="str">
        <f>IFERROR(__xludf.DUMMYFUNCTION("GOOGLETRANSLATE(A2745, ""ar"", ""bn"")"),"জনাদেশ অধীনে অঞ্চল")</f>
        <v>জনাদেশ অধীনে অঞ্চল</v>
      </c>
    </row>
    <row r="2746">
      <c r="A2746" s="2" t="s">
        <v>793</v>
      </c>
      <c r="B2746" s="3" t="str">
        <f>IFERROR(__xludf.DUMMYFUNCTION("GOOGLETRANSLATE(A2746, ""ar"", ""bn"")"),"প্রতিদ্বন্দ্বিতা জমি")</f>
        <v>প্রতিদ্বন্দ্বিতা জমি</v>
      </c>
    </row>
    <row r="2747">
      <c r="A2747" s="2" t="s">
        <v>1650</v>
      </c>
      <c r="B2747" s="3" t="str">
        <f>IFERROR(__xludf.DUMMYFUNCTION("GOOGLETRANSLATE(A2747, ""ar"", ""bn"")"),"দখলকৃত অঞ্চল")</f>
        <v>দখলকৃত অঞ্চল</v>
      </c>
    </row>
    <row r="2748">
      <c r="A2748" s="2" t="s">
        <v>1322</v>
      </c>
      <c r="B2748" s="3" t="str">
        <f>IFERROR(__xludf.DUMMYFUNCTION("GOOGLETRANSLATE(A2748, ""ar"", ""bn"")"),"শান্তির জন্য ভূমি")</f>
        <v>শান্তির জন্য ভূমি</v>
      </c>
    </row>
    <row r="2749">
      <c r="A2749" s="2" t="s">
        <v>2462</v>
      </c>
      <c r="B2749" s="3" t="str">
        <f>IFERROR(__xludf.DUMMYFUNCTION("GOOGLETRANSLATE(A2749, ""ar"", ""bn"")"),"সন্ত্রাসবাদ")</f>
        <v>সন্ত্রাসবাদ</v>
      </c>
    </row>
    <row r="2750">
      <c r="A2750" s="2" t="s">
        <v>2463</v>
      </c>
      <c r="B2750" s="3" t="str">
        <f>IFERROR(__xludf.DUMMYFUNCTION("GOOGLETRANSLATE(A2750, ""ar"", ""bn"")"),"সন্ত্রাসবাদী")</f>
        <v>সন্ত্রাসবাদী</v>
      </c>
    </row>
    <row r="2751">
      <c r="A2751" s="2" t="s">
        <v>849</v>
      </c>
      <c r="B2751" s="3" t="str">
        <f>IFERROR(__xludf.DUMMYFUNCTION("GOOGLETRANSLATE(A2751, ""ar"", ""bn"")"),"রাজনৈতিক অবমুক্ত সরান")</f>
        <v>রাজনৈতিক অবমুক্ত সরান</v>
      </c>
    </row>
    <row r="2752">
      <c r="A2752" s="2" t="s">
        <v>2347</v>
      </c>
      <c r="B2752" s="3" t="str">
        <f>IFERROR(__xludf.DUMMYFUNCTION("GOOGLETRANSLATE(A2752, ""ar"", ""bn"")"),"জাতির সমৃদ্ধি")</f>
        <v>জাতির সমৃদ্ধি</v>
      </c>
    </row>
    <row r="2753">
      <c r="A2753" s="2" t="s">
        <v>825</v>
      </c>
      <c r="B2753" s="3" t="str">
        <f>IFERROR(__xludf.DUMMYFUNCTION("GOOGLETRANSLATE(A2753, ""ar"", ""bn"")"),"আন্তর্জাতিক চুক্তির অনুলিপি")</f>
        <v>আন্তর্জাতিক চুক্তির অনুলিপি</v>
      </c>
    </row>
    <row r="2754">
      <c r="A2754" s="2" t="s">
        <v>341</v>
      </c>
      <c r="B2754" s="3" t="str">
        <f>IFERROR(__xludf.DUMMYFUNCTION("GOOGLETRANSLATE(A2754, ""ar"", ""bn"")"),"যৌন দ্বৈত")</f>
        <v>যৌন দ্বৈত</v>
      </c>
    </row>
    <row r="2755">
      <c r="A2755" s="2" t="s">
        <v>1454</v>
      </c>
      <c r="B2755" s="3" t="str">
        <f>IFERROR(__xludf.DUMMYFUNCTION("GOOGLETRANSLATE(A2755, ""ar"", ""bn"")"),"মধ্যপ্রাচ্যের সঙ্কট")</f>
        <v>মধ্যপ্রাচ্যের সঙ্কট</v>
      </c>
    </row>
    <row r="2756">
      <c r="A2756" s="2" t="s">
        <v>732</v>
      </c>
      <c r="B2756" s="3" t="str">
        <f>IFERROR(__xludf.DUMMYFUNCTION("GOOGLETRANSLATE(A2756, ""ar"", ""bn"")"),"কূটনৈতিক সঙ্কট")</f>
        <v>কূটনৈতিক সঙ্কট</v>
      </c>
    </row>
    <row r="2757">
      <c r="A2757" s="2" t="s">
        <v>1484</v>
      </c>
      <c r="B2757" s="3" t="str">
        <f>IFERROR(__xludf.DUMMYFUNCTION("GOOGLETRANSLATE(A2757, ""ar"", ""bn"")"),"মিনিস্টিরিয়াল সঙ্কট")</f>
        <v>মিনিস্টিরিয়াল সঙ্কট</v>
      </c>
    </row>
    <row r="2758">
      <c r="A2758" s="2" t="s">
        <v>762</v>
      </c>
      <c r="B2758" s="3" t="str">
        <f>IFERROR(__xludf.DUMMYFUNCTION("GOOGLETRANSLATE(A2758, ""ar"", ""bn"")"),"কূটনৈতিক অপব্যবহার")</f>
        <v>কূটনৈতিক অপব্যবহার</v>
      </c>
    </row>
    <row r="2759">
      <c r="A2759" s="2" t="s">
        <v>1863</v>
      </c>
      <c r="B2759" s="3" t="str">
        <f>IFERROR(__xludf.DUMMYFUNCTION("GOOGLETRANSLATE(A2759, ""ar"", ""bn"")"),"রাজনৈতিক নির্যাতনের")</f>
        <v>রাজনৈতিক নির্যাতনের</v>
      </c>
    </row>
    <row r="2760">
      <c r="A2760" s="2" t="s">
        <v>152</v>
      </c>
      <c r="B2760" s="3" t="str">
        <f>IFERROR(__xludf.DUMMYFUNCTION("GOOGLETRANSLATE(A2760, ""ar"", ""bn"")"),"ক্ষমতার অপব্যবহার")</f>
        <v>ক্ষমতার অপব্যবহার</v>
      </c>
    </row>
    <row r="2761">
      <c r="A2761" s="2" t="s">
        <v>154</v>
      </c>
      <c r="B2761" s="3" t="str">
        <f>IFERROR(__xludf.DUMMYFUNCTION("GOOGLETRANSLATE(A2761, ""ar"", ""bn"")"),"ক্ষমতার অপব্যবহার")</f>
        <v>ক্ষমতার অপব্যবহার</v>
      </c>
    </row>
    <row r="2762">
      <c r="A2762" s="2" t="s">
        <v>2461</v>
      </c>
      <c r="B2762" s="3" t="str">
        <f>IFERROR(__xludf.DUMMYFUNCTION("GOOGLETRANSLATE(A2762, ""ar"", ""bn"")"),"সন্ত্রাসবাদ পদ্ধতি")</f>
        <v>সন্ত্রাসবাদ পদ্ধতি</v>
      </c>
    </row>
    <row r="2763">
      <c r="A2763" s="2" t="s">
        <v>1452</v>
      </c>
      <c r="B2763" s="3" t="str">
        <f>IFERROR(__xludf.DUMMYFUNCTION("GOOGLETRANSLATE(A2763, ""ar"", ""bn"")"),"বন্দীদের নির্যাতনের পদ্ধতি")</f>
        <v>বন্দীদের নির্যাতনের পদ্ধতি</v>
      </c>
    </row>
    <row r="2764">
      <c r="A2764" s="2" t="s">
        <v>1221</v>
      </c>
      <c r="B2764" s="3" t="str">
        <f>IFERROR(__xludf.DUMMYFUNCTION("GOOGLETRANSLATE(A2764, ""ar"", ""bn"")"),"আন্তর্জাতিক দ্বন্দ্ব কারণগুলো")</f>
        <v>আন্তর্জাতিক দ্বন্দ্ব কারণগুলো</v>
      </c>
    </row>
    <row r="2765">
      <c r="A2765" s="2" t="s">
        <v>1812</v>
      </c>
      <c r="B2765" s="3" t="str">
        <f>IFERROR(__xludf.DUMMYFUNCTION("GOOGLETRANSLATE(A2765, ""ar"", ""bn"")"),"রাজনৈতিক দ্বন্দ্ব কারণগুলো")</f>
        <v>রাজনৈতিক দ্বন্দ্ব কারণগুলো</v>
      </c>
    </row>
    <row r="2766">
      <c r="A2766" s="2" t="s">
        <v>2715</v>
      </c>
      <c r="B2766" s="3" t="str">
        <f>IFERROR(__xludf.DUMMYFUNCTION("GOOGLETRANSLATE(A2766, ""ar"", ""bn"")"),"Astb")</f>
        <v>Astb</v>
      </c>
    </row>
    <row r="2767">
      <c r="A2767" s="2" t="s">
        <v>2510</v>
      </c>
      <c r="B2767" s="3" t="str">
        <f>IFERROR(__xludf.DUMMYFUNCTION("GOOGLETRANSLATE(A2767, ""ar"", ""bn"")"),"স্বৈরশাসন")</f>
        <v>স্বৈরশাসন</v>
      </c>
    </row>
    <row r="2768">
      <c r="A2768" s="2" t="s">
        <v>1826</v>
      </c>
      <c r="B2768" s="3" t="str">
        <f>IFERROR(__xludf.DUMMYFUNCTION("GOOGLETRANSLATE(A2768, ""ar"", ""bn"")"),"রাজনৈতিক স্বৈরশাসন")</f>
        <v>রাজনৈতিক স্বৈরশাসন</v>
      </c>
    </row>
    <row r="2769">
      <c r="A2769" s="2" t="s">
        <v>1284</v>
      </c>
      <c r="B2769" s="3" t="str">
        <f>IFERROR(__xludf.DUMMYFUNCTION("GOOGLETRANSLATE(A2769, ""ar"", ""bn"")"),"মন্ত্রীদের বা ডেপুটি নিয়ে প্রশ্ন")</f>
        <v>মন্ত্রীদের বা ডেপুটি নিয়ে প্রশ্ন</v>
      </c>
    </row>
    <row r="2770">
      <c r="A2770" s="2" t="s">
        <v>1451</v>
      </c>
      <c r="B2770" s="3" t="str">
        <f>IFERROR(__xludf.DUMMYFUNCTION("GOOGLETRANSLATE(A2770, ""ar"", ""bn"")"),"অবস্থান এনটাইটেলমেন্ট")</f>
        <v>অবস্থান এনটাইটেলমেন্ট</v>
      </c>
    </row>
    <row r="2771">
      <c r="A2771" s="2" t="s">
        <v>2580</v>
      </c>
      <c r="B2771" s="3" t="str">
        <f>IFERROR(__xludf.DUMMYFUNCTION("GOOGLETRANSLATE(A2771, ""ar"", ""bn"")"),"জোরাজুরি")</f>
        <v>জোরাজুরি</v>
      </c>
    </row>
    <row r="2772">
      <c r="A2772" s="2" t="s">
        <v>2716</v>
      </c>
      <c r="B2772" s="3" t="str">
        <f>IFERROR(__xludf.DUMMYFUNCTION("GOOGLETRANSLATE(A2772, ""ar"", ""bn"")"),"পারমাণবিক শক্তির শান্তিপূর্ণ ব্যবহারের")</f>
        <v>পারমাণবিক শক্তির শান্তিপূর্ণ ব্যবহারের</v>
      </c>
    </row>
    <row r="2773">
      <c r="A2773" s="2" t="s">
        <v>2717</v>
      </c>
      <c r="B2773" s="3" t="str">
        <f>IFERROR(__xludf.DUMMYFUNCTION("GOOGLETRANSLATE(A2773, ""ar"", ""bn"")"),"পরমাণু শক্তির শান্তিপূর্ণ ব্যবহারের")</f>
        <v>পরমাণু শক্তির শান্তিপূর্ণ ব্যবহারের</v>
      </c>
    </row>
    <row r="2774">
      <c r="A2774" s="2" t="s">
        <v>2367</v>
      </c>
      <c r="B2774" s="3" t="str">
        <f>IFERROR(__xludf.DUMMYFUNCTION("GOOGLETRANSLATE(A2774, ""ar"", ""bn"")"),"কৌশল")</f>
        <v>কৌশল</v>
      </c>
    </row>
    <row r="2775">
      <c r="A2775" s="2" t="s">
        <v>655</v>
      </c>
      <c r="B2775" s="3" t="str">
        <f>IFERROR(__xludf.DUMMYFUNCTION("GOOGLETRANSLATE(A2775, ""ar"", ""bn"")"),"প্রতিরক্ষা কৌশল")</f>
        <v>প্রতিরক্ষা কৌশল</v>
      </c>
    </row>
    <row r="2776">
      <c r="A2776" s="2" t="s">
        <v>2332</v>
      </c>
      <c r="B2776" s="3" t="str">
        <f>IFERROR(__xludf.DUMMYFUNCTION("GOOGLETRANSLATE(A2776, ""ar"", ""bn"")"),"রাজ্য কৌশল")</f>
        <v>রাজ্য কৌশল</v>
      </c>
    </row>
    <row r="2777">
      <c r="A2777" s="2" t="s">
        <v>1745</v>
      </c>
      <c r="B2777" s="3" t="str">
        <f>IFERROR(__xludf.DUMMYFUNCTION("GOOGLETRANSLATE(A2777, ""ar"", ""bn"")"),"শান্তি কৌশল")</f>
        <v>শান্তি কৌশল</v>
      </c>
    </row>
    <row r="2778">
      <c r="A2778" s="2" t="s">
        <v>1605</v>
      </c>
      <c r="B2778" s="3" t="str">
        <f>IFERROR(__xludf.DUMMYFUNCTION("GOOGLETRANSLATE(A2778, ""ar"", ""bn"")"),"সমঝোতা কৌশল")</f>
        <v>সমঝোতা কৌশল</v>
      </c>
    </row>
    <row r="2779">
      <c r="A2779" s="2" t="s">
        <v>729</v>
      </c>
      <c r="B2779" s="3" t="str">
        <f>IFERROR(__xludf.DUMMYFUNCTION("GOOGLETRANSLATE(A2779, ""ar"", ""bn"")"),"কূটনৈতিক পরামর্শকারী")</f>
        <v>কূটনৈতিক পরামর্শকারী</v>
      </c>
    </row>
    <row r="2780">
      <c r="A2780" s="2" t="s">
        <v>1430</v>
      </c>
      <c r="B2780" s="3" t="str">
        <f>IFERROR(__xludf.DUMMYFUNCTION("GOOGLETRANSLATE(A2780, ""ar"", ""bn"")"),"শহীদের যন্ত্রণা")</f>
        <v>শহীদের যন্ত্রণা</v>
      </c>
    </row>
    <row r="2781">
      <c r="A2781" s="2" t="s">
        <v>1912</v>
      </c>
      <c r="B2781" s="3" t="str">
        <f>IFERROR(__xludf.DUMMYFUNCTION("GOOGLETRANSLATE(A2781, ""ar"", ""bn"")"),"মতামত জরিপে")</f>
        <v>মতামত জরিপে</v>
      </c>
    </row>
    <row r="2782">
      <c r="A2782" s="2" t="s">
        <v>2162</v>
      </c>
      <c r="B2782" s="3" t="str">
        <f>IFERROR(__xludf.DUMMYFUNCTION("GOOGLETRANSLATE(A2782, ""ar"", ""bn"")"),"পুনরুদ্ধার করুন স্বাধীনতা")</f>
        <v>পুনরুদ্ধার করুন স্বাধীনতা</v>
      </c>
    </row>
    <row r="2783">
      <c r="A2783" s="2" t="s">
        <v>2081</v>
      </c>
      <c r="B2783" s="3" t="str">
        <f>IFERROR(__xludf.DUMMYFUNCTION("GOOGLETRANSLATE(A2783, ""ar"", ""bn"")"),"পুনর্মিলন জন্য প্রস্তুত")</f>
        <v>পুনর্মিলন জন্য প্রস্তুত</v>
      </c>
    </row>
    <row r="2784">
      <c r="A2784" s="2" t="s">
        <v>792</v>
      </c>
      <c r="B2784" s="3" t="str">
        <f>IFERROR(__xludf.DUMMYFUNCTION("GOOGLETRANSLATE(A2784, ""ar"", ""bn"")"),"রাজনৈতিক পুনর্মিলন জন্য প্রস্তুত")</f>
        <v>রাজনৈতিক পুনর্মিলন জন্য প্রস্তুত</v>
      </c>
    </row>
    <row r="2785">
      <c r="A2785" s="2" t="s">
        <v>791</v>
      </c>
      <c r="B2785" s="3" t="str">
        <f>IFERROR(__xludf.DUMMYFUNCTION("GOOGLETRANSLATE(A2785, ""ar"", ""bn"")"),"জাতীয় পুনর্মিলন জন্য প্রস্তুত")</f>
        <v>জাতীয় পুনর্মিলন জন্য প্রস্তুত</v>
      </c>
    </row>
    <row r="2786">
      <c r="A2786" s="2" t="s">
        <v>1458</v>
      </c>
      <c r="B2786" s="3" t="str">
        <f>IFERROR(__xludf.DUMMYFUNCTION("GOOGLETRANSLATE(A2786, ""ar"", ""bn"")"),"ফোর্সেস সামরিক তথ্য পর্যালোচনা")</f>
        <v>ফোর্সেস সামরিক তথ্য পর্যালোচনা</v>
      </c>
    </row>
    <row r="2787">
      <c r="A2787" s="2" t="s">
        <v>1147</v>
      </c>
      <c r="B2787" s="3" t="str">
        <f>IFERROR(__xludf.DUMMYFUNCTION("GOOGLETRANSLATE(A2787, ""ar"", ""bn"")"),"ঔপনিবেশিক সুলভ আচরণ")</f>
        <v>ঔপনিবেশিক সুলভ আচরণ</v>
      </c>
    </row>
    <row r="2788">
      <c r="A2788" s="2" t="s">
        <v>153</v>
      </c>
      <c r="B2788" s="3" t="str">
        <f>IFERROR(__xludf.DUMMYFUNCTION("GOOGLETRANSLATE(A2788, ""ar"", ""bn"")"),"রাজনৈতিক প্রভাব শোষণ")</f>
        <v>রাজনৈতিক প্রভাব শোষণ</v>
      </c>
    </row>
    <row r="2789">
      <c r="A2789" s="2" t="s">
        <v>2093</v>
      </c>
      <c r="B2789" s="3" t="str">
        <f>IFERROR(__xludf.DUMMYFUNCTION("GOOGLETRANSLATE(A2789, ""ar"", ""bn"")"),"গণভোট")</f>
        <v>গণভোট</v>
      </c>
    </row>
    <row r="2790">
      <c r="A2790" s="2" t="s">
        <v>1916</v>
      </c>
      <c r="B2790" s="3" t="str">
        <f>IFERROR(__xludf.DUMMYFUNCTION("GOOGLETRANSLATE(A2790, ""ar"", ""bn"")"),"গণভোট")</f>
        <v>গণভোট</v>
      </c>
    </row>
    <row r="2791">
      <c r="A2791" s="2" t="s">
        <v>1775</v>
      </c>
      <c r="B2791" s="3" t="str">
        <f>IFERROR(__xludf.DUMMYFUNCTION("GOOGLETRANSLATE(A2791, ""ar"", ""bn"")"),"গণভোট")</f>
        <v>গণভোট</v>
      </c>
    </row>
    <row r="2792">
      <c r="A2792" s="2" t="s">
        <v>470</v>
      </c>
      <c r="B2792" s="3" t="str">
        <f>IFERROR(__xludf.DUMMYFUNCTION("GOOGLETRANSLATE(A2792, ""ar"", ""bn"")"),"সামাজিক পদত্যাগ")</f>
        <v>সামাজিক পদত্যাগ</v>
      </c>
    </row>
    <row r="2793">
      <c r="A2793" s="2" t="s">
        <v>2075</v>
      </c>
      <c r="B2793" s="3" t="str">
        <f>IFERROR(__xludf.DUMMYFUNCTION("GOOGLETRANSLATE(A2793, ""ar"", ""bn"")"),"অফিসিয়াল অভ্যর্থনা")</f>
        <v>অফিসিয়াল অভ্যর্থনা</v>
      </c>
    </row>
    <row r="2794">
      <c r="A2794" s="2" t="s">
        <v>2312</v>
      </c>
      <c r="B2794" s="3" t="str">
        <f>IFERROR(__xludf.DUMMYFUNCTION("GOOGLETRANSLATE(A2794, ""ar"", ""bn"")"),"বিশ্ব শান্তি, স্থিতিশীলতা")</f>
        <v>বিশ্ব শান্তি, স্থিতিশীলতা</v>
      </c>
    </row>
    <row r="2795">
      <c r="A2795" s="2" t="s">
        <v>2311</v>
      </c>
      <c r="B2795" s="3" t="str">
        <f>IFERROR(__xludf.DUMMYFUNCTION("GOOGLETRANSLATE(A2795, ""ar"", ""bn"")"),"রাজনৈতিক পরিস্থিতি স্থায়িত্ব")</f>
        <v>রাজনৈতিক পরিস্থিতি স্থায়িত্ব</v>
      </c>
    </row>
    <row r="2796">
      <c r="A2796" s="2" t="s">
        <v>1897</v>
      </c>
      <c r="B2796" s="3" t="str">
        <f>IFERROR(__xludf.DUMMYFUNCTION("GOOGLETRANSLATE(A2796, ""ar"", ""bn"")"),"রাজনৈতিক স্থিতিশীলতা")</f>
        <v>রাজনৈতিক স্থিতিশীলতা</v>
      </c>
    </row>
    <row r="2797">
      <c r="A2797" s="2" t="s">
        <v>1853</v>
      </c>
      <c r="B2797" s="3" t="str">
        <f>IFERROR(__xludf.DUMMYFUNCTION("GOOGLETRANSLATE(A2797, ""ar"", ""bn"")"),"একটি রাজনৈতিক সমীক্ষা")</f>
        <v>একটি রাজনৈতিক সমীক্ষা</v>
      </c>
    </row>
    <row r="2798">
      <c r="A2798" s="2" t="s">
        <v>1167</v>
      </c>
      <c r="B2798" s="3" t="str">
        <f>IFERROR(__xludf.DUMMYFUNCTION("GOOGLETRANSLATE(A2798, ""ar"", ""bn"")"),"স্বাধীনতা")</f>
        <v>স্বাধীনতা</v>
      </c>
    </row>
    <row r="2799">
      <c r="A2799" s="2" t="s">
        <v>2106</v>
      </c>
      <c r="B2799" s="3" t="str">
        <f>IFERROR(__xludf.DUMMYFUNCTION("GOOGLETRANSLATE(A2799, ""ar"", ""bn"")"),"আঞ্চলিক স্বাধীনতা")</f>
        <v>আঞ্চলিক স্বাধীনতা</v>
      </c>
    </row>
    <row r="2800">
      <c r="A2800" s="2" t="s">
        <v>2345</v>
      </c>
      <c r="B2800" s="3" t="str">
        <f>IFERROR(__xludf.DUMMYFUNCTION("GOOGLETRANSLATE(A2800, ""ar"", ""bn"")"),"রাজ্যের নিরবচ্ছিন্ন")</f>
        <v>রাজ্যের নিরবচ্ছিন্ন</v>
      </c>
    </row>
    <row r="2801">
      <c r="A2801" s="2" t="s">
        <v>2718</v>
      </c>
      <c r="B2801" s="3" t="str">
        <f>IFERROR(__xludf.DUMMYFUNCTION("GOOGLETRANSLATE(A2801, ""ar"", ""bn"")"),"মরুকরণ ফলক কূটনৈতিক নিন্দা")</f>
        <v>মরুকরণ ফলক কূটনৈতিক নিন্দা</v>
      </c>
    </row>
    <row r="2802">
      <c r="A2802" s="2" t="s">
        <v>1325</v>
      </c>
      <c r="B2802" s="3" t="str">
        <f>IFERROR(__xludf.DUMMYFUNCTION("GOOGLETRANSLATE(A2802, ""ar"", ""bn"")"),"জমির সেটেলমেন্ট")</f>
        <v>জমির সেটেলমেন্ট</v>
      </c>
    </row>
    <row r="2803">
      <c r="A2803" s="2" t="s">
        <v>2255</v>
      </c>
      <c r="B2803" s="3" t="str">
        <f>IFERROR(__xludf.DUMMYFUNCTION("GOOGLETRANSLATE(A2803, ""ar"", ""bn"")"),"দখলদারিত্ব")</f>
        <v>দখলদারিত্ব</v>
      </c>
    </row>
    <row r="2804">
      <c r="A2804" s="2" t="s">
        <v>2631</v>
      </c>
      <c r="B2804" s="3" t="str">
        <f>IFERROR(__xludf.DUMMYFUNCTION("GOOGLETRANSLATE(A2804, ""ar"", ""bn"")"),"যুদ্ধবন্দীদের")</f>
        <v>যুদ্ধবন্দীদের</v>
      </c>
    </row>
    <row r="2805">
      <c r="A2805" s="2" t="s">
        <v>333</v>
      </c>
      <c r="B2805" s="3" t="str">
        <f>IFERROR(__xludf.DUMMYFUNCTION("GOOGLETRANSLATE(A2805, ""ar"", ""bn"")"),"সাংবিধানিক আইন ভিত্তি")</f>
        <v>সাংবিধানিক আইন ভিত্তি</v>
      </c>
    </row>
    <row r="2806">
      <c r="A2806" s="2" t="s">
        <v>2654</v>
      </c>
      <c r="B2806" s="3" t="str">
        <f>IFERROR(__xludf.DUMMYFUNCTION("GOOGLETRANSLATE(A2806, ""ar"", ""bn"")"),"অস্ত্র")</f>
        <v>অস্ত্র</v>
      </c>
    </row>
    <row r="2807">
      <c r="A2807" s="2" t="s">
        <v>2362</v>
      </c>
      <c r="B2807" s="3" t="str">
        <f>IFERROR(__xludf.DUMMYFUNCTION("GOOGLETRANSLATE(A2807, ""ar"", ""bn"")"),"অস্ত্র কৌশল")</f>
        <v>অস্ত্র কৌশল</v>
      </c>
    </row>
    <row r="2808">
      <c r="A2808" s="2" t="s">
        <v>652</v>
      </c>
      <c r="B2808" s="3" t="str">
        <f>IFERROR(__xludf.DUMMYFUNCTION("GOOGLETRANSLATE(A2808, ""ar"", ""bn"")"),"ডিফেন্সিভ অস্ত্র")</f>
        <v>ডিফেন্সিভ অস্ত্র</v>
      </c>
    </row>
    <row r="2809">
      <c r="A2809" s="2" t="s">
        <v>292</v>
      </c>
      <c r="B2809" s="3" t="str">
        <f>IFERROR(__xludf.DUMMYFUNCTION("GOOGLETRANSLATE(A2809, ""ar"", ""bn"")"),"পরমাণু অস্ত্র")</f>
        <v>পরমাণু অস্ত্র</v>
      </c>
    </row>
    <row r="2810">
      <c r="A2810" s="2" t="s">
        <v>429</v>
      </c>
      <c r="B2810" s="3" t="str">
        <f>IFERROR(__xludf.DUMMYFUNCTION("GOOGLETRANSLATE(A2810, ""ar"", ""bn"")"),"রাসায়নিক অস্ত্র")</f>
        <v>রাসায়নিক অস্ত্র</v>
      </c>
    </row>
    <row r="2811">
      <c r="A2811" s="2" t="s">
        <v>1634</v>
      </c>
      <c r="B2811" s="3" t="str">
        <f>IFERROR(__xludf.DUMMYFUNCTION("GOOGLETRANSLATE(A2811, ""ar"", ""bn"")"),"পারমানবিক অস্ত্র")</f>
        <v>পারমানবিক অস্ত্র</v>
      </c>
    </row>
    <row r="2812">
      <c r="A2812" s="2" t="s">
        <v>1654</v>
      </c>
      <c r="B2812" s="3" t="str">
        <f>IFERROR(__xludf.DUMMYFUNCTION("GOOGLETRANSLATE(A2812, ""ar"", ""bn"")"),"অশোভন অস্ত্র")</f>
        <v>অশোভন অস্ত্র</v>
      </c>
    </row>
    <row r="2813">
      <c r="A2813" s="2" t="s">
        <v>2389</v>
      </c>
      <c r="B2813" s="3" t="str">
        <f>IFERROR(__xludf.DUMMYFUNCTION("GOOGLETRANSLATE(A2813, ""ar"", ""bn"")"),"ভোটিং পদ্ধতি")</f>
        <v>ভোটিং পদ্ধতি</v>
      </c>
    </row>
    <row r="2814">
      <c r="A2814" s="2" t="s">
        <v>2624</v>
      </c>
      <c r="B2814" s="3" t="str">
        <f>IFERROR(__xludf.DUMMYFUNCTION("GOOGLETRANSLATE(A2814, ""ar"", ""bn"")"),"ভোটিং পদ্ধতি")</f>
        <v>ভোটিং পদ্ধতি</v>
      </c>
    </row>
    <row r="2815">
      <c r="A2815" s="2" t="s">
        <v>2719</v>
      </c>
      <c r="B2815" s="3" t="str">
        <f>IFERROR(__xludf.DUMMYFUNCTION("GOOGLETRANSLATE(A2815, ""ar"", ""bn"")"),"সিদ্ধান্ত গ্রহণের মধ্যে পরিমাপের পদ্ধতি")</f>
        <v>সিদ্ধান্ত গ্রহণের মধ্যে পরিমাপের পদ্ধতি</v>
      </c>
    </row>
    <row r="2816">
      <c r="A2816" s="2" t="s">
        <v>682</v>
      </c>
      <c r="B2816" s="3" t="str">
        <f>IFERROR(__xludf.DUMMYFUNCTION("GOOGLETRANSLATE(A2816, ""ar"", ""bn"")"),"গণতান্ত্রিক শৈলী")</f>
        <v>গণতান্ত্রিক শৈলী</v>
      </c>
    </row>
    <row r="2817">
      <c r="A2817" s="2" t="s">
        <v>501</v>
      </c>
      <c r="B2817" s="3" t="str">
        <f>IFERROR(__xludf.DUMMYFUNCTION("GOOGLETRANSLATE(A2817, ""ar"", ""bn"")"),"চক্রান্ত এতে সদস্যতা")</f>
        <v>চক্রান্ত এতে সদস্যতা</v>
      </c>
    </row>
    <row r="2818">
      <c r="A2818" s="2" t="s">
        <v>2289</v>
      </c>
      <c r="B2818" s="3" t="str">
        <f>IFERROR(__xludf.DUMMYFUNCTION("GOOGLETRANSLATE(A2818, ""ar"", ""bn"")"),"সমাজতান্ত্রিক")</f>
        <v>সমাজতান্ত্রিক</v>
      </c>
    </row>
    <row r="2819">
      <c r="A2819" s="2" t="s">
        <v>2288</v>
      </c>
      <c r="B2819" s="3" t="str">
        <f>IFERROR(__xludf.DUMMYFUNCTION("GOOGLETRANSLATE(A2819, ""ar"", ""bn"")"),"সমাজতন্ত্র")</f>
        <v>সমাজতন্ত্র</v>
      </c>
    </row>
    <row r="2820">
      <c r="A2820" s="2" t="s">
        <v>2399</v>
      </c>
      <c r="B2820" s="3" t="str">
        <f>IFERROR(__xludf.DUMMYFUNCTION("GOOGLETRANSLATE(A2820, ""ar"", ""bn"")"),"নিয়ন্ত্রণের সুপারভিশন")</f>
        <v>নিয়ন্ত্রণের সুপারভিশন</v>
      </c>
    </row>
    <row r="2821">
      <c r="A2821" s="2" t="s">
        <v>1276</v>
      </c>
      <c r="B2821" s="3" t="str">
        <f>IFERROR(__xludf.DUMMYFUNCTION("GOOGLETRANSLATE(A2821, ""ar"", ""bn"")"),"আন্তর্জাতিক তত্ত্বাবধানে")</f>
        <v>আন্তর্জাতিক তত্ত্বাবধানে</v>
      </c>
    </row>
    <row r="2822">
      <c r="A2822" s="2" t="s">
        <v>760</v>
      </c>
      <c r="B2822" s="3" t="str">
        <f>IFERROR(__xludf.DUMMYFUNCTION("GOOGLETRANSLATE(A2822, ""ar"", ""bn"")"),"কূটনৈতিক নোটিশ")</f>
        <v>কূটনৈতিক নোটিশ</v>
      </c>
    </row>
    <row r="2823">
      <c r="A2823" s="2" t="s">
        <v>1884</v>
      </c>
      <c r="B2823" s="3" t="str">
        <f>IFERROR(__xludf.DUMMYFUNCTION("GOOGLETRANSLATE(A2823, ""ar"", ""bn"")"),"রাজনৈতিক সংস্কার")</f>
        <v>রাজনৈতিক সংস্কার</v>
      </c>
    </row>
    <row r="2824">
      <c r="A2824" s="2" t="s">
        <v>1050</v>
      </c>
      <c r="B2824" s="3" t="str">
        <f>IFERROR(__xludf.DUMMYFUNCTION("GOOGLETRANSLATE(A2824, ""ar"", ""bn"")"),"হরতাল")</f>
        <v>হরতাল</v>
      </c>
    </row>
    <row r="2825">
      <c r="A2825" s="2" t="s">
        <v>2636</v>
      </c>
      <c r="B2825" s="3" t="str">
        <f>IFERROR(__xludf.DUMMYFUNCTION("GOOGLETRANSLATE(A2825, ""ar"", ""bn"")"),"যুদ্ধের ভয়াবহতা")</f>
        <v>যুদ্ধের ভয়াবহতা</v>
      </c>
    </row>
    <row r="2826">
      <c r="A2826" s="2" t="s">
        <v>440</v>
      </c>
      <c r="B2826" s="3" t="str">
        <f>IFERROR(__xludf.DUMMYFUNCTION("GOOGLETRANSLATE(A2826, ""ar"", ""bn"")"),"অসামরিক ক্ষতি")</f>
        <v>অসামরিক ক্ষতি</v>
      </c>
    </row>
    <row r="2827">
      <c r="A2827" s="2" t="s">
        <v>1902</v>
      </c>
      <c r="B2827" s="3" t="str">
        <f>IFERROR(__xludf.DUMMYFUNCTION("GOOGLETRANSLATE(A2827, ""ar"", ""bn"")"),"রাজনৈতিক গোলযোগ")</f>
        <v>রাজনৈতিক গোলযোগ</v>
      </c>
    </row>
    <row r="2828">
      <c r="A2828" s="2" t="s">
        <v>1697</v>
      </c>
      <c r="B2828" s="3" t="str">
        <f>IFERROR(__xludf.DUMMYFUNCTION("GOOGLETRANSLATE(A2828, ""ar"", ""bn"")"),"নিপীড়ন দমন")</f>
        <v>নিপীড়ন দমন</v>
      </c>
    </row>
    <row r="2829">
      <c r="A2829" s="2" t="s">
        <v>745</v>
      </c>
      <c r="B2829" s="3" t="str">
        <f>IFERROR(__xludf.DUMMYFUNCTION("GOOGLETRANSLATE(A2829, ""ar"", ""bn"")"),"কূটনৈতিক কাঠামো")</f>
        <v>কূটনৈতিক কাঠামো</v>
      </c>
    </row>
    <row r="2830">
      <c r="A2830" s="2" t="s">
        <v>1240</v>
      </c>
      <c r="B2830" s="3" t="str">
        <f>IFERROR(__xludf.DUMMYFUNCTION("GOOGLETRANSLATE(A2830, ""ar"", ""bn"")"),"আন্তর্জাতিক ফ্রেমওয়ার্ক")</f>
        <v>আন্তর্জাতিক ফ্রেমওয়ার্ক</v>
      </c>
    </row>
    <row r="2831">
      <c r="A2831" s="2" t="s">
        <v>1842</v>
      </c>
      <c r="B2831" s="3" t="str">
        <f>IFERROR(__xludf.DUMMYFUNCTION("GOOGLETRANSLATE(A2831, ""ar"", ""bn"")"),"রাজনৈতিক কাঠামো")</f>
        <v>রাজনৈতিক কাঠামো</v>
      </c>
    </row>
    <row r="2832">
      <c r="A2832" s="2" t="s">
        <v>2720</v>
      </c>
      <c r="B2832" s="3" t="str">
        <f>IFERROR(__xludf.DUMMYFUNCTION("GOOGLETRANSLATE(A2832, ""ar"", ""bn"")"),"বন্দীদের নিঃশর্ত মুক্তি")</f>
        <v>বন্দীদের নিঃশর্ত মুক্তি</v>
      </c>
    </row>
    <row r="2833">
      <c r="A2833" s="2" t="s">
        <v>2065</v>
      </c>
      <c r="B2833" s="3" t="str">
        <f>IFERROR(__xludf.DUMMYFUNCTION("GOOGLETRANSLATE(A2833, ""ar"", ""bn"")"),"পুনঃনির্বাচনের")</f>
        <v>পুনঃনির্বাচনের</v>
      </c>
    </row>
    <row r="2834">
      <c r="A2834" s="2" t="s">
        <v>2070</v>
      </c>
      <c r="B2834" s="3" t="str">
        <f>IFERROR(__xludf.DUMMYFUNCTION("GOOGLETRANSLATE(A2834, ""ar"", ""bn"")"),"অর্পণ এর রি-জ")</f>
        <v>অর্পণ এর রি-জ</v>
      </c>
    </row>
    <row r="2835">
      <c r="A2835" s="2" t="s">
        <v>2073</v>
      </c>
      <c r="B2835" s="3" t="str">
        <f>IFERROR(__xludf.DUMMYFUNCTION("GOOGLETRANSLATE(A2835, ""ar"", ""bn"")"),"যুক্তরাষ্ট্র মধ্যে আস্থা পুনর্নির্মাণ")</f>
        <v>যুক্তরাষ্ট্র মধ্যে আস্থা পুনর্নির্মাণ</v>
      </c>
    </row>
    <row r="2836">
      <c r="A2836" s="2" t="s">
        <v>2721</v>
      </c>
      <c r="B2836" s="3" t="str">
        <f>IFERROR(__xludf.DUMMYFUNCTION("GOOGLETRANSLATE(A2836, ""ar"", ""bn"")"),"কাজগুলো কূটনৈতিক পুনরায় বিতরণ")</f>
        <v>কাজগুলো কূটনৈতিক পুনরায় বিতরণ</v>
      </c>
    </row>
    <row r="2837">
      <c r="A2837" s="2" t="s">
        <v>938</v>
      </c>
      <c r="B2837" s="3" t="str">
        <f>IFERROR(__xludf.DUMMYFUNCTION("GOOGLETRANSLATE(A2837, ""ar"", ""bn"")"),"বাহ্যিক আগ্রাসন")</f>
        <v>বাহ্যিক আগ্রাসন</v>
      </c>
    </row>
    <row r="2838">
      <c r="A2838" s="2" t="s">
        <v>1527</v>
      </c>
      <c r="B2838" s="3" t="str">
        <f>IFERROR(__xludf.DUMMYFUNCTION("GOOGLETRANSLATE(A2838, ""ar"", ""bn"")"),"মডারেট কূটনৈতিক মতামত")</f>
        <v>মডারেট কূটনৈতিক মতামত</v>
      </c>
    </row>
    <row r="2839">
      <c r="A2839" s="2" t="s">
        <v>1528</v>
      </c>
      <c r="B2839" s="3" t="str">
        <f>IFERROR(__xludf.DUMMYFUNCTION("GOOGLETRANSLATE(A2839, ""ar"", ""bn"")"),"মডারেট রাজনৈতিক মতামত")</f>
        <v>মডারেট রাজনৈতিক মতামত</v>
      </c>
    </row>
    <row r="2840">
      <c r="A2840" s="2" t="s">
        <v>1636</v>
      </c>
      <c r="B2840" s="3" t="str">
        <f>IFERROR(__xludf.DUMMYFUNCTION("GOOGLETRANSLATE(A2840, ""ar"", ""bn"")"),"আপত্তি")</f>
        <v>আপত্তি</v>
      </c>
    </row>
    <row r="2841">
      <c r="A2841" s="2" t="s">
        <v>1637</v>
      </c>
      <c r="B2841" s="3" t="str">
        <f>IFERROR(__xludf.DUMMYFUNCTION("GOOGLETRANSLATE(A2841, ""ar"", ""bn"")"),"প্রক্রিয়া আপত্তি")</f>
        <v>প্রক্রিয়া আপত্তি</v>
      </c>
    </row>
    <row r="2842">
      <c r="A2842" s="2" t="s">
        <v>1638</v>
      </c>
      <c r="B2842" s="3" t="str">
        <f>IFERROR(__xludf.DUMMYFUNCTION("GOOGLETRANSLATE(A2842, ""ar"", ""bn"")"),"আপত্তি প্রত্যাখ্যাত")</f>
        <v>আপত্তি প্রত্যাখ্যাত</v>
      </c>
    </row>
    <row r="2843">
      <c r="A2843" s="2" t="s">
        <v>1639</v>
      </c>
      <c r="B2843" s="3" t="str">
        <f>IFERROR(__xludf.DUMMYFUNCTION("GOOGLETRANSLATE(A2843, ""ar"", ""bn"")"),"গ্রহনযোগ্য আপত্তি")</f>
        <v>গ্রহনযোগ্য আপত্তি</v>
      </c>
    </row>
    <row r="2844">
      <c r="A2844" s="2" t="s">
        <v>767</v>
      </c>
      <c r="B2844" s="3" t="str">
        <f>IFERROR(__xludf.DUMMYFUNCTION("GOOGLETRANSLATE(A2844, ""ar"", ""bn"")"),"কূটনৈতিক স্বীকৃতি")</f>
        <v>কূটনৈতিক স্বীকৃতি</v>
      </c>
    </row>
    <row r="2845">
      <c r="A2845" s="2" t="s">
        <v>1552</v>
      </c>
      <c r="B2845" s="3" t="str">
        <f>IFERROR(__xludf.DUMMYFUNCTION("GOOGLETRANSLATE(A2845, ""ar"", ""bn"")"),"মিউচুয়াল কূটনৈতিক স্বীকৃতি")</f>
        <v>মিউচুয়াল কূটনৈতিক স্বীকৃতি</v>
      </c>
    </row>
    <row r="2846">
      <c r="A2846" s="2" t="s">
        <v>1265</v>
      </c>
      <c r="B2846" s="3" t="str">
        <f>IFERROR(__xludf.DUMMYFUNCTION("GOOGLETRANSLATE(A2846, ""ar"", ""bn"")"),"আন্তর্জাতিক স্বীকৃতি")</f>
        <v>আন্তর্জাতিক স্বীকৃতি</v>
      </c>
    </row>
    <row r="2847">
      <c r="A2847" s="2" t="s">
        <v>1664</v>
      </c>
      <c r="B2847" s="3" t="str">
        <f>IFERROR(__xludf.DUMMYFUNCTION("GOOGLETRANSLATE(A2847, ""ar"", ""bn"")"),"অফিসিয়াল স্বীকৃতি")</f>
        <v>অফিসিয়াল স্বীকৃতি</v>
      </c>
    </row>
    <row r="2848">
      <c r="A2848" s="2" t="s">
        <v>1345</v>
      </c>
      <c r="B2848" s="3" t="str">
        <f>IFERROR(__xludf.DUMMYFUNCTION("GOOGLETRANSLATE(A2848, ""ar"", ""bn"")"),"বিধিসম্মত")</f>
        <v>বিধিসম্মত</v>
      </c>
    </row>
    <row r="2849">
      <c r="A2849" s="2" t="s">
        <v>2284</v>
      </c>
      <c r="B2849" s="3" t="str">
        <f>IFERROR(__xludf.DUMMYFUNCTION("GOOGLETRANSLATE(A2849, ""ar"", ""bn"")"),"সাধক বসতে ইন")</f>
        <v>সাধক বসতে ইন</v>
      </c>
    </row>
    <row r="2850">
      <c r="A2850" s="2" t="s">
        <v>705</v>
      </c>
      <c r="B2850" s="3" t="str">
        <f>IFERROR(__xludf.DUMMYFUNCTION("GOOGLETRANSLATE(A2850, ""ar"", ""bn"")"),"গ্রেফতার")</f>
        <v>গ্রেফতার</v>
      </c>
    </row>
    <row r="2851">
      <c r="A2851" s="2" t="s">
        <v>706</v>
      </c>
      <c r="B2851" s="3" t="str">
        <f>IFERROR(__xludf.DUMMYFUNCTION("GOOGLETRANSLATE(A2851, ""ar"", ""bn"")"),"রাজনৈতিক বন্দীদের গ্রেফতার")</f>
        <v>রাজনৈতিক বন্দীদের গ্রেফতার</v>
      </c>
    </row>
    <row r="2852">
      <c r="A2852" s="2" t="s">
        <v>2089</v>
      </c>
      <c r="B2852" s="3" t="str">
        <f>IFERROR(__xludf.DUMMYFUNCTION("GOOGLETRANSLATE(A2852, ""ar"", ""bn"")"),"রিপোর্টের কূটনৈতিক প্রস্তুতি")</f>
        <v>রিপোর্টের কূটনৈতিক প্রস্তুতি</v>
      </c>
    </row>
    <row r="2853">
      <c r="A2853" s="2" t="s">
        <v>733</v>
      </c>
      <c r="B2853" s="3" t="str">
        <f>IFERROR(__xludf.DUMMYFUNCTION("GOOGLETRANSLATE(A2853, ""ar"", ""bn"")"),"কূটনৈতিক নিয়ম")</f>
        <v>কূটনৈতিক নিয়ম</v>
      </c>
    </row>
    <row r="2854">
      <c r="A2854" s="2" t="s">
        <v>1702</v>
      </c>
      <c r="B2854" s="3" t="str">
        <f>IFERROR(__xludf.DUMMYFUNCTION("GOOGLETRANSLATE(A2854, ""ar"", ""bn"")"),"কর্তৃপক্ষের সদস্য")</f>
        <v>কর্তৃপক্ষের সদস্য</v>
      </c>
    </row>
    <row r="2855">
      <c r="A2855" s="2" t="s">
        <v>1626</v>
      </c>
      <c r="B2855" s="3" t="str">
        <f>IFERROR(__xludf.DUMMYFUNCTION("GOOGLETRANSLATE(A2855, ""ar"", ""bn"")"),"সদস্যরা অ নির্বাচিত")</f>
        <v>সদস্যরা অ নির্বাচিত</v>
      </c>
    </row>
    <row r="2856">
      <c r="A2856" s="2" t="s">
        <v>845</v>
      </c>
      <c r="B2856" s="3" t="str">
        <f>IFERROR(__xludf.DUMMYFUNCTION("GOOGLETRANSLATE(A2856, ""ar"", ""bn"")"),"ইলেকট্রনিক মিডিয়া")</f>
        <v>ইলেকট্রনিক মিডিয়া</v>
      </c>
    </row>
    <row r="2857">
      <c r="A2857" s="2" t="s">
        <v>1433</v>
      </c>
      <c r="B2857" s="3" t="str">
        <f>IFERROR(__xludf.DUMMYFUNCTION("GOOGLETRANSLATE(A2857, ""ar"", ""bn"")"),"প্রকাশ্য জানাও")</f>
        <v>প্রকাশ্য জানাও</v>
      </c>
    </row>
    <row r="2858">
      <c r="A2858" s="2" t="s">
        <v>1995</v>
      </c>
      <c r="B2858" s="3" t="str">
        <f>IFERROR(__xludf.DUMMYFUNCTION("GOOGLETRANSLATE(A2858, ""ar"", ""bn"")"),"ব্যক্তিগত মিডিয়া")</f>
        <v>ব্যক্তিগত মিডিয়া</v>
      </c>
    </row>
    <row r="2859">
      <c r="A2859" s="2" t="s">
        <v>1401</v>
      </c>
      <c r="B2859" s="3" t="str">
        <f>IFERROR(__xludf.DUMMYFUNCTION("GOOGLETRANSLATE(A2859, ""ar"", ""bn"")"),"মিডিয়া প্রতিস্থাপন")</f>
        <v>মিডিয়া প্রতিস্থাপন</v>
      </c>
    </row>
    <row r="2860">
      <c r="A2860" s="2" t="s">
        <v>641</v>
      </c>
      <c r="B2860" s="3" t="str">
        <f>IFERROR(__xludf.DUMMYFUNCTION("GOOGLETRANSLATE(A2860, ""ar"", ""bn"")"),"সামরিক আইন ঘোষণা")</f>
        <v>সামরিক আইন ঘোষণা</v>
      </c>
    </row>
    <row r="2861">
      <c r="A2861" s="2" t="s">
        <v>640</v>
      </c>
      <c r="B2861" s="3" t="str">
        <f>IFERROR(__xludf.DUMMYFUNCTION("GOOGLETRANSLATE(A2861, ""ar"", ""bn"")"),"স্বাধীনতার ঘোষণা")</f>
        <v>স্বাধীনতার ঘোষণা</v>
      </c>
    </row>
    <row r="2862">
      <c r="A2862" s="2" t="s">
        <v>2641</v>
      </c>
      <c r="B2862" s="3" t="str">
        <f>IFERROR(__xludf.DUMMYFUNCTION("GOOGLETRANSLATE(A2862, ""ar"", ""bn"")"),"যুদ্ধ ঘোষণা")</f>
        <v>যুদ্ধ ঘোষণা</v>
      </c>
    </row>
    <row r="2863">
      <c r="A2863" s="2" t="s">
        <v>961</v>
      </c>
      <c r="B2863" s="3" t="str">
        <f>IFERROR(__xludf.DUMMYFUNCTION("GOOGLETRANSLATE(A2863, ""ar"", ""bn"")"),"মিথ্যা ঘোষণা")</f>
        <v>মিথ্যা ঘোষণা</v>
      </c>
    </row>
    <row r="2864">
      <c r="A2864" s="2" t="s">
        <v>198</v>
      </c>
      <c r="B2864" s="3" t="str">
        <f>IFERROR(__xludf.DUMMYFUNCTION("GOOGLETRANSLATE(A2864, ""ar"", ""bn"")"),"উত্তেজক কাজ")</f>
        <v>উত্তেজক কাজ</v>
      </c>
    </row>
    <row r="2865">
      <c r="A2865" s="2" t="s">
        <v>2142</v>
      </c>
      <c r="B2865" s="3" t="str">
        <f>IFERROR(__xludf.DUMMYFUNCTION("GOOGLETRANSLATE(A2865, ""ar"", ""bn"")"),"প্রতিশোধ ঘটনা")</f>
        <v>প্রতিশোধ ঘটনা</v>
      </c>
    </row>
    <row r="2866">
      <c r="A2866" s="2" t="s">
        <v>248</v>
      </c>
      <c r="B2866" s="3" t="str">
        <f>IFERROR(__xludf.DUMMYFUNCTION("GOOGLETRANSLATE(A2866, ""ar"", ""bn"")"),"সম্প্রদায় প্রভাবিত প্রেরিত")</f>
        <v>সম্প্রদায় প্রভাবিত প্রেরিত</v>
      </c>
    </row>
    <row r="2867">
      <c r="A2867" s="2" t="s">
        <v>2604</v>
      </c>
      <c r="B2867" s="3" t="str">
        <f>IFERROR(__xludf.DUMMYFUNCTION("GOOGLETRANSLATE(A2867, ""ar"", ""bn"")"),"হিংসাত্মক")</f>
        <v>হিংসাত্মক</v>
      </c>
    </row>
    <row r="2868">
      <c r="A2868" s="2" t="s">
        <v>1798</v>
      </c>
      <c r="B2868" s="3" t="str">
        <f>IFERROR(__xludf.DUMMYFUNCTION("GOOGLETRANSLATE(A2868, ""ar"", ""bn"")"),"রাজনৈতিক হত্যা")</f>
        <v>রাজনৈতিক হত্যা</v>
      </c>
    </row>
    <row r="2869">
      <c r="A2869" s="2" t="s">
        <v>457</v>
      </c>
      <c r="B2869" s="3" t="str">
        <f>IFERROR(__xludf.DUMMYFUNCTION("GOOGLETRANSLATE(A2869, ""ar"", ""bn"")"),"বন্ধ সেশন")</f>
        <v>বন্ধ সেশন</v>
      </c>
    </row>
    <row r="2870">
      <c r="A2870" s="2" t="s">
        <v>455</v>
      </c>
      <c r="B2870" s="3" t="str">
        <f>IFERROR(__xludf.DUMMYFUNCTION("GOOGLETRANSLATE(A2870, ""ar"", ""bn"")"),"সীমান্ত বন্ধ")</f>
        <v>সীমান্ত বন্ধ</v>
      </c>
    </row>
    <row r="2871">
      <c r="A2871" s="2" t="s">
        <v>1412</v>
      </c>
      <c r="B2871" s="3" t="str">
        <f>IFERROR(__xludf.DUMMYFUNCTION("GOOGLETRANSLATE(A2871, ""ar"", ""bn"")"),"সর্বাধিক ইয়ে")</f>
        <v>সর্বাধিক ইয়ে</v>
      </c>
    </row>
    <row r="2872">
      <c r="A2872" s="2" t="s">
        <v>2663</v>
      </c>
      <c r="B2872" s="3" t="str">
        <f>IFERROR(__xludf.DUMMYFUNCTION("GOOGLETRANSLATE(A2872, ""ar"", ""bn"")"),"হোয়াইট সংখ্যাগরিষ্ঠ")</f>
        <v>হোয়াইট সংখ্যাগরিষ্ঠ</v>
      </c>
    </row>
    <row r="2873">
      <c r="A2873" s="2" t="s">
        <v>2509</v>
      </c>
      <c r="B2873" s="3" t="str">
        <f>IFERROR(__xludf.DUMMYFUNCTION("GOOGLETRANSLATE(A2873, ""ar"", ""bn"")"),"দুই-তৃতীয়াংশ সংখ্যাগরিষ্ঠতা")</f>
        <v>দুই-তৃতীয়াংশ সংখ্যাগরিষ্ঠতা</v>
      </c>
    </row>
    <row r="2874">
      <c r="A2874" s="2" t="s">
        <v>2149</v>
      </c>
      <c r="B2874" s="3" t="str">
        <f>IFERROR(__xludf.DUMMYFUNCTION("GOOGLETRANSLATE(A2874, ""ar"", ""bn"")"),"প্রায় ইয়ে প্রয়োজনীয়")</f>
        <v>প্রায় ইয়ে প্রয়োজনীয়</v>
      </c>
    </row>
    <row r="2875">
      <c r="A2875" s="2" t="s">
        <v>1720</v>
      </c>
      <c r="B2875" s="3" t="str">
        <f>IFERROR(__xludf.DUMMYFUNCTION("GOOGLETRANSLATE(A2875, ""ar"", ""bn"")"),"একজন সংসদে সংখ্যাগুরু")</f>
        <v>একজন সংসদে সংখ্যাগুরু</v>
      </c>
    </row>
    <row r="2876">
      <c r="A2876" s="2" t="s">
        <v>681</v>
      </c>
      <c r="B2876" s="3" t="str">
        <f>IFERROR(__xludf.DUMMYFUNCTION("GOOGLETRANSLATE(A2876, ""ar"", ""bn"")"),"গণতন্ত্রের অংশ")</f>
        <v>গণতন্ত্রের অংশ</v>
      </c>
    </row>
    <row r="2877">
      <c r="A2877" s="2" t="s">
        <v>1707</v>
      </c>
      <c r="B2877" s="3" t="str">
        <f>IFERROR(__xludf.DUMMYFUNCTION("GOOGLETRANSLATE(A2877, ""ar"", ""bn"")"),"বেশির ভাগ")</f>
        <v>বেশির ভাগ</v>
      </c>
    </row>
    <row r="2878">
      <c r="A2878" s="2" t="s">
        <v>149</v>
      </c>
      <c r="B2878" s="3" t="str">
        <f>IFERROR(__xludf.DUMMYFUNCTION("GOOGLETRANSLATE(A2878, ""ar"", ""bn"")"),"সর্বাধিক ইয়ে পরম")</f>
        <v>সর্বাধিক ইয়ে পরম</v>
      </c>
    </row>
    <row r="2879">
      <c r="A2879" s="2" t="s">
        <v>2722</v>
      </c>
      <c r="B2879" s="3" t="str">
        <f>IFERROR(__xludf.DUMMYFUNCTION("GOOGLETRANSLATE(A2879, ""ar"", ""bn"")"),"কূটনৈতিক সম্পর্ক নতুন দিগন্ত")</f>
        <v>কূটনৈতিক সম্পর্ক নতুন দিগন্ত</v>
      </c>
    </row>
    <row r="2880">
      <c r="A2880" s="2" t="s">
        <v>1686</v>
      </c>
      <c r="B2880" s="3" t="str">
        <f>IFERROR(__xludf.DUMMYFUNCTION("GOOGLETRANSLATE(A2880, ""ar"", ""bn"")"),"খোলা বেল")</f>
        <v>খোলা বেল</v>
      </c>
    </row>
    <row r="2881">
      <c r="A2881" s="2" t="s">
        <v>340</v>
      </c>
      <c r="B2881" s="3" t="str">
        <f>IFERROR(__xludf.DUMMYFUNCTION("GOOGLETRANSLATE(A2881, ""ar"", ""bn"")"),"গোপন বিশ্বাসঘাতকতা ডিসক্লোজার")</f>
        <v>গোপন বিশ্বাসঘাতকতা ডিসক্লোজার</v>
      </c>
    </row>
    <row r="2882">
      <c r="A2882" s="2" t="s">
        <v>2153</v>
      </c>
      <c r="B2882" s="3" t="str">
        <f>IFERROR(__xludf.DUMMYFUNCTION("GOOGLETRANSLATE(A2882, ""ar"", ""bn"")"),"দেশে থাকতে")</f>
        <v>দেশে থাকতে</v>
      </c>
    </row>
    <row r="2883">
      <c r="A2883" s="2" t="s">
        <v>1744</v>
      </c>
      <c r="B2883" s="3" t="str">
        <f>IFERROR(__xludf.DUMMYFUNCTION("GOOGLETRANSLATE(A2883, ""ar"", ""bn"")"),"শান্তি প্রস্তাব")</f>
        <v>শান্তি প্রস্তাব</v>
      </c>
    </row>
    <row r="2884">
      <c r="A2884" s="2" t="s">
        <v>2723</v>
      </c>
      <c r="B2884" s="3" t="str">
        <f>IFERROR(__xludf.DUMMYFUNCTION("GOOGLETRANSLATE(A2884, ""ar"", ""bn"")"),"কাউন্সিল ভূমিকা একটি প্রাথমিক প্রস্তাব")</f>
        <v>কাউন্সিল ভূমিকা একটি প্রাথমিক প্রস্তাব</v>
      </c>
    </row>
    <row r="2885">
      <c r="A2885" s="2" t="s">
        <v>2264</v>
      </c>
      <c r="B2885" s="3" t="str">
        <f>IFERROR(__xludf.DUMMYFUNCTION("GOOGLETRANSLATE(A2885, ""ar"", ""bn"")"),"ভারতবর্ষের লোকসভা")</f>
        <v>ভারতবর্ষের লোকসভা</v>
      </c>
    </row>
    <row r="2886">
      <c r="A2886" s="2" t="s">
        <v>607</v>
      </c>
      <c r="B2886" s="3" t="str">
        <f>IFERROR(__xludf.DUMMYFUNCTION("GOOGLETRANSLATE(A2886, ""ar"", ""bn"")"),"বিপরিত প্রস্তাবনা")</f>
        <v>বিপরিত প্রস্তাবনা</v>
      </c>
    </row>
    <row r="2887">
      <c r="A2887" s="2" t="s">
        <v>330</v>
      </c>
      <c r="B2887" s="3" t="str">
        <f>IFERROR(__xludf.DUMMYFUNCTION("GOOGLETRANSLATE(A2887, ""ar"", ""bn"")"),"ভোট")</f>
        <v>ভোট</v>
      </c>
    </row>
    <row r="2888">
      <c r="A2888" s="2" t="s">
        <v>1739</v>
      </c>
      <c r="B2888" s="3" t="str">
        <f>IFERROR(__xludf.DUMMYFUNCTION("GOOGLETRANSLATE(A2888, ""ar"", ""bn"")"),"মীমাংসা নম্বর হোল্ডিংয়ে ভোট")</f>
        <v>মীমাংসা নম্বর হোল্ডিংয়ে ভোট</v>
      </c>
    </row>
    <row r="2889">
      <c r="A2889" s="2" t="s">
        <v>2238</v>
      </c>
      <c r="B2889" s="3" t="str">
        <f>IFERROR(__xludf.DUMMYFUNCTION("GOOGLETRANSLATE(A2889, ""ar"", ""bn"")"),"গুপ্তভোট ঞ")</f>
        <v>গুপ্তভোট ঞ</v>
      </c>
    </row>
    <row r="2890">
      <c r="A2890" s="2" t="s">
        <v>1756</v>
      </c>
      <c r="B2890" s="3" t="str">
        <f>IFERROR(__xludf.DUMMYFUNCTION("GOOGLETRANSLATE(A2890, ""ar"", ""bn"")"),"জনপ্রিয় ভোট")</f>
        <v>জনপ্রিয় ভোট</v>
      </c>
    </row>
    <row r="2891">
      <c r="A2891" s="2" t="s">
        <v>2567</v>
      </c>
      <c r="B2891" s="3" t="str">
        <f>IFERROR(__xludf.DUMMYFUNCTION("GOOGLETRANSLATE(A2891, ""ar"", ""bn"")"),"ইউনিভার্সাল ব্যালট")</f>
        <v>ইউনিভার্সাল ব্যালট</v>
      </c>
    </row>
    <row r="2892">
      <c r="A2892" s="2" t="s">
        <v>1564</v>
      </c>
      <c r="B2892" s="3" t="str">
        <f>IFERROR(__xludf.DUMMYFUNCTION("GOOGLETRANSLATE(A2892, ""ar"", ""bn"")"),"জাতীয় অর্থনীতি")</f>
        <v>জাতীয় অর্থনীতি</v>
      </c>
    </row>
    <row r="2893">
      <c r="A2893" s="2" t="s">
        <v>2602</v>
      </c>
      <c r="B2893" s="3" t="str">
        <f>IFERROR(__xludf.DUMMYFUNCTION("GOOGLETRANSLATE(A2893, ""ar"", ""bn"")"),"প্রকাশ্য সান্ত্বনা Perturbing")</f>
        <v>প্রকাশ্য সান্ত্বনা Perturbing</v>
      </c>
    </row>
    <row r="2894">
      <c r="A2894" s="2" t="s">
        <v>1515</v>
      </c>
      <c r="B2894" s="3" t="str">
        <f>IFERROR(__xludf.DUMMYFUNCTION("GOOGLETRANSLATE(A2894, ""ar"", ""bn"")"),"ইয়াত কম")</f>
        <v>ইয়াত কম</v>
      </c>
    </row>
    <row r="2895">
      <c r="A2895" s="2" t="s">
        <v>2664</v>
      </c>
      <c r="B2895" s="3" t="str">
        <f>IFERROR(__xludf.DUMMYFUNCTION("GOOGLETRANSLATE(A2895, ""ar"", ""bn"")"),"হোয়াইট সংখ্যালঘু")</f>
        <v>হোয়াইট সংখ্যালঘু</v>
      </c>
    </row>
    <row r="2896">
      <c r="A2896" s="2" t="s">
        <v>345</v>
      </c>
      <c r="B2896" s="3" t="str">
        <f>IFERROR(__xludf.DUMMYFUNCTION("GOOGLETRANSLATE(A2896, ""ar"", ""bn"")"),"কালো সংখ্যালঘু")</f>
        <v>কালো সংখ্যালঘু</v>
      </c>
    </row>
    <row r="2897">
      <c r="A2897" s="2" t="s">
        <v>2058</v>
      </c>
      <c r="B2897" s="3" t="str">
        <f>IFERROR(__xludf.DUMMYFUNCTION("GOOGLETRANSLATE(A2897, ""ar"", ""bn"")"),"সংখ্যালঘু সম্প্রদায়ের")</f>
        <v>সংখ্যালঘু সম্প্রদায়ের</v>
      </c>
    </row>
    <row r="2898">
      <c r="A2898" s="2" t="s">
        <v>1694</v>
      </c>
      <c r="B2898" s="3" t="str">
        <f>IFERROR(__xludf.DUMMYFUNCTION("GOOGLETRANSLATE(A2898, ""ar"", ""bn"")"),"একজন সংখ্যালঘু অত্যাচারিত")</f>
        <v>একজন সংখ্যালঘু অত্যাচারিত</v>
      </c>
    </row>
    <row r="2899">
      <c r="A2899" s="2" t="s">
        <v>2110</v>
      </c>
      <c r="B2899" s="3" t="str">
        <f>IFERROR(__xludf.DUMMYFUNCTION("GOOGLETRANSLATE(A2899, ""ar"", ""bn"")"),"আঞ্চলিক")</f>
        <v>আঞ্চলিক</v>
      </c>
    </row>
    <row r="2900">
      <c r="A2900" s="2" t="s">
        <v>2457</v>
      </c>
      <c r="B2900" s="3" t="str">
        <f>IFERROR(__xludf.DUMMYFUNCTION("GOOGLETRANSLATE(A2900, ""ar"", ""bn"")"),"আঞ্চলিক আইন")</f>
        <v>আঞ্চলিক আইন</v>
      </c>
    </row>
    <row r="2901">
      <c r="A2901" s="2" t="s">
        <v>168</v>
      </c>
      <c r="B2901" s="3" t="str">
        <f>IFERROR(__xludf.DUMMYFUNCTION("GOOGLETRANSLATE(A2901, ""ar"", ""bn"")"),"লাভ রাজনৈতিক জ্ঞান")</f>
        <v>লাভ রাজনৈতিক জ্ঞান</v>
      </c>
    </row>
    <row r="2902">
      <c r="A2902" s="2" t="s">
        <v>2629</v>
      </c>
      <c r="B2902" s="3" t="str">
        <f>IFERROR(__xludf.DUMMYFUNCTION("GOOGLETRANSLATE(A2902, ""ar"", ""bn"")"),"যুদ্ধের দেবতা")</f>
        <v>যুদ্ধের দেবতা</v>
      </c>
    </row>
    <row r="2903">
      <c r="A2903" s="2" t="s">
        <v>176</v>
      </c>
      <c r="B2903" s="3" t="str">
        <f>IFERROR(__xludf.DUMMYFUNCTION("GOOGLETRANSLATE(A2903, ""ar"", ""bn"")"),"বিষয়সূচি প্রতিশ্রুতি")</f>
        <v>বিষয়সূচি প্রতিশ্রুতি</v>
      </c>
    </row>
    <row r="2904">
      <c r="A2904" s="2" t="s">
        <v>2077</v>
      </c>
      <c r="B2904" s="3" t="str">
        <f>IFERROR(__xludf.DUMMYFUNCTION("GOOGLETRANSLATE(A2904, ""ar"", ""bn"")"),"পারস্পরিক আন্ত রাষ্ট্রের বাধ্যবাধকতা")</f>
        <v>পারস্পরিক আন্ত রাষ্ট্রের বাধ্যবাধকতা</v>
      </c>
    </row>
    <row r="2905">
      <c r="A2905" s="2" t="s">
        <v>2724</v>
      </c>
      <c r="B2905" s="3" t="str">
        <f>IFERROR(__xludf.DUMMYFUNCTION("GOOGLETRANSLATE(A2905, ""ar"", ""bn"")"),"বাধ্যবাধকতা যুক্তরাষ্ট্র আরোপিত")</f>
        <v>বাধ্যবাধকতা যুক্তরাষ্ট্র আরোপিত</v>
      </c>
    </row>
    <row r="2906">
      <c r="A2906" s="2" t="s">
        <v>851</v>
      </c>
      <c r="B2906" s="3" t="str">
        <f>IFERROR(__xludf.DUMMYFUNCTION("GOOGLETRANSLATE(A2906, ""ar"", ""bn"")"),"বিশেষাধিকার বিলুপ্তি")</f>
        <v>বিশেষাধিকার বিলুপ্তি</v>
      </c>
    </row>
    <row r="2907">
      <c r="A2907" s="2" t="s">
        <v>848</v>
      </c>
      <c r="B2907" s="3" t="str">
        <f>IFERROR(__xludf.DUMMYFUNCTION("GOOGLETRANSLATE(A2907, ""ar"", ""bn"")"),"শারীরিক যন্ত্রণা বিলুপ্তি")</f>
        <v>শারীরিক যন্ত্রণা বিলুপ্তি</v>
      </c>
    </row>
    <row r="2908">
      <c r="A2908" s="2" t="s">
        <v>850</v>
      </c>
      <c r="B2908" s="3" t="str">
        <f>IFERROR(__xludf.DUMMYFUNCTION("GOOGLETRANSLATE(A2908, ""ar"", ""bn"")"),"রাজনৈতিক অধিকার এবং সুযোগ বিলুপ্তি")</f>
        <v>রাজনৈতিক অধিকার এবং সুযোগ বিলুপ্তি</v>
      </c>
    </row>
    <row r="2909">
      <c r="A2909" s="2" t="s">
        <v>637</v>
      </c>
      <c r="B2909" s="3" t="str">
        <f>IFERROR(__xludf.DUMMYFUNCTION("GOOGLETRANSLATE(A2909, ""ar"", ""bn"")"),"কেন্দ্রীয় বাতিলের")</f>
        <v>কেন্দ্রীয় বাতিলের</v>
      </c>
    </row>
    <row r="2910">
      <c r="A2910" s="2" t="s">
        <v>2725</v>
      </c>
      <c r="B2910" s="3" t="str">
        <f>IFERROR(__xludf.DUMMYFUNCTION("GOOGLETRANSLATE(A2910, ""ar"", ""bn"")"),"স্থান দ্বারা বক্তৃতা বসতে")</f>
        <v>স্থান দ্বারা বক্তৃতা বসতে</v>
      </c>
    </row>
    <row r="2911">
      <c r="A2911" s="2" t="s">
        <v>2572</v>
      </c>
      <c r="B2911" s="3" t="str">
        <f>IFERROR(__xludf.DUMMYFUNCTION("GOOGLETRANSLATE(A2911, ""ar"", ""bn"")"),"অন্যান্য অর্ডারের ইস্যু পর্যন্ত")</f>
        <v>অন্যান্য অর্ডারের ইস্যু পর্যন্ত</v>
      </c>
    </row>
    <row r="2912">
      <c r="A2912" s="2" t="s">
        <v>1440</v>
      </c>
      <c r="B2912" s="3" t="str">
        <f>IFERROR(__xludf.DUMMYFUNCTION("GOOGLETRANSLATE(A2912, ""ar"", ""bn"")"),"রাজনৈতিক দলগুলোর প্রক্রিয়া কাজ")</f>
        <v>রাজনৈতিক দলগুলোর প্রক্রিয়া কাজ</v>
      </c>
    </row>
    <row r="2913">
      <c r="A2913" s="2" t="s">
        <v>1558</v>
      </c>
      <c r="B2913" s="3" t="str">
        <f>IFERROR(__xludf.DUMMYFUNCTION("GOOGLETRANSLATE(A2913, ""ar"", ""bn"")"),"তার মায়ের")</f>
        <v>তার মায়ের</v>
      </c>
    </row>
    <row r="2914">
      <c r="A2914" s="2" t="s">
        <v>1750</v>
      </c>
      <c r="B2914" s="3" t="str">
        <f>IFERROR(__xludf.DUMMYFUNCTION("GOOGLETRANSLATE(A2914, ""ar"", ""bn"")"),"শান্তিপূর্ণ দেশ")</f>
        <v>শান্তিপূর্ণ দেশ</v>
      </c>
    </row>
    <row r="2915">
      <c r="A2915" s="2" t="s">
        <v>998</v>
      </c>
      <c r="B2915" s="3" t="str">
        <f>IFERROR(__xludf.DUMMYFUNCTION("GOOGLETRANSLATE(A2915, ""ar"", ""bn"")"),"পররাষ্ট্র বিশেষাধিকার")</f>
        <v>পররাষ্ট্র বিশেষাধিকার</v>
      </c>
    </row>
    <row r="2916">
      <c r="A2916" s="2" t="s">
        <v>765</v>
      </c>
      <c r="B2916" s="3" t="str">
        <f>IFERROR(__xludf.DUMMYFUNCTION("GOOGLETRANSLATE(A2916, ""ar"", ""bn"")"),"কূটনৈতিক বিশেষাধিকার")</f>
        <v>কূটনৈতিক বিশেষাধিকার</v>
      </c>
    </row>
    <row r="2917">
      <c r="A2917" s="2" t="s">
        <v>1481</v>
      </c>
      <c r="B2917" s="3" t="str">
        <f>IFERROR(__xludf.DUMMYFUNCTION("GOOGLETRANSLATE(A2917, ""ar"", ""bn"")"),"মিনিস্টিরিয়াল বিশেষাধিকার")</f>
        <v>মিনিস্টিরিয়াল বিশেষাধিকার</v>
      </c>
    </row>
    <row r="2918">
      <c r="A2918" s="2" t="s">
        <v>2649</v>
      </c>
      <c r="B2918" s="3" t="str">
        <f>IFERROR(__xludf.DUMMYFUNCTION("GOOGLETRANSLATE(A2918, ""ar"", ""bn"")"),"যুদ্ধের গৌরব")</f>
        <v>যুদ্ধের গৌরব</v>
      </c>
    </row>
    <row r="2919">
      <c r="A2919" s="2" t="s">
        <v>2248</v>
      </c>
      <c r="B2919" s="3" t="str">
        <f>IFERROR(__xludf.DUMMYFUNCTION("GOOGLETRANSLATE(A2919, ""ar"", ""bn"")"),"নিরাপত্তা")</f>
        <v>নিরাপত্তা</v>
      </c>
    </row>
    <row r="2920">
      <c r="A2920" s="2" t="s">
        <v>2252</v>
      </c>
      <c r="B2920" s="3" t="str">
        <f>IFERROR(__xludf.DUMMYFUNCTION("GOOGLETRANSLATE(A2920, ""ar"", ""bn"")"),"তথ্য নিরাপত্তা")</f>
        <v>তথ্য নিরাপত্তা</v>
      </c>
    </row>
    <row r="2921">
      <c r="A2921" s="2" t="s">
        <v>2041</v>
      </c>
      <c r="B2921" s="3" t="str">
        <f>IFERROR(__xludf.DUMMYFUNCTION("GOOGLETRANSLATE(A2921, ""ar"", ""bn"")"),"সাধারণ নিরাপত্তা")</f>
        <v>সাধারণ নিরাপত্তা</v>
      </c>
    </row>
    <row r="2922">
      <c r="A2922" s="2" t="s">
        <v>2516</v>
      </c>
      <c r="B2922" s="3" t="str">
        <f>IFERROR(__xludf.DUMMYFUNCTION("GOOGLETRANSLATE(A2922, ""ar"", ""bn"")"),"সর্বসম্মতিক্রমে নির্বাচিত")</f>
        <v>সর্বসম্মতিক্রমে নির্বাচিত</v>
      </c>
    </row>
    <row r="2923">
      <c r="A2923" s="2" t="s">
        <v>833</v>
      </c>
      <c r="B2923" s="3" t="str">
        <f>IFERROR(__xludf.DUMMYFUNCTION("GOOGLETRANSLATE(A2923, ""ar"", ""bn"")"),"সংখ্যাগরিষ্ঠতা নির্বাচন")</f>
        <v>সংখ্যাগরিষ্ঠতা নির্বাচন</v>
      </c>
    </row>
    <row r="2924">
      <c r="A2924" s="2" t="s">
        <v>836</v>
      </c>
      <c r="B2924" s="3" t="str">
        <f>IFERROR(__xludf.DUMMYFUNCTION("GOOGLETRANSLATE(A2924, ""ar"", ""bn"")"),"নির্বাচনে")</f>
        <v>নির্বাচনে</v>
      </c>
    </row>
    <row r="2925">
      <c r="A2925" s="2" t="s">
        <v>1718</v>
      </c>
      <c r="B2925" s="3" t="str">
        <f>IFERROR(__xludf.DUMMYFUNCTION("GOOGLETRANSLATE(A2925, ""ar"", ""bn"")"),"সংসদ নির্বাচনে")</f>
        <v>সংসদ নির্বাচনে</v>
      </c>
    </row>
    <row r="2926">
      <c r="A2926" s="2" t="s">
        <v>1353</v>
      </c>
      <c r="B2926" s="3" t="str">
        <f>IFERROR(__xludf.DUMMYFUNCTION("GOOGLETRANSLATE(A2926, ""ar"", ""bn"")"),"লেজিসলেটিভ নির্বাচনে")</f>
        <v>লেজিসলেটিভ নির্বাচনে</v>
      </c>
    </row>
    <row r="2927">
      <c r="A2927" s="2" t="s">
        <v>1027</v>
      </c>
      <c r="B2927" s="3" t="str">
        <f>IFERROR(__xludf.DUMMYFUNCTION("GOOGLETRANSLATE(A2927, ""ar"", ""bn"")"),"ফ্রি ইলেকশনস")</f>
        <v>ফ্রি ইলেকশনস</v>
      </c>
    </row>
    <row r="2928">
      <c r="A2928" s="2" t="s">
        <v>555</v>
      </c>
      <c r="B2928" s="3" t="str">
        <f>IFERROR(__xludf.DUMMYFUNCTION("GOOGLETRANSLATE(A2928, ""ar"", ""bn"")"),"সাংবিধানিক নির্বাচনের")</f>
        <v>সাংবিধানিক নির্বাচনের</v>
      </c>
    </row>
    <row r="2929">
      <c r="A2929" s="2" t="s">
        <v>677</v>
      </c>
      <c r="B2929" s="3" t="str">
        <f>IFERROR(__xludf.DUMMYFUNCTION("GOOGLETRANSLATE(A2929, ""ar"", ""bn"")"),"গণতান্ত্রিক নির্বাচনে")</f>
        <v>গণতান্ত্রিক নির্বাচনে</v>
      </c>
    </row>
    <row r="2930">
      <c r="A2930" s="2" t="s">
        <v>1026</v>
      </c>
      <c r="B2930" s="3" t="str">
        <f>IFERROR(__xludf.DUMMYFUNCTION("GOOGLETRANSLATE(A2930, ""ar"", ""bn"")"),"Mzo রহঃ নির্বাচনে")</f>
        <v>Mzo রহঃ নির্বাচনে</v>
      </c>
    </row>
    <row r="2931">
      <c r="A2931" s="2" t="s">
        <v>1418</v>
      </c>
      <c r="B2931" s="3" t="str">
        <f>IFERROR(__xludf.DUMMYFUNCTION("GOOGLETRANSLATE(A2931, ""ar"", ""bn"")"),"হুকুম")</f>
        <v>হুকুম</v>
      </c>
    </row>
    <row r="2932">
      <c r="A2932" s="2" t="s">
        <v>716</v>
      </c>
      <c r="B2932" s="3" t="str">
        <f>IFERROR(__xludf.DUMMYFUNCTION("GOOGLETRANSLATE(A2932, ""ar"", ""bn"")"),"যুক্তরাষ্ট্র মধ্যে তথ্য বিস্তার")</f>
        <v>যুক্তরাষ্ট্র মধ্যে তথ্য বিস্তার</v>
      </c>
    </row>
    <row r="2933">
      <c r="A2933" s="2" t="s">
        <v>2502</v>
      </c>
      <c r="B2933" s="3" t="str">
        <f>IFERROR(__xludf.DUMMYFUNCTION("GOOGLETRANSLATE(A2933, ""ar"", ""bn"")"),"বিজয়")</f>
        <v>বিজয়</v>
      </c>
    </row>
    <row r="2934">
      <c r="A2934" s="2" t="s">
        <v>2653</v>
      </c>
      <c r="B2934" s="3" t="str">
        <f>IFERROR(__xludf.DUMMYFUNCTION("GOOGLETRANSLATE(A2934, ""ar"", ""bn"")"),"জয়লাভ যুদ্ধ")</f>
        <v>জয়লাভ যুদ্ধ</v>
      </c>
    </row>
    <row r="2935">
      <c r="A2935" s="2" t="s">
        <v>1920</v>
      </c>
      <c r="B2935" s="3" t="str">
        <f>IFERROR(__xludf.DUMMYFUNCTION("GOOGLETRANSLATE(A2935, ""ar"", ""bn"")"),"জনপ্রিয় বিদ্রোহ")</f>
        <v>জনপ্রিয় বিদ্রোহ</v>
      </c>
    </row>
    <row r="2936">
      <c r="A2936" s="2" t="s">
        <v>2492</v>
      </c>
      <c r="B2936" s="3" t="str">
        <f>IFERROR(__xludf.DUMMYFUNCTION("GOOGLETRANSLATE(A2936, ""ar"", ""bn"")"),"দেশের মধ্যে তথ্য প্রেরণ")</f>
        <v>দেশের মধ্যে তথ্য প্রেরণ</v>
      </c>
    </row>
    <row r="2937">
      <c r="A2937" s="2" t="s">
        <v>1688</v>
      </c>
      <c r="B2937" s="3" t="str">
        <f>IFERROR(__xludf.DUMMYFUNCTION("GOOGLETRANSLATE(A2937, ""ar"", ""bn"")"),"সুবিধাবাদ")</f>
        <v>সুবিধাবাদ</v>
      </c>
    </row>
    <row r="2938">
      <c r="A2938" s="2" t="s">
        <v>1538</v>
      </c>
      <c r="B2938" s="3" t="str">
        <f>IFERROR(__xludf.DUMMYFUNCTION("GOOGLETRANSLATE(A2938, ""ar"", ""bn"")"),"অপবিত্রকরণ")</f>
        <v>অপবিত্রকরণ</v>
      </c>
    </row>
    <row r="2939">
      <c r="A2939" s="2" t="s">
        <v>2601</v>
      </c>
      <c r="B2939" s="3" t="str">
        <f>IFERROR(__xludf.DUMMYFUNCTION("GOOGLETRANSLATE(A2939, ""ar"", ""bn"")"),"রাজনৈতিক স্বাধীনতা ডেটা লঙ্ঘন")</f>
        <v>রাজনৈতিক স্বাধীনতা ডেটা লঙ্ঘন</v>
      </c>
    </row>
    <row r="2940">
      <c r="A2940" s="2" t="s">
        <v>2598</v>
      </c>
      <c r="B2940" s="3" t="str">
        <f>IFERROR(__xludf.DUMMYFUNCTION("GOOGLETRANSLATE(A2940, ""ar"", ""bn"")"),"পৃথক স্বাধীনতা লঙ্ঘন")</f>
        <v>পৃথক স্বাধীনতা লঙ্ঘন</v>
      </c>
    </row>
    <row r="2941">
      <c r="A2941" s="2" t="s">
        <v>2597</v>
      </c>
      <c r="B2941" s="3" t="str">
        <f>IFERROR(__xludf.DUMMYFUNCTION("GOOGLETRANSLATE(A2941, ""ar"", ""bn"")"),"মানবাধিকার লঙ্ঘন")</f>
        <v>মানবাধিকার লঙ্ঘন</v>
      </c>
    </row>
    <row r="2942">
      <c r="A2942" s="2" t="s">
        <v>2340</v>
      </c>
      <c r="B2942" s="3" t="str">
        <f>IFERROR(__xludf.DUMMYFUNCTION("GOOGLETRANSLATE(A2942, ""ar"", ""bn"")"),"রাজ্যের অধঃপতন")</f>
        <v>রাজ্যের অধঃপতন</v>
      </c>
    </row>
    <row r="2943">
      <c r="A2943" s="2" t="s">
        <v>214</v>
      </c>
      <c r="B2943" s="3" t="str">
        <f>IFERROR(__xludf.DUMMYFUNCTION("GOOGLETRANSLATE(A2943, ""ar"", ""bn"")"),"পক্ষপাত")</f>
        <v>পক্ষপাত</v>
      </c>
    </row>
    <row r="2944">
      <c r="A2944" s="2" t="s">
        <v>2511</v>
      </c>
      <c r="B2944" s="3" t="str">
        <f>IFERROR(__xludf.DUMMYFUNCTION("GOOGLETRANSLATE(A2944, ""ar"", ""bn"")"),"সতর্কতা")</f>
        <v>সতর্কতা</v>
      </c>
    </row>
    <row r="2945">
      <c r="A2945" s="2" t="s">
        <v>928</v>
      </c>
      <c r="B2945" s="3" t="str">
        <f>IFERROR(__xludf.DUMMYFUNCTION("GOOGLETRANSLATE(A2945, ""ar"", ""bn"")"),"এক্সপেরিমেন্টাল বিপদাশঙ্কা")</f>
        <v>এক্সপেরিমেন্টাল বিপদাশঙ্কা</v>
      </c>
    </row>
    <row r="2946">
      <c r="A2946" s="2" t="s">
        <v>1021</v>
      </c>
      <c r="B2946" s="3" t="str">
        <f>IFERROR(__xludf.DUMMYFUNCTION("GOOGLETRANSLATE(A2946, ""ar"", ""bn"")"),"এক কর্মকর্তা সতর্কবার্তা")</f>
        <v>এক কর্মকর্তা সতর্কবার্তা</v>
      </c>
    </row>
    <row r="2947">
      <c r="A2947" s="2" t="s">
        <v>962</v>
      </c>
      <c r="B2947" s="3" t="str">
        <f>IFERROR(__xludf.DUMMYFUNCTION("GOOGLETRANSLATE(A2947, ""ar"", ""bn"")"),"মিথ্যা সংকেত")</f>
        <v>মিথ্যা সংকেত</v>
      </c>
    </row>
    <row r="2948">
      <c r="A2948" s="2" t="s">
        <v>1524</v>
      </c>
      <c r="B2948" s="3" t="str">
        <f>IFERROR(__xludf.DUMMYFUNCTION("GOOGLETRANSLATE(A2948, ""ar"", ""bn"")"),"মিথ্যা সংকেত")</f>
        <v>মিথ্যা সংকেত</v>
      </c>
    </row>
    <row r="2949">
      <c r="A2949" s="2" t="s">
        <v>985</v>
      </c>
      <c r="B2949" s="3" t="str">
        <f>IFERROR(__xludf.DUMMYFUNCTION("GOOGLETRANSLATE(A2949, ""ar"", ""bn"")"),"চূড়ান্ত সতর্কবার্তা")</f>
        <v>চূড়ান্ত সতর্কবার্তা</v>
      </c>
    </row>
    <row r="2950">
      <c r="A2950" s="2" t="s">
        <v>537</v>
      </c>
      <c r="B2950" s="3" t="str">
        <f>IFERROR(__xludf.DUMMYFUNCTION("GOOGLETRANSLATE(A2950, ""ar"", ""bn"")"),"হারমনি রাজনৈতিক মতামত")</f>
        <v>হারমনি রাজনৈতিক মতামত</v>
      </c>
    </row>
    <row r="2951">
      <c r="A2951" s="2" t="s">
        <v>2671</v>
      </c>
      <c r="B2951" s="3" t="str">
        <f>IFERROR(__xludf.DUMMYFUNCTION("GOOGLETRANSLATE(A2951, ""ar"", ""bn"")"),"ফোর্সেস বিদেশী তথ্য প্রত্যাহারের")</f>
        <v>ফোর্সেস বিদেশী তথ্য প্রত্যাহারের</v>
      </c>
    </row>
    <row r="2952">
      <c r="A2952" s="2" t="s">
        <v>2726</v>
      </c>
      <c r="B2952" s="3" t="str">
        <f>IFERROR(__xludf.DUMMYFUNCTION("GOOGLETRANSLATE(A2952, ""ar"", ""bn"")"),"সামরিক তথ্য গু একটি আংশিক প্রত্যাহার")</f>
        <v>সামরিক তথ্য গু একটি আংশিক প্রত্যাহার</v>
      </c>
    </row>
    <row r="2953">
      <c r="A2953" s="2" t="s">
        <v>2727</v>
      </c>
      <c r="B2953" s="3" t="str">
        <f>IFERROR(__xludf.DUMMYFUNCTION("GOOGLETRANSLATE(A2953, ""ar"", ""bn"")"),"সামরিক তথ্য গু এর সুষম প্রত্যাহার")</f>
        <v>সামরিক তথ্য গু এর সুষম প্রত্যাহার</v>
      </c>
    </row>
    <row r="2954">
      <c r="A2954" s="2" t="s">
        <v>1086</v>
      </c>
      <c r="B2954" s="3" t="str">
        <f>IFERROR(__xludf.DUMMYFUNCTION("GOOGLETRANSLATE(A2954, ""ar"", ""bn"")"),"হাফ-সমাধান")</f>
        <v>হাফ-সমাধান</v>
      </c>
    </row>
    <row r="2955">
      <c r="A2955" s="2" t="s">
        <v>156</v>
      </c>
      <c r="B2955" s="3" t="str">
        <f>IFERROR(__xludf.DUMMYFUNCTION("GOOGLETRANSLATE(A2955, ""ar"", ""bn"")"),"জোট যোগদান")</f>
        <v>জোট যোগদান</v>
      </c>
    </row>
    <row r="2956">
      <c r="A2956" s="2" t="s">
        <v>574</v>
      </c>
      <c r="B2956" s="3" t="str">
        <f>IFERROR(__xludf.DUMMYFUNCTION("GOOGLETRANSLATE(A2956, ""ar"", ""bn"")"),"সমসাময়িক রাজনৈতিক ব্যবস্থা")</f>
        <v>সমসাময়িক রাজনৈতিক ব্যবস্থা</v>
      </c>
    </row>
    <row r="2957">
      <c r="A2957" s="2" t="s">
        <v>147</v>
      </c>
      <c r="B2957" s="3" t="str">
        <f>IFERROR(__xludf.DUMMYFUNCTION("GOOGLETRANSLATE(A2957, ""ar"", ""bn"")"),"বিশ্বাসযোগ্যতা অভাব")</f>
        <v>বিশ্বাসযোগ্যতা অভাব</v>
      </c>
    </row>
    <row r="2958">
      <c r="A2958" s="2" t="s">
        <v>1635</v>
      </c>
      <c r="B2958" s="3" t="str">
        <f>IFERROR(__xludf.DUMMYFUNCTION("GOOGLETRANSLATE(A2958, ""ar"", ""bn"")"),"পারমাণবিক বিস্ফোরণ")</f>
        <v>পারমাণবিক বিস্ফোরণ</v>
      </c>
    </row>
    <row r="2959">
      <c r="A2959" s="2" t="s">
        <v>2272</v>
      </c>
      <c r="B2959" s="3" t="str">
        <f>IFERROR(__xludf.DUMMYFUNCTION("GOOGLETRANSLATE(A2959, ""ar"", ""bn"")"),"বিচ্ছিন্নতাবাদী")</f>
        <v>বিচ্ছিন্নতাবাদী</v>
      </c>
    </row>
    <row r="2960">
      <c r="A2960" s="2" t="s">
        <v>2271</v>
      </c>
      <c r="B2960" s="3" t="str">
        <f>IFERROR(__xludf.DUMMYFUNCTION("GOOGLETRANSLATE(A2960, ""ar"", ""bn"")"),"বিচ্ছিন্নতাবাদ")</f>
        <v>বিচ্ছিন্নতাবাদ</v>
      </c>
    </row>
    <row r="2961">
      <c r="A2961" s="2" t="s">
        <v>610</v>
      </c>
      <c r="B2961" s="3" t="str">
        <f>IFERROR(__xludf.DUMMYFUNCTION("GOOGLETRANSLATE(A2961, ""ar"", ""bn"")"),"ঘা")</f>
        <v>ঘা</v>
      </c>
    </row>
    <row r="2962">
      <c r="A2962" s="2" t="s">
        <v>2728</v>
      </c>
      <c r="B2962" s="3" t="str">
        <f>IFERROR(__xludf.DUMMYFUNCTION("GOOGLETRANSLATE(A2962, ""ar"", ""bn"")"),"একটি ব্যর্থ অভ্যুত্থানের")</f>
        <v>একটি ব্যর্থ অভ্যুত্থানের</v>
      </c>
    </row>
    <row r="2963">
      <c r="A2963" s="2" t="s">
        <v>645</v>
      </c>
      <c r="B2963" s="3" t="str">
        <f>IFERROR(__xludf.DUMMYFUNCTION("GOOGLETRANSLATE(A2963, ""ar"", ""bn"")"),"বৃত্তি সমাপ্তি")</f>
        <v>বৃত্তি সমাপ্তি</v>
      </c>
    </row>
    <row r="2964">
      <c r="A2964" s="2" t="s">
        <v>636</v>
      </c>
      <c r="B2964" s="3" t="str">
        <f>IFERROR(__xludf.DUMMYFUNCTION("GOOGLETRANSLATE(A2964, ""ar"", ""bn"")"),"রাজনৈতিক বন্দীদের অপমানজনক")</f>
        <v>রাজনৈতিক বন্দীদের অপমানজনক</v>
      </c>
    </row>
    <row r="2965">
      <c r="A2965" s="2" t="s">
        <v>2343</v>
      </c>
      <c r="B2965" s="3" t="str">
        <f>IFERROR(__xludf.DUMMYFUNCTION("GOOGLETRANSLATE(A2965, ""ar"", ""bn"")"),"রাজ্যের গোল")</f>
        <v>রাজ্যের গোল</v>
      </c>
    </row>
    <row r="2966">
      <c r="A2966" s="2" t="s">
        <v>1844</v>
      </c>
      <c r="B2966" s="3" t="str">
        <f>IFERROR(__xludf.DUMMYFUNCTION("GOOGLETRANSLATE(A2966, ""ar"", ""bn"")"),"রাজনৈতিক গোল")</f>
        <v>রাজনৈতিক গোল</v>
      </c>
    </row>
    <row r="2967">
      <c r="A2967" s="2" t="s">
        <v>1473</v>
      </c>
      <c r="B2967" s="3" t="str">
        <f>IFERROR(__xludf.DUMMYFUNCTION("GOOGLETRANSLATE(A2967, ""ar"", ""bn"")"),"সেনাবাহিনী লক্ষ্যমাত্রা")</f>
        <v>সেনাবাহিনী লক্ষ্যমাত্রা</v>
      </c>
    </row>
    <row r="2968">
      <c r="A2968" s="2" t="s">
        <v>846</v>
      </c>
      <c r="B2968" s="3" t="str">
        <f>IFERROR(__xludf.DUMMYFUNCTION("GOOGLETRANSLATE(A2968, ""ar"", ""bn"")"),"যোগ্যতা নির্বাচনের জন্য দাঁড়ানো")</f>
        <v>যোগ্যতা নির্বাচনের জন্য দাঁড়ানো</v>
      </c>
    </row>
    <row r="2969">
      <c r="A2969" s="2" t="s">
        <v>1701</v>
      </c>
      <c r="B2969" s="3" t="str">
        <f>IFERROR(__xludf.DUMMYFUNCTION("GOOGLETRANSLATE(A2969, ""ar"", ""bn"")"),"পরবর্তী ঘোষণা না হওয়া পর্যন্ত অর্ডার")</f>
        <v>পরবর্তী ঘোষণা না হওয়া পর্যন্ত অর্ডার</v>
      </c>
    </row>
    <row r="2970">
      <c r="A2970" s="2" t="s">
        <v>1212</v>
      </c>
      <c r="B2970" s="3" t="str">
        <f>IFERROR(__xludf.DUMMYFUNCTION("GOOGLETRANSLATE(A2970, ""ar"", ""bn"")"),"আন্তর্জাতিক আদেশ")</f>
        <v>আন্তর্জাতিক আদেশ</v>
      </c>
    </row>
    <row r="2971">
      <c r="A2971" s="2" t="s">
        <v>2322</v>
      </c>
      <c r="B2971" s="3" t="str">
        <f>IFERROR(__xludf.DUMMYFUNCTION("GOOGLETRANSLATE(A2971, ""ar"", ""bn"")"),"কার্যকরী বৈধ আদেশ")</f>
        <v>কার্যকরী বৈধ আদেশ</v>
      </c>
    </row>
    <row r="2972">
      <c r="A2972" s="2" t="s">
        <v>779</v>
      </c>
      <c r="B2972" s="3" t="str">
        <f>IFERROR(__xludf.DUMMYFUNCTION("GOOGLETRANSLATE(A2972, ""ar"", ""bn"")"),"সরাসরি আদেশ")</f>
        <v>সরাসরি আদেশ</v>
      </c>
    </row>
    <row r="2973">
      <c r="A2973" s="2" t="s">
        <v>2625</v>
      </c>
      <c r="B2973" s="3" t="str">
        <f>IFERROR(__xludf.DUMMYFUNCTION("GOOGLETRANSLATE(A2973, ""ar"", ""bn"")"),"ভোটিং কাগজপত্র")</f>
        <v>ভোটিং কাগজপত্র</v>
      </c>
    </row>
    <row r="2974">
      <c r="A2974" s="2" t="s">
        <v>2050</v>
      </c>
      <c r="B2974" s="3" t="str">
        <f>IFERROR(__xludf.DUMMYFUNCTION("GOOGLETRANSLATE(A2974, ""ar"", ""bn"")"),"কূটনৈতিক চেনাশোনা তাকে যোগ্য")</f>
        <v>কূটনৈতিক চেনাশোনা তাকে যোগ্য</v>
      </c>
    </row>
    <row r="2975">
      <c r="A2975" s="2" t="s">
        <v>1211</v>
      </c>
      <c r="B2975" s="3" t="str">
        <f>IFERROR(__xludf.DUMMYFUNCTION("GOOGLETRANSLATE(A2975, ""ar"", ""bn"")"),"আন্তর্জাতিক সম্প্রদায়")</f>
        <v>আন্তর্জাতিক সম্প্রদায়</v>
      </c>
    </row>
    <row r="2976">
      <c r="A2976" s="2" t="s">
        <v>2657</v>
      </c>
      <c r="B2976" s="3" t="str">
        <f>IFERROR(__xludf.DUMMYFUNCTION("GOOGLETRANSLATE(A2976, ""ar"", ""bn"")"),"আন্তর্জাতিক সম্প্রদায় জ বছর দেখার")</f>
        <v>আন্তর্জাতিক সম্প্রদায় জ বছর দেখার</v>
      </c>
    </row>
    <row r="2977">
      <c r="A2977" s="2" t="s">
        <v>1805</v>
      </c>
      <c r="B2977" s="3" t="str">
        <f>IFERROR(__xludf.DUMMYFUNCTION("GOOGLETRANSLATE(A2977, ""ar"", ""bn"")"),"রাজনৈতিক চেনাশোনা")</f>
        <v>রাজনৈতিক চেনাশোনা</v>
      </c>
    </row>
    <row r="2978">
      <c r="A2978" s="2" t="s">
        <v>1175</v>
      </c>
      <c r="B2978" s="3" t="str">
        <f>IFERROR(__xludf.DUMMYFUNCTION("GOOGLETRANSLATE(A2978, ""ar"", ""bn"")"),"ওয়াকিবহাল চেনাশোনা")</f>
        <v>ওয়াকিবহাল চেনাশোনা</v>
      </c>
    </row>
    <row r="2979">
      <c r="A2979" s="2" t="s">
        <v>1078</v>
      </c>
      <c r="B2979" s="3" t="str">
        <f>IFERROR(__xludf.DUMMYFUNCTION("GOOGLETRANSLATE(A2979, ""ar"", ""bn"")"),"গুরুতর মানবিক অবস্থা")</f>
        <v>গুরুতর মানবিক অবস্থা</v>
      </c>
    </row>
    <row r="2980">
      <c r="A2980" s="2" t="s">
        <v>2487</v>
      </c>
      <c r="B2980" s="3" t="str">
        <f>IFERROR(__xludf.DUMMYFUNCTION("GOOGLETRANSLATE(A2980, ""ar"", ""bn"")"),"মানবিক পরিস্থিতি দুঃখজনক")</f>
        <v>মানবিক পরিস্থিতি দুঃখজনক</v>
      </c>
    </row>
    <row r="2981">
      <c r="A2981" s="2" t="s">
        <v>1935</v>
      </c>
      <c r="B2981" s="3" t="str">
        <f>IFERROR(__xludf.DUMMYFUNCTION("GOOGLETRANSLATE(A2981, ""ar"", ""bn"")"),"উপর ইয়ে অগ্রাধিকার")</f>
        <v>উপর ইয়ে অগ্রাধিকার</v>
      </c>
    </row>
    <row r="2982">
      <c r="A2982" s="2" t="s">
        <v>2419</v>
      </c>
      <c r="B2982" s="3" t="str">
        <f>IFERROR(__xludf.DUMMYFUNCTION("GOOGLETRANSLATE(A2982, ""ar"", ""bn"")"),"স্টপ বিমান হামলা")</f>
        <v>স্টপ বিমান হামলা</v>
      </c>
    </row>
    <row r="2983">
      <c r="A2983" s="2" t="s">
        <v>2094</v>
      </c>
      <c r="B2983" s="3" t="str">
        <f>IFERROR(__xludf.DUMMYFUNCTION("GOOGLETRANSLATE(A2983, ""ar"", ""bn"")"),"আন্তর্জাতিক আইন রেফারেন্স দিয়ে")</f>
        <v>আন্তর্জাতিক আইন রেফারেন্স দিয়ে</v>
      </c>
    </row>
    <row r="2984">
      <c r="A2984" s="2" t="s">
        <v>1671</v>
      </c>
      <c r="B2984" s="3" t="str">
        <f>IFERROR(__xludf.DUMMYFUNCTION("GOOGLETRANSLATE(A2984, ""ar"", ""bn"")"),"সরকারী হিসাবে")</f>
        <v>সরকারী হিসাবে</v>
      </c>
    </row>
    <row r="2985">
      <c r="A2985" s="2" t="s">
        <v>1676</v>
      </c>
      <c r="B2985" s="3" t="str">
        <f>IFERROR(__xludf.DUMMYFUNCTION("GOOGLETRANSLATE(A2985, ""ar"", ""bn"")"),"আমার সহকর্মীরা পক্ষ থেকে")</f>
        <v>আমার সহকর্মীরা পক্ষ থেকে</v>
      </c>
    </row>
    <row r="2986">
      <c r="A2986" s="2" t="s">
        <v>1762</v>
      </c>
      <c r="B2986" s="3" t="str">
        <f>IFERROR(__xludf.DUMMYFUNCTION("GOOGLETRANSLATE(A2986, ""ar"", ""bn"")"),"পক্ষে")</f>
        <v>পক্ষে</v>
      </c>
    </row>
    <row r="2987">
      <c r="A2987" s="2" t="s">
        <v>2152</v>
      </c>
      <c r="B2987" s="3" t="str">
        <f>IFERROR(__xludf.DUMMYFUNCTION("GOOGLETRANSLATE(A2987, ""ar"", ""bn"")"),"সংরক্ষিতভাবে")</f>
        <v>সংরক্ষিতভাবে</v>
      </c>
    </row>
    <row r="2988">
      <c r="A2988" s="2" t="s">
        <v>2673</v>
      </c>
      <c r="B2988" s="3" t="str">
        <f>IFERROR(__xludf.DUMMYFUNCTION("GOOGLETRANSLATE(A2988, ""ar"", ""bn"")"),"কোন দেরী না করে")</f>
        <v>কোন দেরী না করে</v>
      </c>
    </row>
    <row r="2989">
      <c r="A2989" s="2" t="s">
        <v>2674</v>
      </c>
      <c r="B2989" s="3" t="str">
        <f>IFERROR(__xludf.DUMMYFUNCTION("GOOGLETRANSLATE(A2989, ""ar"", ""bn"")"),"রিজার্ভেশন ছাড়া")</f>
        <v>রিজার্ভেশন ছাড়া</v>
      </c>
    </row>
    <row r="2990">
      <c r="A2990" s="2" t="s">
        <v>2672</v>
      </c>
      <c r="B2990" s="3" t="str">
        <f>IFERROR(__xludf.DUMMYFUNCTION("GOOGLETRANSLATE(A2990, ""ar"", ""bn"")"),"নিঃসন্দেহে")</f>
        <v>নিঃসন্দেহে</v>
      </c>
    </row>
    <row r="2991">
      <c r="A2991" s="2" t="s">
        <v>2400</v>
      </c>
      <c r="B2991" s="3" t="str">
        <f>IFERROR(__xludf.DUMMYFUNCTION("GOOGLETRANSLATE(A2991, ""ar"", ""bn"")"),"কনত্রোলটাওয়ার")</f>
        <v>কনত্রোলটাওয়ার</v>
      </c>
    </row>
    <row r="2992">
      <c r="A2992" s="2" t="s">
        <v>757</v>
      </c>
      <c r="B2992" s="3" t="str">
        <f>IFERROR(__xludf.DUMMYFUNCTION("GOOGLETRANSLATE(A2992, ""ar"", ""bn"")"),"কূটনৈতিক মিশন প্রোগ্রাম")</f>
        <v>কূটনৈতিক মিশন প্রোগ্রাম</v>
      </c>
    </row>
    <row r="2993">
      <c r="A2993" s="2" t="s">
        <v>588</v>
      </c>
      <c r="B2993" s="3" t="str">
        <f>IFERROR(__xludf.DUMMYFUNCTION("GOOGLETRANSLATE(A2993, ""ar"", ""bn"")"),"ডকুমেন্ট চুক্তি প্রটোকল")</f>
        <v>ডকুমেন্ট চুক্তি প্রটোকল</v>
      </c>
    </row>
    <row r="2994">
      <c r="A2994" s="2" t="s">
        <v>751</v>
      </c>
      <c r="B2994" s="3" t="str">
        <f>IFERROR(__xludf.DUMMYFUNCTION("GOOGLETRANSLATE(A2994, ""ar"", ""bn"")"),"কূটনীতিক")</f>
        <v>কূটনীতিক</v>
      </c>
    </row>
    <row r="2995">
      <c r="A2995" s="2" t="s">
        <v>215</v>
      </c>
      <c r="B2995" s="3" t="str">
        <f>IFERROR(__xludf.DUMMYFUNCTION("GOOGLETRANSLATE(A2995, ""ar"", ""bn"")"),"মানুষের অধিকার সমান")</f>
        <v>মানুষের অধিকার সমান</v>
      </c>
    </row>
    <row r="2996">
      <c r="A2996" s="2" t="s">
        <v>216</v>
      </c>
      <c r="B2996" s="3" t="str">
        <f>IFERROR(__xludf.DUMMYFUNCTION("GOOGLETRANSLATE(A2996, ""ar"", ""bn"")"),"ও কর্তব্য")</f>
        <v>ও কর্তব্য</v>
      </c>
    </row>
    <row r="2997">
      <c r="A2997" s="2" t="s">
        <v>2729</v>
      </c>
      <c r="B2997" s="3" t="str">
        <f>IFERROR(__xludf.DUMMYFUNCTION("GOOGLETRANSLATE(A2997, ""ar"", ""bn"")"),"বস রাজনৈতিক পরিস্থিতি বিবেচনায়")</f>
        <v>বস রাজনৈতিক পরিস্থিতি বিবেচনায়</v>
      </c>
    </row>
    <row r="2998">
      <c r="A2998" s="2" t="s">
        <v>1673</v>
      </c>
      <c r="B2998" s="3" t="str">
        <f>IFERROR(__xludf.DUMMYFUNCTION("GOOGLETRANSLATE(A2998, ""ar"", ""bn"")"),"একটি উপদেষ্টা ধারণক্ষমতা ইন")</f>
        <v>একটি উপদেষ্টা ধারণক্ষমতা ইন</v>
      </c>
    </row>
    <row r="2999">
      <c r="A2999" s="2" t="s">
        <v>286</v>
      </c>
      <c r="B2999" s="3" t="str">
        <f>IFERROR(__xludf.DUMMYFUNCTION("GOOGLETRANSLATE(A2999, ""ar"", ""bn"")"),"একটি পর্যবেক্ষক হিসেবে")</f>
        <v>একটি পর্যবেক্ষক হিসেবে</v>
      </c>
    </row>
    <row r="3000">
      <c r="A3000" s="2" t="s">
        <v>1767</v>
      </c>
      <c r="B3000" s="3" t="str">
        <f>IFERROR(__xludf.DUMMYFUNCTION("GOOGLETRANSLATE(A3000, ""ar"", ""bn"")"),"একটি স্থায়ী কূটনৈতিক মিশন")</f>
        <v>একটি স্থায়ী কূটনৈতিক মিশন</v>
      </c>
    </row>
    <row r="3001">
      <c r="A3001" s="2" t="s">
        <v>1116</v>
      </c>
      <c r="B3001" s="3" t="str">
        <f>IFERROR(__xludf.DUMMYFUNCTION("GOOGLETRANSLATE(A3001, ""ar"", ""bn"")"),"শরাফ মিশন")</f>
        <v>শরাফ মিশন</v>
      </c>
    </row>
    <row r="3002">
      <c r="A3002" s="2" t="s">
        <v>2415</v>
      </c>
      <c r="B3002" s="3" t="str">
        <f>IFERROR(__xludf.DUMMYFUNCTION("GOOGLETRANSLATE(A3002, ""ar"", ""bn"")"),"যোগ্যতমের বেঁচে থাকা")</f>
        <v>যোগ্যতমের বেঁচে থাকা</v>
      </c>
    </row>
    <row r="3003">
      <c r="A3003" s="2" t="s">
        <v>1119</v>
      </c>
      <c r="B3003" s="3" t="str">
        <f>IFERROR(__xludf.DUMMYFUNCTION("GOOGLETRANSLATE(A3003, ""ar"", ""bn"")"),"দেশ Almamadev")</f>
        <v>দেশ Almamadev</v>
      </c>
    </row>
    <row r="3004">
      <c r="A3004" s="2" t="s">
        <v>2730</v>
      </c>
      <c r="B3004" s="3" t="str">
        <f>IFERROR(__xludf.DUMMYFUNCTION("GOOGLETRANSLATE(A3004, ""ar"", ""bn"")"),"দেশ Nkob")</f>
        <v>দেশ Nkob</v>
      </c>
    </row>
    <row r="3005">
      <c r="A3005" s="2" t="s">
        <v>159</v>
      </c>
      <c r="B3005" s="3" t="str">
        <f>IFERROR(__xludf.DUMMYFUNCTION("GOOGLETRANSLATE(A3005, ""ar"", ""bn"")"),"কূটনৈতিক নিয়ম অনুযায়ী")</f>
        <v>কূটনৈতিক নিয়ম অনুযায়ী</v>
      </c>
    </row>
    <row r="3006">
      <c r="A3006" s="2" t="s">
        <v>2531</v>
      </c>
      <c r="B3006" s="3" t="str">
        <f>IFERROR(__xludf.DUMMYFUNCTION("GOOGLETRANSLATE(A3006, ""ar"", ""bn"")"),"আন্তর্জাতিক আইন অনুযায়ী")</f>
        <v>আন্তর্জাতিক আইন অনুযায়ী</v>
      </c>
    </row>
    <row r="3007">
      <c r="A3007" s="2" t="s">
        <v>2239</v>
      </c>
      <c r="B3007" s="3" t="str">
        <f>IFERROR(__xludf.DUMMYFUNCTION("GOOGLETRANSLATE(A3007, ""ar"", ""bn"")"),"আলোচনা গোপন দফা")</f>
        <v>আলোচনা গোপন দফা</v>
      </c>
    </row>
    <row r="3008">
      <c r="A3008" s="2" t="s">
        <v>521</v>
      </c>
      <c r="B3008" s="3" t="str">
        <f>IFERROR(__xludf.DUMMYFUNCTION("GOOGLETRANSLATE(A3008, ""ar"", ""bn"")"),"পুলিশ আইটেমটি")</f>
        <v>পুলিশ আইটেমটি</v>
      </c>
    </row>
    <row r="3009">
      <c r="A3009" s="2" t="s">
        <v>2449</v>
      </c>
      <c r="B3009" s="3" t="str">
        <f>IFERROR(__xludf.DUMMYFUNCTION("GOOGLETRANSLATE(A3009, ""ar"", ""bn"")"),"আইটেম শুটিং")</f>
        <v>আইটেম শুটিং</v>
      </c>
    </row>
    <row r="3010">
      <c r="A3010" s="2" t="s">
        <v>2352</v>
      </c>
      <c r="B3010" s="3" t="str">
        <f>IFERROR(__xludf.DUMMYFUNCTION("GOOGLETRANSLATE(A3010, ""ar"", ""bn"")"),"Bmnip রাজ্যের")</f>
        <v>Bmnip রাজ্যের</v>
      </c>
    </row>
    <row r="3011">
      <c r="A3011" s="2" t="s">
        <v>1285</v>
      </c>
      <c r="B3011" s="3" t="str">
        <f>IFERROR(__xludf.DUMMYFUNCTION("GOOGLETRANSLATE(A3011, ""ar"", ""bn"")"),"পুলিশ আন্তর্জাতিক পুলিশ")</f>
        <v>পুলিশ আন্তর্জাতিক পুলিশ</v>
      </c>
    </row>
    <row r="3012">
      <c r="A3012" s="2" t="s">
        <v>2243</v>
      </c>
      <c r="B3012" s="3" t="str">
        <f>IFERROR(__xludf.DUMMYFUNCTION("GOOGLETRANSLATE(A3012, ""ar"", ""bn"")"),"পুলিশ গোপন পুলিশ জে")</f>
        <v>পুলিশ গোপন পুলিশ জে</v>
      </c>
    </row>
    <row r="3013">
      <c r="A3013" s="2" t="s">
        <v>601</v>
      </c>
      <c r="B3013" s="3" t="str">
        <f>IFERROR(__xludf.DUMMYFUNCTION("GOOGLETRANSLATE(A3013, ""ar"", ""bn"")"),"প্রতিনিধি পরিষদের বিবৃতি")</f>
        <v>প্রতিনিধি পরিষদের বিবৃতি</v>
      </c>
    </row>
    <row r="3014">
      <c r="A3014" s="2" t="s">
        <v>2335</v>
      </c>
      <c r="B3014" s="3" t="str">
        <f>IFERROR(__xludf.DUMMYFUNCTION("GOOGLETRANSLATE(A3014, ""ar"", ""bn"")"),"একটি সরকারী বিবৃতিতে")</f>
        <v>একটি সরকারী বিবৃতিতে</v>
      </c>
    </row>
    <row r="3015">
      <c r="A3015" s="2" t="s">
        <v>775</v>
      </c>
      <c r="B3015" s="3" t="str">
        <f>IFERROR(__xludf.DUMMYFUNCTION("GOOGLETRANSLATE(A3015, ""ar"", ""bn"")"),"কূটনৈতিক বিবৃতি")</f>
        <v>কূটনৈতিক বিবৃতি</v>
      </c>
    </row>
    <row r="3016">
      <c r="A3016" s="2" t="s">
        <v>1305</v>
      </c>
      <c r="B3016" s="3" t="str">
        <f>IFERROR(__xludf.DUMMYFUNCTION("GOOGLETRANSLATE(A3016, ""ar"", ""bn"")"),"কূটনৈতিক যৌথ বিবৃতিতে")</f>
        <v>কূটনৈতিক যৌথ বিবৃতিতে</v>
      </c>
    </row>
    <row r="3017">
      <c r="A3017" s="2" t="s">
        <v>512</v>
      </c>
      <c r="B3017" s="3" t="str">
        <f>IFERROR(__xludf.DUMMYFUNCTION("GOOGLETRANSLATE(A3017, ""ar"", ""bn"")"),"কূটনীতিক সংক্ষিপ্ত বিবৃতি")</f>
        <v>কূটনীতিক সংক্ষিপ্ত বিবৃতি</v>
      </c>
    </row>
    <row r="3018">
      <c r="A3018" s="2" t="s">
        <v>1667</v>
      </c>
      <c r="B3018" s="3" t="str">
        <f>IFERROR(__xludf.DUMMYFUNCTION("GOOGLETRANSLATE(A3018, ""ar"", ""bn"")"),"সরকারী বিবৃতি")</f>
        <v>সরকারী বিবৃতি</v>
      </c>
    </row>
    <row r="3019">
      <c r="A3019" s="2" t="s">
        <v>1898</v>
      </c>
      <c r="B3019" s="3" t="str">
        <f>IFERROR(__xludf.DUMMYFUNCTION("GOOGLETRANSLATE(A3019, ""ar"", ""bn"")"),"রাজনৈতিক বিবৃতি")</f>
        <v>রাজনৈতিক বিবৃতি</v>
      </c>
    </row>
    <row r="3020">
      <c r="A3020" s="2" t="s">
        <v>1699</v>
      </c>
      <c r="B3020" s="3" t="str">
        <f>IFERROR(__xludf.DUMMYFUNCTION("GOOGLETRANSLATE(A3020, ""ar"", ""bn"")"),"রাজনৈতিক বিবৃতি মৌখিক")</f>
        <v>রাজনৈতিক বিবৃতি মৌখিক</v>
      </c>
    </row>
    <row r="3021">
      <c r="A3021" s="2" t="s">
        <v>2304</v>
      </c>
      <c r="B3021" s="3" t="str">
        <f>IFERROR(__xludf.DUMMYFUNCTION("GOOGLETRANSLATE(A3021, ""ar"", ""bn"")"),"রাজনৈতিক বিবৃতি নির্দিষ্ট ঘ")</f>
        <v>রাজনৈতিক বিবৃতি নির্দিষ্ট ঘ</v>
      </c>
    </row>
    <row r="3022">
      <c r="A3022" s="2" t="s">
        <v>963</v>
      </c>
      <c r="B3022" s="3" t="str">
        <f>IFERROR(__xludf.DUMMYFUNCTION("GOOGLETRANSLATE(A3022, ""ar"", ""bn"")"),"ভুল বিবৃতি")</f>
        <v>ভুল বিবৃতি</v>
      </c>
    </row>
    <row r="3023">
      <c r="A3023" s="2" t="s">
        <v>382</v>
      </c>
      <c r="B3023" s="3" t="str">
        <f>IFERROR(__xludf.DUMMYFUNCTION("GOOGLETRANSLATE(A3023, ""ar"", ""bn"")"),"মিনিস্টিরিয়াল বিবৃতি")</f>
        <v>মিনিস্টিরিয়াল বিবৃতি</v>
      </c>
    </row>
    <row r="3024">
      <c r="A3024" s="2" t="s">
        <v>872</v>
      </c>
      <c r="B3024" s="3" t="str">
        <f>IFERROR(__xludf.DUMMYFUNCTION("GOOGLETRANSLATE(A3024, ""ar"", ""bn"")"),"ভিসা কার্ড")</f>
        <v>ভিসা কার্ড</v>
      </c>
    </row>
    <row r="3025">
      <c r="A3025" s="2" t="s">
        <v>1659</v>
      </c>
      <c r="B3025" s="3" t="str">
        <f>IFERROR(__xludf.DUMMYFUNCTION("GOOGLETRANSLATE(A3025, ""ar"", ""bn"")"),"কূটনৈতিক কর্মকর্তা নিশ্চিতকরণ")</f>
        <v>কূটনৈতিক কর্মকর্তা নিশ্চিতকরণ</v>
      </c>
    </row>
    <row r="3026">
      <c r="A3026" s="2" t="s">
        <v>979</v>
      </c>
      <c r="B3026" s="3" t="str">
        <f>IFERROR(__xludf.DUMMYFUNCTION("GOOGLETRANSLATE(A3026, ""ar"", ""bn"")"),"রাষ্ট্রের বিরুদ্ধে ষড়যন্ত্র")</f>
        <v>রাষ্ট্রের বিরুদ্ধে ষড়যন্ত্র</v>
      </c>
    </row>
    <row r="3027">
      <c r="A3027" s="2" t="s">
        <v>1584</v>
      </c>
      <c r="B3027" s="3" t="str">
        <f>IFERROR(__xludf.DUMMYFUNCTION("GOOGLETRANSLATE(A3027, ""ar"", ""bn"")"),"বিদেশী বিনিয়োগ জাতীয়করণ")</f>
        <v>বিদেশী বিনিয়োগ জাতীয়করণ</v>
      </c>
    </row>
    <row r="3028">
      <c r="A3028" s="2" t="s">
        <v>1016</v>
      </c>
      <c r="B3028" s="3" t="str">
        <f>IFERROR(__xludf.DUMMYFUNCTION("GOOGLETRANSLATE(A3028, ""ar"", ""bn"")"),"আনুষ্ঠানিক সমর্থন")</f>
        <v>আনুষ্ঠানিক সমর্থন</v>
      </c>
    </row>
    <row r="3029">
      <c r="A3029" s="2" t="s">
        <v>911</v>
      </c>
      <c r="B3029" s="3" t="str">
        <f>IFERROR(__xludf.DUMMYFUNCTION("GOOGLETRANSLATE(A3029, ""ar"", ""bn"")"),"রাজনৈতিক মতামত বিনিময়")</f>
        <v>রাজনৈতিক মতামত বিনিময়</v>
      </c>
    </row>
    <row r="3030">
      <c r="A3030" s="2" t="s">
        <v>909</v>
      </c>
      <c r="B3030" s="3" t="str">
        <f>IFERROR(__xludf.DUMMYFUNCTION("GOOGLETRANSLATE(A3030, ""ar"", ""bn"")"),"কূটনীতিকদের বিনিময়")</f>
        <v>কূটনীতিকদের বিনিময়</v>
      </c>
    </row>
    <row r="3031">
      <c r="A3031" s="2" t="s">
        <v>912</v>
      </c>
      <c r="B3031" s="3" t="str">
        <f>IFERROR(__xludf.DUMMYFUNCTION("GOOGLETRANSLATE(A3031, ""ar"", ""bn"")"),"রাজনৈতিক বন্দীদের বিনিময়")</f>
        <v>রাজনৈতিক বন্দীদের বিনিময়</v>
      </c>
    </row>
    <row r="3032">
      <c r="A3032" s="2" t="s">
        <v>907</v>
      </c>
      <c r="B3032" s="3" t="str">
        <f>IFERROR(__xludf.DUMMYFUNCTION("GOOGLETRANSLATE(A3032, ""ar"", ""bn"")"),"দূত বিনিময়")</f>
        <v>দূত বিনিময়</v>
      </c>
    </row>
    <row r="3033">
      <c r="A3033" s="2" t="s">
        <v>910</v>
      </c>
      <c r="B3033" s="3" t="str">
        <f>IFERROR(__xludf.DUMMYFUNCTION("GOOGLETRANSLATE(A3033, ""ar"", ""bn"")"),"যুক্তরাষ্ট্র মধ্যে তথ্য বিনিময়")</f>
        <v>যুক্তরাষ্ট্র মধ্যে তথ্য বিনিময়</v>
      </c>
    </row>
    <row r="3034">
      <c r="A3034" s="2" t="s">
        <v>908</v>
      </c>
      <c r="B3034" s="3" t="str">
        <f>IFERROR(__xludf.DUMMYFUNCTION("GOOGLETRANSLATE(A3034, ""ar"", ""bn"")"),"কূটনৈতিক কাগজপত্র অ্যাক্রেডিটেশন বিনিময়")</f>
        <v>কূটনৈতিক কাগজপত্র অ্যাক্রেডিটেশন বিনিময়</v>
      </c>
    </row>
    <row r="3035">
      <c r="A3035" s="2" t="s">
        <v>906</v>
      </c>
      <c r="B3035" s="3" t="str">
        <f>IFERROR(__xludf.DUMMYFUNCTION("GOOGLETRANSLATE(A3035, ""ar"", ""bn"")"),"অনুসমর্থন যন্ত্র এক্সচেঞ্জ")</f>
        <v>অনুসমর্থন যন্ত্র এক্সচেঞ্জ</v>
      </c>
    </row>
    <row r="3036">
      <c r="A3036" s="2" t="s">
        <v>790</v>
      </c>
      <c r="B3036" s="3" t="str">
        <f>IFERROR(__xludf.DUMMYFUNCTION("GOOGLETRANSLATE(A3036, ""ar"", ""bn"")"),"মতামত ইন্টারন্যাশনাল প্রকরণ")</f>
        <v>মতামত ইন্টারন্যাশনাল প্রকরণ</v>
      </c>
    </row>
    <row r="3037">
      <c r="A3037" s="2" t="s">
        <v>1318</v>
      </c>
      <c r="B3037" s="3" t="str">
        <f>IFERROR(__xludf.DUMMYFUNCTION("GOOGLETRANSLATE(A3037, ""ar"", ""bn"")"),"রাজনৈতিক ঘটনা justifying")</f>
        <v>রাজনৈতিক ঘটনা justifying</v>
      </c>
    </row>
    <row r="3038">
      <c r="A3038" s="2" t="s">
        <v>1319</v>
      </c>
      <c r="B3038" s="3" t="str">
        <f>IFERROR(__xludf.DUMMYFUNCTION("GOOGLETRANSLATE(A3038, ""ar"", ""bn"")"),"রাজনৈতিক বাস্তবতার justifying")</f>
        <v>রাজনৈতিক বাস্তবতার justifying</v>
      </c>
    </row>
    <row r="3039">
      <c r="A3039" s="2" t="s">
        <v>1763</v>
      </c>
      <c r="B3039" s="3" t="str">
        <f>IFERROR(__xludf.DUMMYFUNCTION("GOOGLETRANSLATE(A3039, ""ar"", ""bn"")"),"আন্তর্জাতিক বিষয় Tbes")</f>
        <v>আন্তর্জাতিক বিষয় Tbes</v>
      </c>
    </row>
    <row r="3040">
      <c r="A3040" s="2" t="s">
        <v>1825</v>
      </c>
      <c r="B3040" s="3" t="str">
        <f>IFERROR(__xludf.DUMMYFUNCTION("GOOGLETRANSLATE(A3040, ""ar"", ""bn"")"),"রাজনৈতিক Subordination")</f>
        <v>রাজনৈতিক Subordination</v>
      </c>
    </row>
    <row r="3041">
      <c r="A3041" s="2" t="s">
        <v>597</v>
      </c>
      <c r="B3041" s="3" t="str">
        <f>IFERROR(__xludf.DUMMYFUNCTION("GOOGLETRANSLATE(A3041, ""ar"", ""bn"")"),"রাজ্যাভিষেক")</f>
        <v>রাজ্যাভিষেক</v>
      </c>
    </row>
    <row r="3042">
      <c r="A3042" s="2" t="s">
        <v>2731</v>
      </c>
      <c r="B3042" s="3" t="str">
        <f>IFERROR(__xludf.DUMMYFUNCTION("GOOGLETRANSLATE(A3042, ""ar"", ""bn"")"),"সাংস্কৃতিক ঐতিহ্য মূল্যনির্ধারণ মূল্যায়ন")</f>
        <v>সাংস্কৃতিক ঐতিহ্য মূল্যনির্ধারণ মূল্যায়ন</v>
      </c>
    </row>
    <row r="3043">
      <c r="A3043" s="2" t="s">
        <v>678</v>
      </c>
      <c r="B3043" s="3" t="str">
        <f>IFERROR(__xludf.DUMMYFUNCTION("GOOGLETRANSLATE(A3043, ""ar"", ""bn"")"),"গণতান্ত্রিক অভিজ্ঞতা")</f>
        <v>গণতান্ত্রিক অভিজ্ঞতা</v>
      </c>
    </row>
    <row r="3044">
      <c r="A3044" s="2" t="s">
        <v>1836</v>
      </c>
      <c r="B3044" s="3" t="str">
        <f>IFERROR(__xludf.DUMMYFUNCTION("GOOGLETRANSLATE(A3044, ""ar"", ""bn"")"),"প্রশ্নঃ একটি রাজনৈতিক উদ্ভব")</f>
        <v>প্রশ্নঃ একটি রাজনৈতিক উদ্ভব</v>
      </c>
    </row>
    <row r="3045">
      <c r="A3045" s="2" t="s">
        <v>222</v>
      </c>
      <c r="B3045" s="3" t="str">
        <f>IFERROR(__xludf.DUMMYFUNCTION("GOOGLETRANSLATE(A3045, ""ar"", ""bn"")"),"জোট")</f>
        <v>জোট</v>
      </c>
    </row>
    <row r="3046">
      <c r="A3046" s="2" t="s">
        <v>2732</v>
      </c>
      <c r="B3046" s="3" t="str">
        <f>IFERROR(__xludf.DUMMYFUNCTION("GOOGLETRANSLATE(A3046, ""ar"", ""bn"")"),"দেশের একটি গ্রুপ মধ্যে একটি জোট")</f>
        <v>দেশের একটি গ্রুপ মধ্যে একটি জোট</v>
      </c>
    </row>
    <row r="3047">
      <c r="A3047" s="2" t="s">
        <v>2733</v>
      </c>
      <c r="B3047" s="3" t="str">
        <f>IFERROR(__xludf.DUMMYFUNCTION("GOOGLETRANSLATE(A3047, ""ar"", ""bn"")"),"সমামেল")</f>
        <v>সমামেল</v>
      </c>
    </row>
    <row r="3048">
      <c r="A3048" s="2" t="s">
        <v>651</v>
      </c>
      <c r="B3048" s="3" t="str">
        <f>IFERROR(__xludf.DUMMYFUNCTION("GOOGLETRANSLATE(A3048, ""ar"", ""bn"")"),"ডিফেন্সিভ জোট")</f>
        <v>ডিফেন্সিভ জোট</v>
      </c>
    </row>
    <row r="3049">
      <c r="A3049" s="2" t="s">
        <v>1653</v>
      </c>
      <c r="B3049" s="3" t="str">
        <f>IFERROR(__xludf.DUMMYFUNCTION("GOOGLETRANSLATE(A3049, ""ar"", ""bn"")"),"জোট অশোভন")</f>
        <v>জোট অশোভন</v>
      </c>
    </row>
    <row r="3050">
      <c r="A3050" s="2" t="s">
        <v>2535</v>
      </c>
      <c r="B3050" s="3" t="str">
        <f>IFERROR(__xludf.DUMMYFUNCTION("GOOGLETRANSLATE(A3050, ""ar"", ""bn"")"),"যত্ন অধীনে")</f>
        <v>যত্ন অধীনে</v>
      </c>
    </row>
    <row r="3051">
      <c r="A3051" s="2" t="s">
        <v>2527</v>
      </c>
      <c r="B3051" s="3" t="str">
        <f>IFERROR(__xludf.DUMMYFUNCTION("GOOGLETRANSLATE(A3051, ""ar"", ""bn"")"),"অস্ত্র অধীনে")</f>
        <v>অস্ত্র অধীনে</v>
      </c>
    </row>
    <row r="3052">
      <c r="A3052" s="2" t="s">
        <v>708</v>
      </c>
      <c r="B3052" s="3" t="str">
        <f>IFERROR(__xludf.DUMMYFUNCTION("GOOGLETRANSLATE(A3052, ""ar"", ""bn"")"),"আন্তর্জাতিক বাধ্যবাধকতা ডিফাইনিং")</f>
        <v>আন্তর্জাতিক বাধ্যবাধকতা ডিফাইনিং</v>
      </c>
    </row>
    <row r="3053">
      <c r="A3053" s="2" t="s">
        <v>707</v>
      </c>
      <c r="B3053" s="3" t="str">
        <f>IFERROR(__xludf.DUMMYFUNCTION("GOOGLETRANSLATE(A3053, ""ar"", ""bn"")"),"আন্তর্জাতিক দায়িত্ব ডিফাইনিং")</f>
        <v>আন্তর্জাতিক দায়িত্ব ডিফাইনিং</v>
      </c>
    </row>
    <row r="3054">
      <c r="A3054" s="2" t="s">
        <v>217</v>
      </c>
      <c r="B3054" s="3" t="str">
        <f>IFERROR(__xludf.DUMMYFUNCTION("GOOGLETRANSLATE(A3054, ""ar"", ""bn"")"),"লঙ্ঘনের সূত্র চিহ্নিত")</f>
        <v>লঙ্ঘনের সূত্র চিহ্নিত</v>
      </c>
    </row>
    <row r="3055">
      <c r="A3055" s="2" t="s">
        <v>2504</v>
      </c>
      <c r="B3055" s="3" t="str">
        <f>IFERROR(__xludf.DUMMYFUNCTION("GOOGLETRANSLATE(A3055, ""ar"", ""bn"")"),"অস্থিরতার কারণ স্ক্রীনিং")</f>
        <v>অস্থিরতার কারণ স্ক্রীনিং</v>
      </c>
    </row>
    <row r="3056">
      <c r="A3056" s="2" t="s">
        <v>1367</v>
      </c>
      <c r="B3056" s="3" t="str">
        <f>IFERROR(__xludf.DUMMYFUNCTION("GOOGLETRANSLATE(A3056, ""ar"", ""bn"")"),"মুক্তি")</f>
        <v>মুক্তি</v>
      </c>
    </row>
    <row r="3057">
      <c r="A3057" s="2" t="s">
        <v>1368</v>
      </c>
      <c r="B3057" s="3" t="str">
        <f>IFERROR(__xludf.DUMMYFUNCTION("GOOGLETRANSLATE(A3057, ""ar"", ""bn"")"),"মুক্ত বন্দীদের")</f>
        <v>মুক্ত বন্দীদের</v>
      </c>
    </row>
    <row r="3058">
      <c r="A3058" s="2" t="s">
        <v>1369</v>
      </c>
      <c r="B3058" s="3" t="str">
        <f>IFERROR(__xludf.DUMMYFUNCTION("GOOGLETRANSLATE(A3058, ""ar"", ""bn"")"),"রাজনৈতিক বন্দীদের মুক্ত করা")</f>
        <v>রাজনৈতিক বন্দীদের মুক্ত করা</v>
      </c>
    </row>
    <row r="3059">
      <c r="A3059" s="2" t="s">
        <v>2734</v>
      </c>
      <c r="B3059" s="3" t="str">
        <f>IFERROR(__xludf.DUMMYFUNCTION("GOOGLETRANSLATE(A3059, ""ar"", ""bn"")"),"রাজনৈতিক বন্দীদের পরিস্থিতির উন্নতি")</f>
        <v>রাজনৈতিক বন্দীদের পরিস্থিতির উন্নতি</v>
      </c>
    </row>
    <row r="3060">
      <c r="A3060" s="2" t="s">
        <v>230</v>
      </c>
      <c r="B3060" s="3" t="str">
        <f>IFERROR(__xludf.DUMMYFUNCTION("GOOGLETRANSLATE(A3060, ""ar"", ""bn"")"),"উদ্বাস্তুদের পরিস্থিতির উন্নতি")</f>
        <v>উদ্বাস্তুদের পরিস্থিতির উন্নতি</v>
      </c>
    </row>
    <row r="3061">
      <c r="A3061" s="2" t="s">
        <v>1024</v>
      </c>
      <c r="B3061" s="3" t="str">
        <f>IFERROR(__xludf.DUMMYFUNCTION("GOOGLETRANSLATE(A3061, ""ar"", ""bn"")"),"টি দেয়াল-ঘেরা শহরগুলো")</f>
        <v>টি দেয়াল-ঘেরা শহরগুলো</v>
      </c>
    </row>
    <row r="3062">
      <c r="A3062" s="2" t="s">
        <v>1934</v>
      </c>
      <c r="B3062" s="3" t="str">
        <f>IFERROR(__xludf.DUMMYFUNCTION("GOOGLETRANSLATE(A3062, ""ar"", ""bn"")"),"প্রাক যুদ্ধের জন্য প্রস্তুতি")</f>
        <v>প্রাক যুদ্ধের জন্য প্রস্তুতি</v>
      </c>
    </row>
    <row r="3063">
      <c r="A3063" s="2" t="s">
        <v>635</v>
      </c>
      <c r="B3063" s="3" t="str">
        <f>IFERROR(__xludf.DUMMYFUNCTION("GOOGLETRANSLATE(A3063, ""ar"", ""bn"")"),"বন্দীদের অবমাননার")</f>
        <v>বন্দীদের অবমাননার</v>
      </c>
    </row>
    <row r="3064">
      <c r="A3064" s="2" t="s">
        <v>1246</v>
      </c>
      <c r="B3064" s="3" t="str">
        <f>IFERROR(__xludf.DUMMYFUNCTION("GOOGLETRANSLATE(A3064, ""ar"", ""bn"")"),"তদন্ত বা আন্তর্জাতিক জরিপ")</f>
        <v>তদন্ত বা আন্তর্জাতিক জরিপ</v>
      </c>
    </row>
    <row r="3065">
      <c r="A3065" s="2" t="s">
        <v>1961</v>
      </c>
      <c r="B3065" s="3" t="str">
        <f>IFERROR(__xludf.DUMMYFUNCTION("GOOGLETRANSLATE(A3065, ""ar"", ""bn"")"),"রাষ্ট্রপতি তদন্ত")</f>
        <v>রাষ্ট্রপতি তদন্ত</v>
      </c>
    </row>
    <row r="3066">
      <c r="A3066" s="2" t="s">
        <v>270</v>
      </c>
      <c r="B3066" s="3" t="str">
        <f>IFERROR(__xludf.DUMMYFUNCTION("GOOGLETRANSLATE(A3066, ""ar"", ""bn"")"),"সালিসি")</f>
        <v>সালিসি</v>
      </c>
    </row>
    <row r="3067">
      <c r="A3067" s="2" t="s">
        <v>994</v>
      </c>
      <c r="B3067" s="3" t="str">
        <f>IFERROR(__xludf.DUMMYFUNCTION("GOOGLETRANSLATE(A3067, ""ar"", ""bn"")"),"পররাষ্ট্র সালিসি")</f>
        <v>পররাষ্ট্র সালিসি</v>
      </c>
    </row>
    <row r="3068">
      <c r="A3068" s="2" t="s">
        <v>1203</v>
      </c>
      <c r="B3068" s="3" t="str">
        <f>IFERROR(__xludf.DUMMYFUNCTION("GOOGLETRANSLATE(A3068, ""ar"", ""bn"")"),"আন্তর্জাতিক সালিসি")</f>
        <v>আন্তর্জাতিক সালিসি</v>
      </c>
    </row>
    <row r="3069">
      <c r="A3069" s="2" t="s">
        <v>988</v>
      </c>
      <c r="B3069" s="3" t="str">
        <f>IFERROR(__xludf.DUMMYFUNCTION("GOOGLETRANSLATE(A3069, ""ar"", ""bn"")"),"পতাকা অভিবাদন")</f>
        <v>পতাকা অভিবাদন</v>
      </c>
    </row>
    <row r="3070">
      <c r="A3070" s="2" t="s">
        <v>2224</v>
      </c>
      <c r="B3070" s="3" t="str">
        <f>IFERROR(__xludf.DUMMYFUNCTION("GOOGLETRANSLATE(A3070, ""ar"", ""bn"")"),"সরকারী সুবিধা ধ্বংস")</f>
        <v>সরকারী সুবিধা ধ্বংস</v>
      </c>
    </row>
    <row r="3071">
      <c r="A3071" s="2" t="s">
        <v>627</v>
      </c>
      <c r="B3071" s="3" t="str">
        <f>IFERROR(__xludf.DUMMYFUNCTION("GOOGLETRANSLATE(A3071, ""ar"", ""bn"")"),"ইউরেনিয়াম সমৃদ্ধকরণ")</f>
        <v>ইউরেনিয়াম সমৃদ্ধকরণ</v>
      </c>
    </row>
    <row r="3072">
      <c r="A3072" s="2" t="s">
        <v>2364</v>
      </c>
      <c r="B3072" s="3" t="str">
        <f>IFERROR(__xludf.DUMMYFUNCTION("GOOGLETRANSLATE(A3072, ""ar"", ""bn"")"),"কৌশলগত পরিকল্পনা")</f>
        <v>কৌশলগত পরিকল্পনা</v>
      </c>
    </row>
    <row r="3073">
      <c r="A3073" s="2" t="s">
        <v>410</v>
      </c>
      <c r="B3073" s="3" t="str">
        <f>IFERROR(__xludf.DUMMYFUNCTION("GOOGLETRANSLATE(A3073, ""ar"", ""bn"")"),"কেন্দ্রীয় পরিকল্পনা")</f>
        <v>কেন্দ্রীয় পরিকল্পনা</v>
      </c>
    </row>
    <row r="3074">
      <c r="A3074" s="2" t="s">
        <v>1250</v>
      </c>
      <c r="B3074" s="3" t="str">
        <f>IFERROR(__xludf.DUMMYFUNCTION("GOOGLETRANSLATE(A3074, ""ar"", ""bn"")"),"আন্তর্জাতিক আইনি ব্যবস্থা")</f>
        <v>আন্তর্জাতিক আইনি ব্যবস্থা</v>
      </c>
    </row>
    <row r="3075">
      <c r="A3075" s="2" t="s">
        <v>1263</v>
      </c>
      <c r="B3075" s="3" t="str">
        <f>IFERROR(__xludf.DUMMYFUNCTION("GOOGLETRANSLATE(A3075, ""ar"", ""bn"")"),"আন্তর্জাতিক সতর্কতামূলক ব্যবস্থা")</f>
        <v>আন্তর্জাতিক সতর্কতামূলক ব্যবস্থা</v>
      </c>
    </row>
    <row r="3076">
      <c r="A3076" s="2" t="s">
        <v>1402</v>
      </c>
      <c r="B3076" s="3" t="str">
        <f>IFERROR(__xludf.DUMMYFUNCTION("GOOGLETRANSLATE(A3076, ""ar"", ""bn"")"),"স্থানীয় সতর্কতামূলক ব্যবস্থা")</f>
        <v>স্থানীয় সতর্কতামূলক ব্যবস্থা</v>
      </c>
    </row>
    <row r="3077">
      <c r="A3077" s="2" t="s">
        <v>2254</v>
      </c>
      <c r="B3077" s="3" t="str">
        <f>IFERROR(__xludf.DUMMYFUNCTION("GOOGLETRANSLATE(A3077, ""ar"", ""bn"")"),"নিরাপত্তা ব্যবস্থা")</f>
        <v>নিরাপত্তা ব্যবস্থা</v>
      </c>
    </row>
    <row r="3078">
      <c r="A3078" s="2" t="s">
        <v>2491</v>
      </c>
      <c r="B3078" s="3" t="str">
        <f>IFERROR(__xludf.DUMMYFUNCTION("GOOGLETRANSLATE(A3078, ""ar"", ""bn"")"),"ট্রানজিশনাল ব্যবস্থা")</f>
        <v>ট্রানজিশনাল ব্যবস্থা</v>
      </c>
    </row>
    <row r="3079">
      <c r="A3079" s="2" t="s">
        <v>2371</v>
      </c>
      <c r="B3079" s="3" t="str">
        <f>IFERROR(__xludf.DUMMYFUNCTION("GOOGLETRANSLATE(A3079, ""ar"", ""bn"")"),"কঠোর রাজনৈতিক ব্যবস্থা")</f>
        <v>কঠোর রাজনৈতিক ব্যবস্থা</v>
      </c>
    </row>
    <row r="3080">
      <c r="A3080" s="2" t="s">
        <v>1977</v>
      </c>
      <c r="B3080" s="3" t="str">
        <f>IFERROR(__xludf.DUMMYFUNCTION("GOOGLETRANSLATE(A3080, ""ar"", ""bn"")"),"রাজনৈতিক ও প্রতিরোধমূলক ব্যবস্থা")</f>
        <v>রাজনৈতিক ও প্রতিরোধমূলক ব্যবস্থা</v>
      </c>
    </row>
    <row r="3081">
      <c r="A3081" s="2" t="s">
        <v>1003</v>
      </c>
      <c r="B3081" s="3" t="str">
        <f>IFERROR(__xludf.DUMMYFUNCTION("GOOGLETRANSLATE(A3081, ""ar"", ""bn"")"),"টেড বিদেশী ভিনেগার")</f>
        <v>টেড বিদেশী ভিনেগার</v>
      </c>
    </row>
    <row r="3082">
      <c r="A3082" s="2" t="s">
        <v>1287</v>
      </c>
      <c r="B3082" s="3" t="str">
        <f>IFERROR(__xludf.DUMMYFUNCTION("GOOGLETRANSLATE(A3082, ""ar"", ""bn"")"),"পশ্চিমা হস্তক্ষেপের")</f>
        <v>পশ্চিমা হস্তক্ষেপের</v>
      </c>
    </row>
    <row r="3083">
      <c r="A3083" s="2" t="s">
        <v>269</v>
      </c>
      <c r="B3083" s="3" t="str">
        <f>IFERROR(__xludf.DUMMYFUNCTION("GOOGLETRANSLATE(A3083, ""ar"", ""bn"")"),"নির্বিচারে হস্তক্ষেপ জন্য")</f>
        <v>নির্বিচারে হস্তক্ষেপ জন্য</v>
      </c>
    </row>
    <row r="3084">
      <c r="A3084" s="2" t="s">
        <v>1066</v>
      </c>
      <c r="B3084" s="3" t="str">
        <f>IFERROR(__xludf.DUMMYFUNCTION("GOOGLETRANSLATE(A3084, ""ar"", ""bn"")"),"সরকারী হস্তক্ষেপের জন্য")</f>
        <v>সরকারী হস্তক্ষেপের জন্য</v>
      </c>
    </row>
    <row r="3085">
      <c r="A3085" s="2" t="s">
        <v>939</v>
      </c>
      <c r="B3085" s="3" t="str">
        <f>IFERROR(__xludf.DUMMYFUNCTION("GOOGLETRANSLATE(A3085, ""ar"", ""bn"")"),"বাহ্যিক হস্তক্ষেপ")</f>
        <v>বাহ্যিক হস্তক্ষেপ</v>
      </c>
    </row>
    <row r="3086">
      <c r="A3086" s="2" t="s">
        <v>1244</v>
      </c>
      <c r="B3086" s="3" t="str">
        <f>IFERROR(__xludf.DUMMYFUNCTION("GOOGLETRANSLATE(A3086, ""ar"", ""bn"")"),"আন্তর্জাতিক হস্তক্ষেপ")</f>
        <v>আন্তর্জাতিক হস্তক্ষেপ</v>
      </c>
    </row>
    <row r="3087">
      <c r="A3087" s="2" t="s">
        <v>1999</v>
      </c>
      <c r="B3087" s="3" t="str">
        <f>IFERROR(__xludf.DUMMYFUNCTION("GOOGLETRANSLATE(A3087, ""ar"", ""bn"")"),"পবিত্র সাইট পবিত্রতার অপবিত্রতা")</f>
        <v>পবিত্র সাইট পবিত্রতার অপবিত্রতা</v>
      </c>
    </row>
    <row r="3088">
      <c r="A3088" s="2" t="s">
        <v>1283</v>
      </c>
      <c r="B3088" s="3" t="str">
        <f>IFERROR(__xludf.DUMMYFUNCTION("GOOGLETRANSLATE(A3088, ""ar"", ""bn"")"),"আন্তর্জাতিকীকরণ")</f>
        <v>আন্তর্জাতিকীকরণ</v>
      </c>
    </row>
    <row r="3089">
      <c r="A3089" s="2" t="s">
        <v>1190</v>
      </c>
      <c r="B3089" s="3" t="str">
        <f>IFERROR(__xludf.DUMMYFUNCTION("GOOGLETRANSLATE(A3089, ""ar"", ""bn"")"),"কৌশলগত সঙ্গতি")</f>
        <v>কৌশলগত সঙ্গতি</v>
      </c>
    </row>
    <row r="3090">
      <c r="A3090" s="2" t="s">
        <v>283</v>
      </c>
      <c r="B3090" s="3" t="str">
        <f>IFERROR(__xludf.DUMMYFUNCTION("GOOGLETRANSLATE(A3090, ""ar"", ""bn"")"),"অস্ত্রের একটি অস্ত্রাগার")</f>
        <v>অস্ত্রের একটি অস্ত্রাগার</v>
      </c>
    </row>
    <row r="3091">
      <c r="A3091" s="2" t="s">
        <v>675</v>
      </c>
      <c r="B3091" s="3" t="str">
        <f>IFERROR(__xludf.DUMMYFUNCTION("GOOGLETRANSLATE(A3091, ""ar"", ""bn"")"),"রাজ্যের মধ্যে সীমারেখা সীমানা নির্ধারন")</f>
        <v>রাজ্যের মধ্যে সীমারেখা সীমানা নির্ধারন</v>
      </c>
    </row>
    <row r="3092">
      <c r="A3092" s="2" t="s">
        <v>1255</v>
      </c>
      <c r="B3092" s="3" t="str">
        <f>IFERROR(__xludf.DUMMYFUNCTION("GOOGLETRANSLATE(A3092, ""ar"", ""bn"")"),"আন্তর্জাতিক বাধ্যবাধকতা")</f>
        <v>আন্তর্জাতিক বাধ্যবাধকতা</v>
      </c>
    </row>
    <row r="3093">
      <c r="A3093" s="2" t="s">
        <v>964</v>
      </c>
      <c r="B3093" s="3" t="str">
        <f>IFERROR(__xludf.DUMMYFUNCTION("GOOGLETRANSLATE(A3093, ""ar"", ""bn"")"),"নির্বাচন জালিয়াতি")</f>
        <v>নির্বাচন জালিয়াতি</v>
      </c>
    </row>
    <row r="3094">
      <c r="A3094" s="2" t="s">
        <v>2131</v>
      </c>
      <c r="B3094" s="3" t="str">
        <f>IFERROR(__xludf.DUMMYFUNCTION("GOOGLETRANSLATE(A3094, ""ar"", ""bn"")"),"ধর্মীয় সহনশীলতা")</f>
        <v>ধর্মীয় সহনশীলতা</v>
      </c>
    </row>
    <row r="3095">
      <c r="A3095" s="2" t="s">
        <v>1098</v>
      </c>
      <c r="B3095" s="3" t="str">
        <f>IFERROR(__xludf.DUMMYFUNCTION("GOOGLETRANSLATE(A3095, ""ar"", ""bn"")"),"অথবা ক্রম অন্তর্ভুক্ত গোল")</f>
        <v>অথবা ক্রম অন্তর্ভুক্ত গোল</v>
      </c>
    </row>
    <row r="3096">
      <c r="A3096" s="2" t="s">
        <v>1100</v>
      </c>
      <c r="B3096" s="3" t="str">
        <f>IFERROR(__xludf.DUMMYFUNCTION("GOOGLETRANSLATE(A3096, ""ar"", ""bn"")"),"সিকোয়েন্স কর্তৃপক্ষ")</f>
        <v>সিকোয়েন্স কর্তৃপক্ষ</v>
      </c>
    </row>
    <row r="3097">
      <c r="A3097" s="2" t="s">
        <v>1099</v>
      </c>
      <c r="B3097" s="3" t="str">
        <f>IFERROR(__xludf.DUMMYFUNCTION("GOOGLETRANSLATE(A3097, ""ar"", ""bn"")"),"রাজনৈতিক অবস্থানের ক্রম")</f>
        <v>রাজনৈতিক অবস্থানের ক্রম</v>
      </c>
    </row>
    <row r="3098">
      <c r="A3098" s="2" t="s">
        <v>1845</v>
      </c>
      <c r="B3098" s="3" t="str">
        <f>IFERROR(__xludf.DUMMYFUNCTION("GOOGLETRANSLATE(A3098, ""ar"", ""bn"")"),"রাজনৈতিক ক্রম")</f>
        <v>রাজনৈতিক ক্রম</v>
      </c>
    </row>
    <row r="3099">
      <c r="A3099" s="2" t="s">
        <v>1101</v>
      </c>
      <c r="B3099" s="3" t="str">
        <f>IFERROR(__xludf.DUMMYFUNCTION("GOOGLETRANSLATE(A3099, ""ar"", ""bn"")"),"রাজ্য বিভাগে সিকোয়েন্স")</f>
        <v>রাজ্য বিভাগে সিকোয়েন্স</v>
      </c>
    </row>
    <row r="3100">
      <c r="A3100" s="2" t="s">
        <v>2277</v>
      </c>
      <c r="B3100" s="3" t="str">
        <f>IFERROR(__xludf.DUMMYFUNCTION("GOOGLETRANSLATE(A3100, ""ar"", ""bn"")"),"সালিসি দ্বারা সেটেলমেন্ট")</f>
        <v>সালিসি দ্বারা সেটেলমেন্ট</v>
      </c>
    </row>
    <row r="3101">
      <c r="A3101" s="2" t="s">
        <v>1893</v>
      </c>
      <c r="B3101" s="3" t="str">
        <f>IFERROR(__xludf.DUMMYFUNCTION("GOOGLETRANSLATE(A3101, ""ar"", ""bn"")"),"রাজনৈতিক নিষ্পত্তির")</f>
        <v>রাজনৈতিক নিষ্পত্তির</v>
      </c>
    </row>
    <row r="3102">
      <c r="A3102" s="2" t="s">
        <v>1032</v>
      </c>
      <c r="B3102" s="3" t="str">
        <f>IFERROR(__xludf.DUMMYFUNCTION("GOOGLETRANSLATE(A3102, ""ar"", ""bn"")"),"বন্ধুত্বপূর্ণ বন্দোবস্ত")</f>
        <v>বন্ধুত্বপূর্ণ বন্দোবস্ত</v>
      </c>
    </row>
    <row r="3103">
      <c r="A3103" s="2" t="s">
        <v>1830</v>
      </c>
      <c r="B3103" s="3" t="str">
        <f>IFERROR(__xludf.DUMMYFUNCTION("GOOGLETRANSLATE(A3103, ""ar"", ""bn"")"),"বি একটি রাজনৈতিক পার্থক্য বিচ্ছুরণ")</f>
        <v>বি একটি রাজনৈতিক পার্থক্য বিচ্ছুরণ</v>
      </c>
    </row>
    <row r="3104">
      <c r="A3104" s="2" t="s">
        <v>809</v>
      </c>
      <c r="B3104" s="3" t="str">
        <f>IFERROR(__xludf.DUMMYFUNCTION("GOOGLETRANSLATE(A3104, ""ar"", ""bn"")"),"রাজনৈতিক মতামত বাছুরের জন্ম দেওয়া")</f>
        <v>রাজনৈতিক মতামত বাছুরের জন্ম দেওয়া</v>
      </c>
    </row>
    <row r="3105">
      <c r="A3105" s="2" t="s">
        <v>172</v>
      </c>
      <c r="B3105" s="3" t="str">
        <f>IFERROR(__xludf.DUMMYFUNCTION("GOOGLETRANSLATE(A3105, ""ar"", ""bn"")"),"TS কুই সৌজন্যে")</f>
        <v>TS কুই সৌজন্যে</v>
      </c>
    </row>
    <row r="3106">
      <c r="A3106" s="2" t="s">
        <v>734</v>
      </c>
      <c r="B3106" s="3" t="str">
        <f>IFERROR(__xludf.DUMMYFUNCTION("GOOGLETRANSLATE(A3106, ""ar"", ""bn"")"),"TS Ih কূটনীতিক")</f>
        <v>TS Ih কূটনীতিক</v>
      </c>
    </row>
    <row r="3107">
      <c r="A3107" s="2" t="s">
        <v>2029</v>
      </c>
      <c r="B3107" s="3" t="str">
        <f>IFERROR(__xludf.DUMMYFUNCTION("GOOGLETRANSLATE(A3107, ""ar"", ""bn"")"),"TS Ih কূটনৈতিক উত্তেজক")</f>
        <v>TS Ih কূটনৈতিক উত্তেজক</v>
      </c>
    </row>
    <row r="3108">
      <c r="A3108" s="2" t="s">
        <v>604</v>
      </c>
      <c r="B3108" s="3" t="str">
        <f>IFERROR(__xludf.DUMMYFUNCTION("GOOGLETRANSLATE(A3108, ""ar"", ""bn"")"),"TS Ih কূটনীতিক বিপরীত")</f>
        <v>TS Ih কূটনীতিক বিপরীত</v>
      </c>
    </row>
    <row r="3109">
      <c r="A3109" s="2" t="s">
        <v>2026</v>
      </c>
      <c r="B3109" s="3" t="str">
        <f>IFERROR(__xludf.DUMMYFUNCTION("GOOGLETRANSLATE(A3109, ""ar"", ""bn"")"),"TS Ih রাজনৈতিক উস্কানি")</f>
        <v>TS Ih রাজনৈতিক উস্কানি</v>
      </c>
    </row>
    <row r="3110">
      <c r="A3110" s="2" t="s">
        <v>448</v>
      </c>
      <c r="B3110" s="3" t="str">
        <f>IFERROR(__xludf.DUMMYFUNCTION("GOOGLETRANSLATE(A3110, ""ar"", ""bn"")"),"কূটনৈতিক কর্ম শ্রেণীবিভাগ")</f>
        <v>কূটনৈতিক কর্ম শ্রেণীবিভাগ</v>
      </c>
    </row>
    <row r="3111">
      <c r="A3111" s="2" t="s">
        <v>2610</v>
      </c>
      <c r="B3111" s="3" t="str">
        <f>IFERROR(__xludf.DUMMYFUNCTION("GOOGLETRANSLATE(A3111, ""ar"", ""bn"")"),"ভোট")</f>
        <v>ভোট</v>
      </c>
    </row>
    <row r="3112">
      <c r="A3112" s="2" t="s">
        <v>346</v>
      </c>
      <c r="B3112" s="3" t="str">
        <f>IFERROR(__xludf.DUMMYFUNCTION("GOOGLETRANSLATE(A3112, ""ar"", ""bn"")"),"মোট ভোট")</f>
        <v>মোট ভোট</v>
      </c>
    </row>
    <row r="3113">
      <c r="A3113" s="2" t="s">
        <v>2517</v>
      </c>
      <c r="B3113" s="3" t="str">
        <f>IFERROR(__xludf.DUMMYFUNCTION("GOOGLETRANSLATE(A3113, ""ar"", ""bn"")"),"সর্বসম্মত ভোট")</f>
        <v>সর্বসম্মত ভোট</v>
      </c>
    </row>
    <row r="3114">
      <c r="A3114" s="2" t="s">
        <v>1416</v>
      </c>
      <c r="B3114" s="3" t="str">
        <f>IFERROR(__xludf.DUMMYFUNCTION("GOOGLETRANSLATE(A3114, ""ar"", ""bn"")"),"অংশ ভোট")</f>
        <v>অংশ ভোট</v>
      </c>
    </row>
    <row r="3115">
      <c r="A3115" s="2" t="s">
        <v>2620</v>
      </c>
      <c r="B3115" s="3" t="str">
        <f>IFERROR(__xludf.DUMMYFUNCTION("GOOGLETRANSLATE(A3115, ""ar"", ""bn"")"),"ভোট দিন ব্যালট Ales রে")</f>
        <v>ভোট দিন ব্যালট Ales রে</v>
      </c>
    </row>
    <row r="3116">
      <c r="A3116" s="2" t="s">
        <v>2614</v>
      </c>
      <c r="B3116" s="3" t="str">
        <f>IFERROR(__xludf.DUMMYFUNCTION("GOOGLETRANSLATE(A3116, ""ar"", ""bn"")"),"ক্রম অনুযায়ী ভোট দিন")</f>
        <v>ক্রম অনুযায়ী ভোট দিন</v>
      </c>
    </row>
    <row r="3117">
      <c r="A3117" s="2" t="s">
        <v>2617</v>
      </c>
      <c r="B3117" s="3" t="str">
        <f>IFERROR(__xludf.DUMMYFUNCTION("GOOGLETRANSLATE(A3117, ""ar"", ""bn"")"),"আস্থা জ্ঞাপন")</f>
        <v>আস্থা জ্ঞাপন</v>
      </c>
    </row>
    <row r="3118">
      <c r="A3118" s="2" t="s">
        <v>2621</v>
      </c>
      <c r="B3118" s="3" t="str">
        <f>IFERROR(__xludf.DUMMYFUNCTION("GOOGLETRANSLATE(A3118, ""ar"", ""bn"")"),"ভোট দিন প্রত্যাখ্যাত")</f>
        <v>ভোট দিন প্রত্যাখ্যাত</v>
      </c>
    </row>
    <row r="3119">
      <c r="A3119" s="2" t="s">
        <v>193</v>
      </c>
      <c r="B3119" s="3" t="str">
        <f>IFERROR(__xludf.DUMMYFUNCTION("GOOGLETRANSLATE(A3119, ""ar"", ""bn"")"),"অনুমোদনের জন্য ভোট দিন")</f>
        <v>অনুমোদনের জন্য ভোট দিন</v>
      </c>
    </row>
    <row r="3120">
      <c r="A3120" s="2" t="s">
        <v>2619</v>
      </c>
      <c r="B3120" s="3" t="str">
        <f>IFERROR(__xludf.DUMMYFUNCTION("GOOGLETRANSLATE(A3120, ""ar"", ""bn"")"),"পক্ষে ভোট")</f>
        <v>পক্ষে ভোট</v>
      </c>
    </row>
    <row r="3121">
      <c r="A3121" s="2" t="s">
        <v>2622</v>
      </c>
      <c r="B3121" s="3" t="str">
        <f>IFERROR(__xludf.DUMMYFUNCTION("GOOGLETRANSLATE(A3121, ""ar"", ""bn"")"),"অনাস্থা একটি ভোট")</f>
        <v>অনাস্থা একটি ভোট</v>
      </c>
    </row>
    <row r="3122">
      <c r="A3122" s="2" t="s">
        <v>2613</v>
      </c>
      <c r="B3122" s="3" t="str">
        <f>IFERROR(__xludf.DUMMYFUNCTION("GOOGLETRANSLATE(A3122, ""ar"", ""bn"")"),"হাতের দেন")</f>
        <v>হাতের দেন</v>
      </c>
    </row>
    <row r="3123">
      <c r="A3123" s="2" t="s">
        <v>2615</v>
      </c>
      <c r="B3123" s="3" t="str">
        <f>IFERROR(__xludf.DUMMYFUNCTION("GOOGLETRANSLATE(A3123, ""ar"", ""bn"")"),"আইটেম অধীনে ভোট")</f>
        <v>আইটেম অধীনে ভোট</v>
      </c>
    </row>
    <row r="3124">
      <c r="A3124" s="2" t="s">
        <v>2616</v>
      </c>
      <c r="B3124" s="3" t="str">
        <f>IFERROR(__xludf.DUMMYFUNCTION("GOOGLETRANSLATE(A3124, ""ar"", ""bn"")"),"কার্ড দ্বারা ভোট")</f>
        <v>কার্ড দ্বারা ভোট</v>
      </c>
    </row>
    <row r="3125">
      <c r="A3125" s="2" t="s">
        <v>2618</v>
      </c>
      <c r="B3125" s="3" t="str">
        <f>IFERROR(__xludf.DUMMYFUNCTION("GOOGLETRANSLATE(A3125, ""ar"", ""bn"")"),"বিদ্যমান ভিত্তিতে ভোট")</f>
        <v>বিদ্যমান ভিত্তিতে ভোট</v>
      </c>
    </row>
    <row r="3126">
      <c r="A3126" s="2" t="s">
        <v>1627</v>
      </c>
      <c r="B3126" s="3" t="str">
        <f>IFERROR(__xludf.DUMMYFUNCTION("GOOGLETRANSLATE(A3126, ""ar"", ""bn"")"),"ভোট দিন অন্যায্য")</f>
        <v>ভোট দিন অন্যায্য</v>
      </c>
    </row>
    <row r="3127">
      <c r="A3127" s="2" t="s">
        <v>2084</v>
      </c>
      <c r="B3127" s="3" t="str">
        <f>IFERROR(__xludf.DUMMYFUNCTION("GOOGLETRANSLATE(A3127, ""ar"", ""bn"")"),"রেকর্ড ভোট")</f>
        <v>রেকর্ড ভোট</v>
      </c>
    </row>
    <row r="3128">
      <c r="A3128" s="2" t="s">
        <v>798</v>
      </c>
      <c r="B3128" s="3" t="str">
        <f>IFERROR(__xludf.DUMMYFUNCTION("GOOGLETRANSLATE(A3128, ""ar"", ""bn"")"),"ভিন্নমত পোষণকারী ভোট")</f>
        <v>ভিন্নমত পোষণকারী ভোট</v>
      </c>
    </row>
    <row r="3129">
      <c r="A3129" s="2" t="s">
        <v>2297</v>
      </c>
      <c r="B3129" s="3" t="str">
        <f>IFERROR(__xludf.DUMMYFUNCTION("GOOGLETRANSLATE(A3129, ""ar"", ""bn"")"),"সংহতি")</f>
        <v>সংহতি</v>
      </c>
    </row>
    <row r="3130">
      <c r="A3130" s="2" t="s">
        <v>1273</v>
      </c>
      <c r="B3130" s="3" t="str">
        <f>IFERROR(__xludf.DUMMYFUNCTION("GOOGLETRANSLATE(A3130, ""ar"", ""bn"")"),"আন্তর্জাতিক সংহতি")</f>
        <v>আন্তর্জাতিক সংহতি</v>
      </c>
    </row>
    <row r="3131">
      <c r="A3131" s="2" t="s">
        <v>1918</v>
      </c>
      <c r="B3131" s="3" t="str">
        <f>IFERROR(__xludf.DUMMYFUNCTION("GOOGLETRANSLATE(A3131, ""ar"", ""bn"")"),"জনপ্রিয় সংহতি")</f>
        <v>জনপ্রিয় সংহতি</v>
      </c>
    </row>
    <row r="3132">
      <c r="A3132" s="2" t="s">
        <v>2451</v>
      </c>
      <c r="B3132" s="3" t="str">
        <f>IFERROR(__xludf.DUMMYFUNCTION("GOOGLETRANSLATE(A3132, ""ar"", ""bn"")"),"আঞ্চলিক আইন আবেদন")</f>
        <v>আঞ্চলিক আইন আবেদন</v>
      </c>
    </row>
    <row r="3133">
      <c r="A3133" s="2" t="s">
        <v>951</v>
      </c>
      <c r="B3133" s="3" t="str">
        <f>IFERROR(__xludf.DUMMYFUNCTION("GOOGLETRANSLATE(A3133, ""ar"", ""bn"")"),"tt আলনা")</f>
        <v>tt আলনা</v>
      </c>
    </row>
    <row r="3134">
      <c r="A3134" s="2" t="s">
        <v>2735</v>
      </c>
      <c r="B3134" s="3" t="str">
        <f>IFERROR(__xludf.DUMMYFUNCTION("GOOGLETRANSLATE(A3134, ""ar"", ""bn"")"),"যৌথ Alttal সম্প্রদায়ের এ")</f>
        <v>যৌথ Alttal সম্প্রদায়ের এ</v>
      </c>
    </row>
    <row r="3135">
      <c r="A3135" s="2" t="s">
        <v>2736</v>
      </c>
      <c r="B3135" s="3" t="str">
        <f>IFERROR(__xludf.DUMMYFUNCTION("GOOGLETRANSLATE(A3135, ""ar"", ""bn"")"),"রাজনৈতিক সম্পর্কের বিবর্তন")</f>
        <v>রাজনৈতিক সম্পর্কের বিবর্তন</v>
      </c>
    </row>
    <row r="3136">
      <c r="A3136" s="2" t="s">
        <v>1089</v>
      </c>
      <c r="B3136" s="3" t="str">
        <f>IFERROR(__xludf.DUMMYFUNCTION("GOOGLETRANSLATE(A3136, ""ar"", ""bn"")"),"হারমনিক রাজনৈতিক উন্নয়ন")</f>
        <v>হারমনিক রাজনৈতিক উন্নয়ন</v>
      </c>
    </row>
    <row r="3137">
      <c r="A3137" s="2" t="s">
        <v>1423</v>
      </c>
      <c r="B3137" s="3" t="str">
        <f>IFERROR(__xludf.DUMMYFUNCTION("GOOGLETRANSLATE(A3137, ""ar"", ""bn"")"),"মিছিল!")</f>
        <v>মিছিল!</v>
      </c>
    </row>
    <row r="3138">
      <c r="A3138" s="2" t="s">
        <v>1161</v>
      </c>
      <c r="B3138" s="3" t="str">
        <f>IFERROR(__xludf.DUMMYFUNCTION("GOOGLETRANSLATE(A3138, ""ar"", ""bn"")"),"কূটনৈতিক এক্সপ্রেশন অশালীন")</f>
        <v>কূটনৈতিক এক্সপ্রেশন অশালীন</v>
      </c>
    </row>
    <row r="3139">
      <c r="A3139" s="2" t="s">
        <v>887</v>
      </c>
      <c r="B3139" s="3" t="str">
        <f>IFERROR(__xludf.DUMMYFUNCTION("GOOGLETRANSLATE(A3139, ""ar"", ""bn"")"),"টাই নির্বাচন")</f>
        <v>টাই নির্বাচন</v>
      </c>
    </row>
    <row r="3140">
      <c r="A3140" s="2" t="s">
        <v>2684</v>
      </c>
      <c r="B3140" s="3" t="str">
        <f>IFERROR(__xludf.DUMMYFUNCTION("GOOGLETRANSLATE(A3140, ""ar"", ""bn"")"),"এর একটি আন্তর্জাতিক সহযোগিতা")</f>
        <v>এর একটি আন্তর্জাতিক সহযোগিতা</v>
      </c>
    </row>
    <row r="3141">
      <c r="A3141" s="2" t="s">
        <v>714</v>
      </c>
      <c r="B3141" s="3" t="str">
        <f>IFERROR(__xludf.DUMMYFUNCTION("GOOGLETRANSLATE(A3141, ""ar"", ""bn"")"),"মিশ্র কূটনৈতিক চুক্তি")</f>
        <v>মিশ্র কূটনৈতিক চুক্তি</v>
      </c>
    </row>
    <row r="3142">
      <c r="A3142" s="2" t="s">
        <v>1137</v>
      </c>
      <c r="B3142" s="3" t="str">
        <f>IFERROR(__xludf.DUMMYFUNCTION("GOOGLETRANSLATE(A3142, ""ar"", ""bn"")"),"প্রতিসম কূটনৈতিক চুক্তি")</f>
        <v>প্রতিসম কূটনৈতিক চুক্তি</v>
      </c>
    </row>
    <row r="3143">
      <c r="A3143" s="2" t="s">
        <v>2498</v>
      </c>
      <c r="B3143" s="3" t="str">
        <f>IFERROR(__xludf.DUMMYFUNCTION("GOOGLETRANSLATE(A3143, ""ar"", ""bn"")"),"বিদেশীদের সঙ্গে লেনদেন")</f>
        <v>বিদেশীদের সঙ্গে লেনদেন</v>
      </c>
    </row>
    <row r="3144">
      <c r="A3144" s="2" t="s">
        <v>1553</v>
      </c>
      <c r="B3144" s="3" t="str">
        <f>IFERROR(__xludf.DUMMYFUNCTION("GOOGLETRANSLATE(A3144, ""ar"", ""bn"")"),"ওয়াল্ডো এর মধ্যে পারস্পরিক সহযোগিতা")</f>
        <v>ওয়াল্ডো এর মধ্যে পারস্পরিক সহযোগিতা</v>
      </c>
    </row>
    <row r="3145">
      <c r="A3145" s="2" t="s">
        <v>2737</v>
      </c>
      <c r="B3145" s="3" t="str">
        <f>IFERROR(__xludf.DUMMYFUNCTION("GOOGLETRANSLATE(A3145, ""ar"", ""bn"")"),"রাজনৈতিক দলের ক্ষমতা মধ্যে সহযোগিতা")</f>
        <v>রাজনৈতিক দলের ক্ষমতা মধ্যে সহযোগিতা</v>
      </c>
    </row>
    <row r="3146">
      <c r="A3146" s="2" t="s">
        <v>1226</v>
      </c>
      <c r="B3146" s="3" t="str">
        <f>IFERROR(__xludf.DUMMYFUNCTION("GOOGLETRANSLATE(A3146, ""ar"", ""bn"")"),"আন্তর্জাতিক সহযোগিতা")</f>
        <v>আন্তর্জাতিক সহযোগিতা</v>
      </c>
    </row>
    <row r="3147">
      <c r="A3147" s="2" t="s">
        <v>2608</v>
      </c>
      <c r="B3147" s="3" t="str">
        <f>IFERROR(__xludf.DUMMYFUNCTION("GOOGLETRANSLATE(A3147, ""ar"", ""bn"")"),"স্বেচ্ছা সহযোগিতা")</f>
        <v>স্বেচ্ছা সহযোগিতা</v>
      </c>
    </row>
    <row r="3148">
      <c r="A3148" s="2" t="s">
        <v>451</v>
      </c>
      <c r="B3148" s="3" t="str">
        <f>IFERROR(__xludf.DUMMYFUNCTION("GOOGLETRANSLATE(A3148, ""ar"", ""bn"")"),"আর দেশের মধ্যে ঘনিষ্ঠ সহযোগিতার")</f>
        <v>আর দেশের মধ্যে ঘনিষ্ঠ সহযোগিতার</v>
      </c>
    </row>
    <row r="3149">
      <c r="A3149" s="2" t="s">
        <v>595</v>
      </c>
      <c r="B3149" s="3" t="str">
        <f>IFERROR(__xludf.DUMMYFUNCTION("GOOGLETRANSLATE(A3149, ""ar"", ""bn"")"),"কো-অপারেশন ও ড জে")</f>
        <v>কো-অপারেশন ও ড জে</v>
      </c>
    </row>
    <row r="3150">
      <c r="A3150" s="2" t="s">
        <v>1748</v>
      </c>
      <c r="B3150" s="3" t="str">
        <f>IFERROR(__xludf.DUMMYFUNCTION("GOOGLETRANSLATE(A3150, ""ar"", ""bn"")"),"শান্তিপূর্ণ সহাবস্থান")</f>
        <v>শান্তিপূর্ণ সহাবস্থান</v>
      </c>
    </row>
    <row r="3151">
      <c r="A3151" s="2" t="s">
        <v>1709</v>
      </c>
      <c r="B3151" s="3" t="str">
        <f>IFERROR(__xludf.DUMMYFUNCTION("GOOGLETRANSLATE(A3151, ""ar"", ""bn"")"),"শান্তিপূর্ণ সহাবস্থান")</f>
        <v>শান্তিপূর্ণ সহাবস্থান</v>
      </c>
    </row>
    <row r="3152">
      <c r="A3152" s="2" t="s">
        <v>1049</v>
      </c>
      <c r="B3152" s="3" t="str">
        <f>IFERROR(__xludf.DUMMYFUNCTION("GOOGLETRANSLATE(A3152, ""ar"", ""bn"")"),"স্মরণ করাইয়া দেত্তয়া")</f>
        <v>স্মরণ করাইয়া দেত্তয়া</v>
      </c>
    </row>
    <row r="3153">
      <c r="A3153" s="2" t="s">
        <v>937</v>
      </c>
      <c r="B3153" s="3" t="str">
        <f>IFERROR(__xludf.DUMMYFUNCTION("GOOGLETRANSLATE(A3153, ""ar"", ""bn"")"),"মতামত প্রকাশ")</f>
        <v>মতামত প্রকাশ</v>
      </c>
    </row>
    <row r="3154">
      <c r="A3154" s="2" t="s">
        <v>1782</v>
      </c>
      <c r="B3154" s="3" t="str">
        <f>IFERROR(__xludf.DUMMYFUNCTION("GOOGLETRANSLATE(A3154, ""ar"", ""bn"")"),"ঘ রাজনৈতিক দলগুলোর")</f>
        <v>ঘ রাজনৈতিক দলগুলোর</v>
      </c>
    </row>
    <row r="3155">
      <c r="A3155" s="2" t="s">
        <v>1543</v>
      </c>
      <c r="B3155" s="3" t="str">
        <f>IFERROR(__xludf.DUMMYFUNCTION("GOOGLETRANSLATE(A3155, ""ar"", ""bn"")"),"ডি-মেরু")</f>
        <v>ডি-মেরু</v>
      </c>
    </row>
    <row r="3156">
      <c r="A3156" s="2" t="s">
        <v>1780</v>
      </c>
      <c r="B3156" s="3" t="str">
        <f>IFERROR(__xludf.DUMMYFUNCTION("GOOGLETRANSLATE(A3156, ""ar"", ""bn"")"),"বন্ধুত্বপূর্ণ")</f>
        <v>বন্ধুত্বপূর্ণ</v>
      </c>
    </row>
    <row r="3157">
      <c r="A3157" s="2" t="s">
        <v>1781</v>
      </c>
      <c r="B3157" s="3" t="str">
        <f>IFERROR(__xludf.DUMMYFUNCTION("GOOGLETRANSLATE(A3157, ""ar"", ""bn"")"),"বহুদলীয়")</f>
        <v>বহুদলীয়</v>
      </c>
    </row>
    <row r="3158">
      <c r="A3158" s="2" t="s">
        <v>2480</v>
      </c>
      <c r="B3158" s="3" t="str">
        <f>IFERROR(__xludf.DUMMYFUNCTION("GOOGLETRANSLATE(A3158, ""ar"", ""bn"")"),"রাজনৈতিক বন্দীদের নির্যাতন")</f>
        <v>রাজনৈতিক বন্দীদের নির্যাতন</v>
      </c>
    </row>
    <row r="3159">
      <c r="A3159" s="2" t="s">
        <v>2738</v>
      </c>
      <c r="B3159" s="3" t="str">
        <f>IFERROR(__xludf.DUMMYFUNCTION("GOOGLETRANSLATE(A3159, ""ar"", ""bn"")"),"কূটনৈতিক শিষ্টাচার প্রচার")</f>
        <v>কূটনৈতিক শিষ্টাচার প্রচার</v>
      </c>
    </row>
    <row r="3160">
      <c r="A3160" s="2" t="s">
        <v>2010</v>
      </c>
      <c r="B3160" s="3" t="str">
        <f>IFERROR(__xludf.DUMMYFUNCTION("GOOGLETRANSLATE(A3160, ""ar"", ""bn"")"),"শান্তি প্রচার করুন")</f>
        <v>শান্তি প্রচার করুন</v>
      </c>
    </row>
    <row r="3161">
      <c r="A3161" s="2" t="s">
        <v>549</v>
      </c>
      <c r="B3161" s="3" t="str">
        <f>IFERROR(__xludf.DUMMYFUNCTION("GOOGLETRANSLATE(A3161, ""ar"", ""bn"")"),"কূটনৈতিক সম্পর্ক সুদৃঢ়")</f>
        <v>কূটনৈতিক সম্পর্ক সুদৃঢ়</v>
      </c>
    </row>
    <row r="3162">
      <c r="A3162" s="2" t="s">
        <v>548</v>
      </c>
      <c r="B3162" s="3" t="str">
        <f>IFERROR(__xludf.DUMMYFUNCTION("GOOGLETRANSLATE(A3162, ""ar"", ""bn"")"),"আন্তর্জাতিক সম্পর্ক বিভাগের প্রোমোশন")</f>
        <v>আন্তর্জাতিক সম্পর্ক বিভাগের প্রোমোশন</v>
      </c>
    </row>
    <row r="3163">
      <c r="A3163" s="2" t="s">
        <v>2009</v>
      </c>
      <c r="B3163" s="3" t="str">
        <f>IFERROR(__xludf.DUMMYFUNCTION("GOOGLETRANSLATE(A3163, ""ar"", ""bn"")"),"মানবাধিকার প্রোমোশন")</f>
        <v>মানবাধিকার প্রোমোশন</v>
      </c>
    </row>
    <row r="3164">
      <c r="A3164" s="2" t="s">
        <v>1459</v>
      </c>
      <c r="B3164" s="3" t="str">
        <f>IFERROR(__xludf.DUMMYFUNCTION("GOOGLETRANSLATE(A3164, ""ar"", ""bn"")"),"শক্তিবৃদ্ধি")</f>
        <v>শক্তিবৃদ্ধি</v>
      </c>
    </row>
    <row r="3165">
      <c r="A3165" s="2" t="s">
        <v>1731</v>
      </c>
      <c r="B3165" s="3" t="str">
        <f>IFERROR(__xludf.DUMMYFUNCTION("GOOGLETRANSLATE(A3165, ""ar"", ""bn"")"),"TAS খ পার্টি")</f>
        <v>TAS খ পার্টি</v>
      </c>
    </row>
    <row r="3166">
      <c r="A3166" s="2" t="s">
        <v>500</v>
      </c>
      <c r="B3166" s="3" t="str">
        <f>IFERROR(__xludf.DUMMYFUNCTION("GOOGLETRANSLATE(A3166, ""ar"", ""bn"")"),"আন্তর্জাতিক সমস্যার জটিলতা")</f>
        <v>আন্তর্জাতিক সমস্যার জটিলতা</v>
      </c>
    </row>
    <row r="3167">
      <c r="A3167" s="2" t="s">
        <v>480</v>
      </c>
      <c r="B3167" s="3" t="str">
        <f>IFERROR(__xludf.DUMMYFUNCTION("GOOGLETRANSLATE(A3167, ""ar"", ""bn"")"),"বক্তৃতা মন্তব্য")</f>
        <v>বক্তৃতা মন্তব্য</v>
      </c>
    </row>
    <row r="3168">
      <c r="A3168" s="2" t="s">
        <v>2422</v>
      </c>
      <c r="B3168" s="3" t="str">
        <f>IFERROR(__xludf.DUMMYFUNCTION("GOOGLETRANSLATE(A3168, ""ar"", ""bn"")"),"মন্তব্য দায়রা")</f>
        <v>মন্তব্য দায়রা</v>
      </c>
    </row>
    <row r="3169">
      <c r="A3169" s="2" t="s">
        <v>2420</v>
      </c>
      <c r="B3169" s="3" t="str">
        <f>IFERROR(__xludf.DUMMYFUNCTION("GOOGLETRANSLATE(A3169, ""ar"", ""bn"")"),"কূটনৈতিক সম্পর্ক স্থগিত")</f>
        <v>কূটনৈতিক সম্পর্ক স্থগিত</v>
      </c>
    </row>
    <row r="3170">
      <c r="A3170" s="2" t="s">
        <v>2423</v>
      </c>
      <c r="B3170" s="3" t="str">
        <f>IFERROR(__xludf.DUMMYFUNCTION("GOOGLETRANSLATE(A3170, ""ar"", ""bn"")"),"রাষ্ট্রের সদস্যপদ স্থগিত")</f>
        <v>রাষ্ট্রের সদস্যপদ স্থগিত</v>
      </c>
    </row>
    <row r="3171">
      <c r="A3171" s="2" t="s">
        <v>2739</v>
      </c>
      <c r="B3171" s="3" t="str">
        <f>IFERROR(__xludf.DUMMYFUNCTION("GOOGLETRANSLATE(A3171, ""ar"", ""bn"")"),"রাজনৈতিক মন্তব্য অন্যায্য হয়")</f>
        <v>রাজনৈতিক মন্তব্য অন্যায্য হয়</v>
      </c>
    </row>
    <row r="3172">
      <c r="A3172" s="2" t="s">
        <v>724</v>
      </c>
      <c r="B3172" s="3" t="str">
        <f>IFERROR(__xludf.DUMMYFUNCTION("GOOGLETRANSLATE(A3172, ""ar"", ""bn"")"),"কূটনীতিক অঙ্গীকার ঘ")</f>
        <v>কূটনীতিক অঙ্গীকার ঘ</v>
      </c>
    </row>
    <row r="3173">
      <c r="A3173" s="2" t="s">
        <v>1213</v>
      </c>
      <c r="B3173" s="3" t="str">
        <f>IFERROR(__xludf.DUMMYFUNCTION("GOOGLETRANSLATE(A3173, ""ar"", ""bn"")"),"আন্তর্জাতিক ঘ অঙ্গীকার")</f>
        <v>আন্তর্জাতিক ঘ অঙ্গীকার</v>
      </c>
    </row>
    <row r="3174">
      <c r="A3174" s="2" t="s">
        <v>2338</v>
      </c>
      <c r="B3174" s="3" t="str">
        <f>IFERROR(__xludf.DUMMYFUNCTION("GOOGLETRANSLATE(A3174, ""ar"", ""bn"")"),"অঙ্গীকার দেশ")</f>
        <v>অঙ্গীকার দেশ</v>
      </c>
    </row>
    <row r="3175">
      <c r="A3175" s="2" t="s">
        <v>2650</v>
      </c>
      <c r="B3175" s="3" t="str">
        <f>IFERROR(__xludf.DUMMYFUNCTION("GOOGLETRANSLATE(A3175, ""ar"", ""bn"")"),"যুদ্ধের ক্ষতিপূরণ")</f>
        <v>যুদ্ধের ক্ষতিপূরণ</v>
      </c>
    </row>
    <row r="3176">
      <c r="A3176" s="2" t="s">
        <v>256</v>
      </c>
      <c r="B3176" s="3" t="str">
        <f>IFERROR(__xludf.DUMMYFUNCTION("GOOGLETRANSLATE(A3176, ""ar"", ""bn"")"),"সরকারী সংস্থা নিয়োগের")</f>
        <v>সরকারী সংস্থা নিয়োগের</v>
      </c>
    </row>
    <row r="3177">
      <c r="A3177" s="2" t="s">
        <v>257</v>
      </c>
      <c r="B3177" s="3" t="str">
        <f>IFERROR(__xludf.DUMMYFUNCTION("GOOGLETRANSLATE(A3177, ""ar"", ""bn"")"),"মন্ত্রীদের নিয়োগ")</f>
        <v>মন্ত্রীদের নিয়োগ</v>
      </c>
    </row>
    <row r="3178">
      <c r="A3178" s="2" t="s">
        <v>255</v>
      </c>
      <c r="B3178" s="3" t="str">
        <f>IFERROR(__xludf.DUMMYFUNCTION("GOOGLETRANSLATE(A3178, ""ar"", ""bn"")"),"নির্বাচনের নিয়োগ")</f>
        <v>নির্বাচনের নিয়োগ</v>
      </c>
    </row>
    <row r="3179">
      <c r="A3179" s="2" t="s">
        <v>617</v>
      </c>
      <c r="B3179" s="3" t="str">
        <f>IFERROR(__xludf.DUMMYFUNCTION("GOOGLETRANSLATE(A3179, ""ar"", ""bn"")"),"রাজনৈতিক ঘটনা কভার")</f>
        <v>রাজনৈতিক ঘটনা কভার</v>
      </c>
    </row>
    <row r="3180">
      <c r="A3180" s="2" t="s">
        <v>618</v>
      </c>
      <c r="B3180" s="3" t="str">
        <f>IFERROR(__xludf.DUMMYFUNCTION("GOOGLETRANSLATE(A3180, ""ar"", ""bn"")"),"রাজনৈতিক ঘটনা কভার")</f>
        <v>রাজনৈতিক ঘটনা কভার</v>
      </c>
    </row>
    <row r="3181">
      <c r="A3181" s="2" t="s">
        <v>616</v>
      </c>
      <c r="B3181" s="3" t="str">
        <f>IFERROR(__xludf.DUMMYFUNCTION("GOOGLETRANSLATE(A3181, ""ar"", ""bn"")"),"সৈন্যবাহিনী প্রত্যাহার ঢেকে")</f>
        <v>সৈন্যবাহিনী প্রত্যাহার ঢেকে</v>
      </c>
    </row>
    <row r="3182">
      <c r="A3182" s="2" t="s">
        <v>195</v>
      </c>
      <c r="B3182" s="3" t="str">
        <f>IFERROR(__xludf.DUMMYFUNCTION("GOOGLETRANSLATE(A3182, ""ar"", ""bn"")"),"কূটনৈতিক সমস্যার প্রকোপ বৃদ্ধি")</f>
        <v>কূটনৈতিক সমস্যার প্রকোপ বৃদ্ধি</v>
      </c>
    </row>
    <row r="3183">
      <c r="A3183" s="2" t="s">
        <v>194</v>
      </c>
      <c r="B3183" s="3" t="str">
        <f>IFERROR(__xludf.DUMMYFUNCTION("GOOGLETRANSLATE(A3183, ""ar"", ""bn"")"),"কূটনৈতিক বিরোধ প্রকোপ বৃদ্ধি")</f>
        <v>কূটনৈতিক বিরোধ প্রকোপ বৃদ্ধি</v>
      </c>
    </row>
    <row r="3184">
      <c r="A3184" s="2" t="s">
        <v>196</v>
      </c>
      <c r="B3184" s="3" t="str">
        <f>IFERROR(__xludf.DUMMYFUNCTION("GOOGLETRANSLATE(A3184, ""ar"", ""bn"")"),"রাজনৈতিক পরিস্থিতির প্রকোপ বৃদ্ধি")</f>
        <v>রাজনৈতিক পরিস্থিতির প্রকোপ বৃদ্ধি</v>
      </c>
    </row>
    <row r="3185">
      <c r="A3185" s="2" t="s">
        <v>1280</v>
      </c>
      <c r="B3185" s="3" t="str">
        <f>IFERROR(__xludf.DUMMYFUNCTION("GOOGLETRANSLATE(A3185, ""ar"", ""bn"")"),"আন্তর্জাতিক বোঝার")</f>
        <v>আন্তর্জাতিক বোঝার</v>
      </c>
    </row>
    <row r="3186">
      <c r="A3186" s="2" t="s">
        <v>1555</v>
      </c>
      <c r="B3186" s="3" t="str">
        <f>IFERROR(__xludf.DUMMYFUNCTION("GOOGLETRANSLATE(A3186, ""ar"", ""bn"")"),"দেশের মধ্যে একটি সাধারণ বোঝার")</f>
        <v>দেশের মধ্যে একটি সাধারণ বোঝার</v>
      </c>
    </row>
    <row r="3187">
      <c r="A3187" s="2" t="s">
        <v>2740</v>
      </c>
      <c r="B3187" s="3" t="str">
        <f>IFERROR(__xludf.DUMMYFUNCTION("GOOGLETRANSLATE(A3187, ""ar"", ""bn"")"),"তথ্য পি পরীক্ষা করা।")</f>
        <v>তথ্য পি পরীক্ষা করা।</v>
      </c>
    </row>
    <row r="3188">
      <c r="A3188" s="2" t="s">
        <v>1286</v>
      </c>
      <c r="B3188" s="3" t="str">
        <f>IFERROR(__xludf.DUMMYFUNCTION("GOOGLETRANSLATE(A3188, ""ar"", ""bn"")"),"আন্তর্জাতিক আইনের ব্যাখ্যা")</f>
        <v>আন্তর্জাতিক আইনের ব্যাখ্যা</v>
      </c>
    </row>
    <row r="3189">
      <c r="A3189" s="2" t="s">
        <v>1705</v>
      </c>
      <c r="B3189" s="3" t="str">
        <f>IFERROR(__xludf.DUMMYFUNCTION("GOOGLETRANSLATE(A3189, ""ar"", ""bn"")"),"ইসস গুলি নির্বাচনী ভোট")</f>
        <v>ইসস গুলি নির্বাচনী ভোট</v>
      </c>
    </row>
    <row r="3190">
      <c r="A3190" s="2" t="s">
        <v>1963</v>
      </c>
      <c r="B3190" s="3" t="str">
        <f>IFERROR(__xludf.DUMMYFUNCTION("GOOGLETRANSLATE(A3190, ""ar"", ""bn"")"),"ইসস গুলি রাষ্ট্রপতি")</f>
        <v>ইসস গুলি রাষ্ট্রপতি</v>
      </c>
    </row>
    <row r="3191">
      <c r="A3191" s="2" t="s">
        <v>1878</v>
      </c>
      <c r="B3191" s="3" t="str">
        <f>IFERROR(__xludf.DUMMYFUNCTION("GOOGLETRANSLATE(A3191, ""ar"", ""bn"")"),"ইসস গুলি রাজনৈতিক")</f>
        <v>ইসস গুলি রাজনৈতিক</v>
      </c>
    </row>
    <row r="3192">
      <c r="A3192" s="2" t="s">
        <v>1466</v>
      </c>
      <c r="B3192" s="3" t="str">
        <f>IFERROR(__xludf.DUMMYFUNCTION("GOOGLETRANSLATE(A3192, ""ar"", ""bn"")"),"সামরিক অধিকার পরিপূর্ণ")</f>
        <v>সামরিক অধিকার পরিপূর্ণ</v>
      </c>
    </row>
    <row r="3193">
      <c r="A3193" s="2" t="s">
        <v>1420</v>
      </c>
      <c r="B3193" s="3" t="str">
        <f>IFERROR(__xludf.DUMMYFUNCTION("GOOGLETRANSLATE(A3193, ""ar"", ""bn"")"),"ভোট প্রতিনিধি")</f>
        <v>ভোট প্রতিনিধি</v>
      </c>
    </row>
    <row r="3194">
      <c r="A3194" s="2" t="s">
        <v>668</v>
      </c>
      <c r="B3194" s="3" t="str">
        <f>IFERROR(__xludf.DUMMYFUNCTION("GOOGLETRANSLATE(A3194, ""ar"", ""bn"")"),"প্রতিনিধি নিয়োগ কর্তৃপক্ষ")</f>
        <v>প্রতিনিধি নিয়োগ কর্তৃপক্ষ</v>
      </c>
    </row>
    <row r="3195">
      <c r="A3195" s="2" t="s">
        <v>2741</v>
      </c>
      <c r="B3195" s="3" t="str">
        <f>IFERROR(__xludf.DUMMYFUNCTION("GOOGLETRANSLATE(A3195, ""ar"", ""bn"")"),"রাজনৈতিক দৃষ্টিভঙ্গির কনভার্জেন্স")</f>
        <v>রাজনৈতিক দৃষ্টিভঙ্গির কনভার্জেন্স</v>
      </c>
    </row>
    <row r="3196">
      <c r="A3196" s="2" t="s">
        <v>529</v>
      </c>
      <c r="B3196" s="3" t="str">
        <f>IFERROR(__xludf.DUMMYFUNCTION("GOOGLETRANSLATE(A3196, ""ar"", ""bn"")"),"সিক্রেট রাজনৈতিক ইয়ে রিপোর্ট")</f>
        <v>সিক্রেট রাজনৈতিক ইয়ে রিপোর্ট</v>
      </c>
    </row>
    <row r="3197">
      <c r="A3197" s="2" t="s">
        <v>770</v>
      </c>
      <c r="B3197" s="3" t="str">
        <f>IFERROR(__xludf.DUMMYFUNCTION("GOOGLETRANSLATE(A3197, ""ar"", ""bn"")"),"কূটনৈতিক রিপোর্ট")</f>
        <v>কূটনৈতিক রিপোর্ট</v>
      </c>
    </row>
    <row r="3198">
      <c r="A3198" s="2" t="s">
        <v>322</v>
      </c>
      <c r="B3198" s="3" t="str">
        <f>IFERROR(__xludf.DUMMYFUNCTION("GOOGLETRANSLATE(A3198, ""ar"", ""bn"")"),"কূটনৈতিক রিপোর্ট পূর্ববর্তী যুগের")</f>
        <v>কূটনৈতিক রিপোর্ট পূর্ববর্তী যুগের</v>
      </c>
    </row>
    <row r="3199">
      <c r="A3199" s="2" t="s">
        <v>528</v>
      </c>
      <c r="B3199" s="3" t="str">
        <f>IFERROR(__xludf.DUMMYFUNCTION("GOOGLETRANSLATE(A3199, ""ar"", ""bn"")"),"সিক্রেট কূটনৈতিক রিপোর্ট ইয়ে")</f>
        <v>সিক্রেট কূটনৈতিক রিপোর্ট ইয়ে</v>
      </c>
    </row>
    <row r="3200">
      <c r="A3200" s="2" t="s">
        <v>2387</v>
      </c>
      <c r="B3200" s="3" t="str">
        <f>IFERROR(__xludf.DUMMYFUNCTION("GOOGLETRANSLATE(A3200, ""ar"", ""bn"")"),"Tkd একটি রাজনৈতিক হিসাবে চিহ্নিত")</f>
        <v>Tkd একটি রাজনৈতিক হিসাবে চিহ্নিত</v>
      </c>
    </row>
    <row r="3201">
      <c r="A3201" s="2" t="s">
        <v>1791</v>
      </c>
      <c r="B3201" s="3" t="str">
        <f>IFERROR(__xludf.DUMMYFUNCTION("GOOGLETRANSLATE(A3201, ""ar"", ""bn"")"),"Tugod রাজনৈতিক গোলক")</f>
        <v>Tugod রাজনৈতিক গোলক</v>
      </c>
    </row>
    <row r="3202">
      <c r="A3202" s="2" t="s">
        <v>1947</v>
      </c>
      <c r="B3202" s="3" t="str">
        <f>IFERROR(__xludf.DUMMYFUNCTION("GOOGLETRANSLATE(A3202, ""ar"", ""bn"")"),"পরিচয়পত্রের জমা")</f>
        <v>পরিচয়পত্রের জমা</v>
      </c>
    </row>
    <row r="3203">
      <c r="A3203" s="2" t="s">
        <v>1840</v>
      </c>
      <c r="B3203" s="3" t="str">
        <f>IFERROR(__xludf.DUMMYFUNCTION("GOOGLETRANSLATE(A3203, ""ar"", ""bn"")"),"ঘটনা রাজনৈতিক প্রতিবেদন")</f>
        <v>ঘটনা রাজনৈতিক প্রতিবেদন</v>
      </c>
    </row>
    <row r="3204">
      <c r="A3204" s="2" t="s">
        <v>958</v>
      </c>
      <c r="B3204" s="3" t="str">
        <f>IFERROR(__xludf.DUMMYFUNCTION("GOOGLETRANSLATE(A3204, ""ar"", ""bn"")"),"প্রতিবেদন তথ্য উপস্থাপন")</f>
        <v>প্রতিবেদন তথ্য উপস্থাপন</v>
      </c>
    </row>
    <row r="3205">
      <c r="A3205" s="2" t="s">
        <v>2703</v>
      </c>
      <c r="B3205" s="3" t="str">
        <f>IFERROR(__xludf.DUMMYFUNCTION("GOOGLETRANSLATE(A3205, ""ar"", ""bn"")"),"জে লাইন প্রতিবেদন")</f>
        <v>জে লাইন প্রতিবেদন</v>
      </c>
    </row>
    <row r="3206">
      <c r="A3206" s="2" t="s">
        <v>244</v>
      </c>
      <c r="B3206" s="3" t="str">
        <f>IFERROR(__xludf.DUMMYFUNCTION("GOOGLETRANSLATE(A3206, ""ar"", ""bn"")"),"একটি বার্ষিক কূটনৈতিক প্রতিবেদন")</f>
        <v>একটি বার্ষিক কূটনৈতিক প্রতিবেদন</v>
      </c>
    </row>
    <row r="3207">
      <c r="A3207" s="2" t="s">
        <v>2244</v>
      </c>
      <c r="B3207" s="3" t="str">
        <f>IFERROR(__xludf.DUMMYFUNCTION("GOOGLETRANSLATE(A3207, ""ar"", ""bn"")"),"আমার রিপোর্ট গোপন")</f>
        <v>আমার রিপোর্ট গোপন</v>
      </c>
    </row>
    <row r="3208">
      <c r="A3208" s="2" t="s">
        <v>1887</v>
      </c>
      <c r="B3208" s="3" t="str">
        <f>IFERROR(__xludf.DUMMYFUNCTION("GOOGLETRANSLATE(A3208, ""ar"", ""bn"")"),"রাজনৈতিক প্রতিবেদন")</f>
        <v>রাজনৈতিক প্রতিবেদন</v>
      </c>
    </row>
    <row r="3209">
      <c r="A3209" s="2" t="s">
        <v>2742</v>
      </c>
      <c r="B3209" s="3" t="str">
        <f>IFERROR(__xludf.DUMMYFUNCTION("GOOGLETRANSLATE(A3209, ""ar"", ""bn"")"),"টি রাজনৈতিক প্রতিবেদন নিশ্চিহ্ন")</f>
        <v>টি রাজনৈতিক প্রতিবেদন নিশ্চিহ্ন</v>
      </c>
    </row>
    <row r="3210">
      <c r="A3210" s="2" t="s">
        <v>2587</v>
      </c>
      <c r="B3210" s="3" t="str">
        <f>IFERROR(__xludf.DUMMYFUNCTION("GOOGLETRANSLATE(A3210, ""ar"", ""bn"")"),"মৌখিক প্রতিবেদন")</f>
        <v>মৌখিক প্রতিবেদন</v>
      </c>
    </row>
    <row r="3211">
      <c r="A3211" s="2" t="s">
        <v>2453</v>
      </c>
      <c r="B3211" s="3" t="str">
        <f>IFERROR(__xludf.DUMMYFUNCTION("GOOGLETRANSLATE(A3211, ""ar"", ""bn"")"),"আঞ্চলিক বিভাগের")</f>
        <v>আঞ্চলিক বিভাগের</v>
      </c>
    </row>
    <row r="3212">
      <c r="A3212" s="2" t="s">
        <v>304</v>
      </c>
      <c r="B3212" s="3" t="str">
        <f>IFERROR(__xludf.DUMMYFUNCTION("GOOGLETRANSLATE(A3212, ""ar"", ""bn"")"),"কঠোরতা")</f>
        <v>কঠোরতা</v>
      </c>
    </row>
    <row r="3213">
      <c r="A3213" s="2" t="s">
        <v>2167</v>
      </c>
      <c r="B3213" s="3" t="str">
        <f>IFERROR(__xludf.DUMMYFUNCTION("GOOGLETRANSLATE(A3213, ""ar"", ""bn"")"),"স্বাধীনতা সীমাবদ্ধতা")</f>
        <v>স্বাধীনতা সীমাবদ্ধতা</v>
      </c>
    </row>
    <row r="3214">
      <c r="A3214" s="2" t="s">
        <v>2168</v>
      </c>
      <c r="B3214" s="3" t="str">
        <f>IFERROR(__xludf.DUMMYFUNCTION("GOOGLETRANSLATE(A3214, ""ar"", ""bn"")"),"বাক্ ও ভাব প্রকাশের স্বাধীনতার সীমাবদ্ধ")</f>
        <v>বাক্ ও ভাব প্রকাশের স্বাধীনতার সীমাবদ্ধ</v>
      </c>
    </row>
    <row r="3215">
      <c r="A3215" s="2" t="s">
        <v>2166</v>
      </c>
      <c r="B3215" s="3" t="str">
        <f>IFERROR(__xludf.DUMMYFUNCTION("GOOGLETRANSLATE(A3215, ""ar"", ""bn"")"),"বিতর্ক এবং সমালোচনার স্বাধীনতা সীমাবদ্ধ")</f>
        <v>বিতর্ক এবং সমালোচনার স্বাধীনতা সীমাবদ্ধ</v>
      </c>
    </row>
    <row r="3216">
      <c r="A3216" s="2" t="s">
        <v>900</v>
      </c>
      <c r="B3216" s="3" t="str">
        <f>IFERROR(__xludf.DUMMYFUNCTION("GOOGLETRANSLATE(A3216, ""ar"", ""bn"")"),"ঘটনা রাজনৈতিক মূল্যায়ন")</f>
        <v>ঘটনা রাজনৈতিক মূল্যায়ন</v>
      </c>
    </row>
    <row r="3217">
      <c r="A3217" s="2" t="s">
        <v>2743</v>
      </c>
      <c r="B3217" s="3" t="str">
        <f>IFERROR(__xludf.DUMMYFUNCTION("GOOGLETRANSLATE(A3217, ""ar"", ""bn"")"),"রাজনৈতিক রিপোর্টের কম্প্রিহেনসিভ মূল্যায়ন")</f>
        <v>রাজনৈতিক রিপোর্টের কম্প্রিহেনসিভ মূল্যায়ন</v>
      </c>
    </row>
    <row r="3218">
      <c r="A3218" s="2" t="s">
        <v>879</v>
      </c>
      <c r="B3218" s="3" t="str">
        <f>IFERROR(__xludf.DUMMYFUNCTION("GOOGLETRANSLATE(A3218, ""ar"", ""bn"")"),"সমান সুযোগ")</f>
        <v>সমান সুযোগ</v>
      </c>
    </row>
    <row r="3219">
      <c r="A3219" s="2" t="s">
        <v>1184</v>
      </c>
      <c r="B3219" s="3" t="str">
        <f>IFERROR(__xludf.DUMMYFUNCTION("GOOGLETRANSLATE(A3219, ""ar"", ""bn"")"),"রাজনৈতিক সম্প্রদায়ের ইন্টিগ্রেশন")</f>
        <v>রাজনৈতিক সম্প্রদায়ের ইন্টিগ্রেশন</v>
      </c>
    </row>
    <row r="3220">
      <c r="A3220" s="2" t="s">
        <v>1183</v>
      </c>
      <c r="B3220" s="3" t="str">
        <f>IFERROR(__xludf.DUMMYFUNCTION("GOOGLETRANSLATE(A3220, ""ar"", ""bn"")"),"রাজনৈতিক ঘটনা ইন্টিগ্রেশন")</f>
        <v>রাজনৈতিক ঘটনা ইন্টিগ্রেশন</v>
      </c>
    </row>
    <row r="3221">
      <c r="A3221" s="2" t="s">
        <v>1851</v>
      </c>
      <c r="B3221" s="3" t="str">
        <f>IFERROR(__xludf.DUMMYFUNCTION("GOOGLETRANSLATE(A3221, ""ar"", ""bn"")"),"রাজনৈতিক ইন্টিগ্রেশন")</f>
        <v>রাজনৈতিক ইন্টিগ্রেশন</v>
      </c>
    </row>
    <row r="3222">
      <c r="A3222" s="2" t="s">
        <v>2056</v>
      </c>
      <c r="B3222" s="3" t="str">
        <f>IFERROR(__xludf.DUMMYFUNCTION("GOOGLETRANSLATE(A3222, ""ar"", ""bn"")"),"এথনিক ইন্টিগ্রেশন")</f>
        <v>এথনিক ইন্টিগ্রেশন</v>
      </c>
    </row>
    <row r="3223">
      <c r="A3223" s="2" t="s">
        <v>1517</v>
      </c>
      <c r="B3223" s="3" t="str">
        <f>IFERROR(__xludf.DUMMYFUNCTION("GOOGLETRANSLATE(A3223, ""ar"", ""bn"")"),"সংখ্যালঘুদের প্রতিনিধিত্ব")</f>
        <v>সংখ্যালঘুদের প্রতিনিধিত্ব</v>
      </c>
    </row>
    <row r="3224">
      <c r="A3224" s="2" t="s">
        <v>1721</v>
      </c>
      <c r="B3224" s="3" t="str">
        <f>IFERROR(__xludf.DUMMYFUNCTION("GOOGLETRANSLATE(A3224, ""ar"", ""bn"")"),"সংসদীয় উপস্থাপনা")</f>
        <v>সংসদীয় উপস্থাপনা</v>
      </c>
    </row>
    <row r="3225">
      <c r="A3225" s="2" t="s">
        <v>1546</v>
      </c>
      <c r="B3225" s="3" t="str">
        <f>IFERROR(__xludf.DUMMYFUNCTION("GOOGLETRANSLATE(A3225, ""ar"", ""bn"")"),"সংসদীয় দলগুলোর অকর্মক d এর উপস্থাপনা")</f>
        <v>সংসদীয় দলগুলোর অকর্মক d এর উপস্থাপনা</v>
      </c>
    </row>
    <row r="3226">
      <c r="A3226" s="2" t="s">
        <v>2744</v>
      </c>
      <c r="B3226" s="3" t="str">
        <f>IFERROR(__xludf.DUMMYFUNCTION("GOOGLETRANSLATE(A3226, ""ar"", ""bn"")"),"টি কূটনীতিক ইন্সটান্স")</f>
        <v>টি কূটনীতিক ইন্সটান্স</v>
      </c>
    </row>
    <row r="3227">
      <c r="A3227" s="2" t="s">
        <v>327</v>
      </c>
      <c r="B3227" s="3" t="str">
        <f>IFERROR(__xludf.DUMMYFUNCTION("GOOGLETRANSLATE(A3227, ""ar"", ""bn"")"),"সমান কূটনৈতিক উপস্থাপনা")</f>
        <v>সমান কূটনৈতিক উপস্থাপনা</v>
      </c>
    </row>
    <row r="3228">
      <c r="A3228" s="2" t="s">
        <v>1888</v>
      </c>
      <c r="B3228" s="3" t="str">
        <f>IFERROR(__xludf.DUMMYFUNCTION("GOOGLETRANSLATE(A3228, ""ar"", ""bn"")"),"রাজনৈতিক প্রতিনিধিত্ব")</f>
        <v>রাজনৈতিক প্রতিনিধিত্ব</v>
      </c>
    </row>
    <row r="3229">
      <c r="A3229" s="2" t="s">
        <v>1547</v>
      </c>
      <c r="B3229" s="3" t="str">
        <f>IFERROR(__xludf.DUMMYFUNCTION("GOOGLETRANSLATE(A3229, ""ar"", ""bn"")"),"এমএলএস উপস্থাপনা")</f>
        <v>এমএলএস উপস্থাপনা</v>
      </c>
    </row>
    <row r="3230">
      <c r="A3230" s="2" t="s">
        <v>2012</v>
      </c>
      <c r="B3230" s="3" t="str">
        <f>IFERROR(__xludf.DUMMYFUNCTION("GOOGLETRANSLATE(A3230, ""ar"", ""bn"")"),"আনুপাতক উপস্থাপন")</f>
        <v>আনুপাতক উপস্থাপন</v>
      </c>
    </row>
    <row r="3231">
      <c r="A3231" s="2" t="s">
        <v>2072</v>
      </c>
      <c r="B3231" s="3" t="str">
        <f>IFERROR(__xludf.DUMMYFUNCTION("GOOGLETRANSLATE(A3231, ""ar"", ""bn"")"),"D রাজনৈতিক বন্দীদের পাস")</f>
        <v>D রাজনৈতিক বন্দীদের পাস</v>
      </c>
    </row>
    <row r="3232">
      <c r="A3232" s="2" t="s">
        <v>276</v>
      </c>
      <c r="B3232" s="3" t="str">
        <f>IFERROR(__xludf.DUMMYFUNCTION("GOOGLETRANSLATE(A3232, ""ar"", ""bn"")"),"এইচ পাস ঘ মজা")</f>
        <v>এইচ পাস ঘ মজা</v>
      </c>
    </row>
    <row r="3233">
      <c r="A3233" s="2" t="s">
        <v>412</v>
      </c>
      <c r="B3233" s="3" t="str">
        <f>IFERROR(__xludf.DUMMYFUNCTION("GOOGLETRANSLATE(A3233, ""ar"", ""bn"")"),"পাস ক্ষমতা সি জেড")</f>
        <v>পাস ক্ষমতা সি জেড</v>
      </c>
    </row>
    <row r="3234">
      <c r="A3234" s="2" t="s">
        <v>2745</v>
      </c>
      <c r="B3234" s="3" t="str">
        <f>IFERROR(__xludf.DUMMYFUNCTION("GOOGLETRANSLATE(A3234, ""ar"", ""bn"")"),"সামাজিক শ্রেণী মধ্যে পার্থক্য")</f>
        <v>সামাজিক শ্রেণী মধ্যে পার্থক্য</v>
      </c>
    </row>
    <row r="3235">
      <c r="A3235" s="2" t="s">
        <v>2054</v>
      </c>
      <c r="B3235" s="3" t="str">
        <f>IFERROR(__xludf.DUMMYFUNCTION("GOOGLETRANSLATE(A3235, ""ar"", ""bn"")"),"জাতি ভিত্তিতে বৈষম্য")</f>
        <v>জাতি ভিত্তিতে বৈষম্য</v>
      </c>
    </row>
    <row r="3236">
      <c r="A3236" s="2" t="s">
        <v>2746</v>
      </c>
      <c r="B3236" s="3" t="str">
        <f>IFERROR(__xludf.DUMMYFUNCTION("GOOGLETRANSLATE(A3236, ""ar"", ""bn"")"),"অপরিহার্য উপাদান হাইলাইট করুন")</f>
        <v>অপরিহার্য উপাদান হাইলাইট করুন</v>
      </c>
    </row>
    <row r="3237">
      <c r="A3237" s="2" t="s">
        <v>1341</v>
      </c>
      <c r="B3237" s="3" t="str">
        <f>IFERROR(__xludf.DUMMYFUNCTION("GOOGLETRANSLATE(A3237, ""ar"", ""bn"")"),"বৈষম্য আইনত")</f>
        <v>বৈষম্য আইনত</v>
      </c>
    </row>
    <row r="3238">
      <c r="A3238" s="2" t="s">
        <v>2747</v>
      </c>
      <c r="B3238" s="3" t="str">
        <f>IFERROR(__xludf.DUMMYFUNCTION("GOOGLETRANSLATE(A3238, ""ar"", ""bn"")"),"আশেপাশে আন্তর্জাতিক আইন সংঘাত ছ স্থানিক")</f>
        <v>আশেপাশে আন্তর্জাতিক আইন সংঘাত ছ স্থানিক</v>
      </c>
    </row>
    <row r="3239">
      <c r="A3239" s="2" t="s">
        <v>533</v>
      </c>
      <c r="B3239" s="3" t="str">
        <f>IFERROR(__xludf.DUMMYFUNCTION("GOOGLETRANSLATE(A3239, ""ar"", ""bn"")"),"সুদ ইন্টারন্যাশনাল দ্বন্দ্ব")</f>
        <v>সুদ ইন্টারন্যাশনাল দ্বন্দ্ব</v>
      </c>
    </row>
    <row r="3240">
      <c r="A3240" s="2" t="s">
        <v>532</v>
      </c>
      <c r="B3240" s="3" t="str">
        <f>IFERROR(__xludf.DUMMYFUNCTION("GOOGLETRANSLATE(A3240, ""ar"", ""bn"")"),"রাজনৈতিক স্বার্থ সংঘাত")</f>
        <v>রাজনৈতিক স্বার্থ সংঘাত</v>
      </c>
    </row>
    <row r="3241">
      <c r="A3241" s="2" t="s">
        <v>395</v>
      </c>
      <c r="B3241" s="3" t="str">
        <f>IFERROR(__xludf.DUMMYFUNCTION("GOOGLETRANSLATE(A3241, ""ar"", ""bn"")"),"চুক্তির অধীনে ছাড়")</f>
        <v>চুক্তির অধীনে ছাড়</v>
      </c>
    </row>
    <row r="3242">
      <c r="A3242" s="2" t="s">
        <v>1218</v>
      </c>
      <c r="B3242" s="3" t="str">
        <f>IFERROR(__xludf.DUMMYFUNCTION("GOOGLETRANSLATE(A3242, ""ar"", ""bn"")"),"আন্তর্জাতিক ছাড়")</f>
        <v>আন্তর্জাতিক ছাড়</v>
      </c>
    </row>
    <row r="3243">
      <c r="A3243" s="2" t="s">
        <v>2426</v>
      </c>
      <c r="B3243" s="3" t="str">
        <f>IFERROR(__xludf.DUMMYFUNCTION("GOOGLETRANSLATE(A3243, ""ar"", ""bn"")"),"লার্জ আন্তর্জাতিক ছাড়")</f>
        <v>লার্জ আন্তর্জাতিক ছাড়</v>
      </c>
    </row>
    <row r="3244">
      <c r="A3244" s="2" t="s">
        <v>1090</v>
      </c>
      <c r="B3244" s="3" t="str">
        <f>IFERROR(__xludf.DUMMYFUNCTION("GOOGLETRANSLATE(A3244, ""ar"", ""bn"")"),"ভী Nasag আন্তর্জাতিক মতামত")</f>
        <v>ভী Nasag আন্তর্জাতিক মতামত</v>
      </c>
    </row>
    <row r="3245">
      <c r="A3245" s="2" t="s">
        <v>1153</v>
      </c>
      <c r="B3245" s="3" t="str">
        <f>IFERROR(__xludf.DUMMYFUNCTION("GOOGLETRANSLATE(A3245, ""ar"", ""bn"")"),"ফরেন পলিসি বাস্তবায়নের")</f>
        <v>ফরেন পলিসি বাস্তবায়নের</v>
      </c>
    </row>
    <row r="3246">
      <c r="A3246" s="2" t="s">
        <v>2748</v>
      </c>
      <c r="B3246" s="3" t="str">
        <f>IFERROR(__xludf.DUMMYFUNCTION("GOOGLETRANSLATE(A3246, ""ar"", ""bn"")"),"TNO পি রাজনৈতিক ব্যবস্থা")</f>
        <v>TNO পি রাজনৈতিক ব্যবস্থা</v>
      </c>
    </row>
    <row r="3247">
      <c r="A3247" s="2" t="s">
        <v>2749</v>
      </c>
      <c r="B3247" s="3" t="str">
        <f>IFERROR(__xludf.DUMMYFUNCTION("GOOGLETRANSLATE(A3247, ""ar"", ""bn"")"),"আন্তর্জাতিক প্রয়োজনীয়তা পি nucleation")</f>
        <v>আন্তর্জাতিক প্রয়োজনীয়তা পি nucleation</v>
      </c>
    </row>
    <row r="3248">
      <c r="A3248" s="2" t="s">
        <v>1012</v>
      </c>
      <c r="B3248" s="3" t="str">
        <f>IFERROR(__xludf.DUMMYFUNCTION("GOOGLETRANSLATE(A3248, ""ar"", ""bn"")"),"পররাষ্ট্র হুমকি")</f>
        <v>পররাষ্ট্র হুমকি</v>
      </c>
    </row>
    <row r="3249">
      <c r="A3249" s="2" t="s">
        <v>942</v>
      </c>
      <c r="B3249" s="3" t="str">
        <f>IFERROR(__xludf.DUMMYFUNCTION("GOOGLETRANSLATE(A3249, ""ar"", ""bn"")"),"বাহ্যিক হুমকি")</f>
        <v>বাহ্যিক হুমকি</v>
      </c>
    </row>
    <row r="3250">
      <c r="A3250" s="2" t="s">
        <v>1474</v>
      </c>
      <c r="B3250" s="3" t="str">
        <f>IFERROR(__xludf.DUMMYFUNCTION("GOOGLETRANSLATE(A3250, ""ar"", ""bn"")"),"সেনাবাহিনী হুমকি")</f>
        <v>সেনাবাহিনী হুমকি</v>
      </c>
    </row>
    <row r="3251">
      <c r="A3251" s="2" t="s">
        <v>1235</v>
      </c>
      <c r="B3251" s="3" t="str">
        <f>IFERROR(__xludf.DUMMYFUNCTION("GOOGLETRANSLATE(A3251, ""ar"", ""bn"")"),"আন্তর্জাতিক দৃশ্যের উপর উপস্থিতি")</f>
        <v>আন্তর্জাতিক দৃশ্যের উপর উপস্থিতি</v>
      </c>
    </row>
    <row r="3252">
      <c r="A3252" s="2" t="s">
        <v>1837</v>
      </c>
      <c r="B3252" s="3" t="str">
        <f>IFERROR(__xludf.DUMMYFUNCTION("GOOGLETRANSLATE(A3252, ""ar"", ""bn"")"),"রাজনৈতিক দৃশ্যের উপর উপস্থিতি")</f>
        <v>রাজনৈতিক দৃশ্যের উপর উপস্থিতি</v>
      </c>
    </row>
    <row r="3253">
      <c r="A3253" s="2" t="s">
        <v>1945</v>
      </c>
      <c r="B3253" s="3" t="str">
        <f>IFERROR(__xludf.DUMMYFUNCTION("GOOGLETRANSLATE(A3253, ""ar"", ""bn"")"),"সংসদে উপস্থিতি")</f>
        <v>সংসদে উপস্থিতি</v>
      </c>
    </row>
    <row r="3254">
      <c r="A3254" s="2" t="s">
        <v>326</v>
      </c>
      <c r="B3254" s="3" t="str">
        <f>IFERROR(__xludf.DUMMYFUNCTION("GOOGLETRANSLATE(A3254, ""ar"", ""bn"")"),"কর্তৃপক্ষ ভারসাম্য")</f>
        <v>কর্তৃপক্ষ ভারসাম্য</v>
      </c>
    </row>
    <row r="3255">
      <c r="A3255" s="2" t="s">
        <v>324</v>
      </c>
      <c r="B3255" s="3" t="str">
        <f>IFERROR(__xludf.DUMMYFUNCTION("GOOGLETRANSLATE(A3255, ""ar"", ""bn"")"),"শক্তির ভারসাম্য")</f>
        <v>শক্তির ভারসাম্য</v>
      </c>
    </row>
    <row r="3256">
      <c r="A3256" s="2" t="s">
        <v>1234</v>
      </c>
      <c r="B3256" s="3" t="str">
        <f>IFERROR(__xludf.DUMMYFUNCTION("GOOGLETRANSLATE(A3256, ""ar"", ""bn"")"),"আন্তর্জাতিক ভারসাম্য")</f>
        <v>আন্তর্জাতিক ভারসাম্য</v>
      </c>
    </row>
    <row r="3257">
      <c r="A3257" s="2" t="s">
        <v>1835</v>
      </c>
      <c r="B3257" s="3" t="str">
        <f>IFERROR(__xludf.DUMMYFUNCTION("GOOGLETRANSLATE(A3257, ""ar"", ""bn"")"),"রাজনৈতিক ভারসাম্য")</f>
        <v>রাজনৈতিক ভারসাম্য</v>
      </c>
    </row>
    <row r="3258">
      <c r="A3258" s="2" t="s">
        <v>1189</v>
      </c>
      <c r="B3258" s="3" t="str">
        <f>IFERROR(__xludf.DUMMYFUNCTION("GOOGLETRANSLATE(A3258, ""ar"", ""bn"")"),"মানুষের মধ্যে যোগাযোগ")</f>
        <v>মানুষের মধ্যে যোগাযোগ</v>
      </c>
    </row>
    <row r="3259">
      <c r="A3259" s="2" t="s">
        <v>515</v>
      </c>
      <c r="B3259" s="3" t="str">
        <f>IFERROR(__xludf.DUMMYFUNCTION("GOOGLETRANSLATE(A3259, ""ar"", ""bn"")"),"রাজনৈতিক ঐক্যমত্য")</f>
        <v>রাজনৈতিক ঐক্যমত্য</v>
      </c>
    </row>
    <row r="3260">
      <c r="A3260" s="2" t="s">
        <v>2750</v>
      </c>
      <c r="B3260" s="3" t="str">
        <f>IFERROR(__xludf.DUMMYFUNCTION("GOOGLETRANSLATE(A3260, ""ar"", ""bn"")"),"রাজনৈতিক ঐক্যমত্য মতামত")</f>
        <v>রাজনৈতিক ঐক্যমত্য মতামত</v>
      </c>
    </row>
    <row r="3261">
      <c r="A3261" s="2" t="s">
        <v>2361</v>
      </c>
      <c r="B3261" s="3" t="str">
        <f>IFERROR(__xludf.DUMMYFUNCTION("GOOGLETRANSLATE(A3261, ""ar"", ""bn"")"),"সমস্যায় জর্জরিত আন্তর্জাতিক সম্পর্ক")</f>
        <v>সমস্যায় জর্জরিত আন্তর্জাতিক সম্পর্ক</v>
      </c>
    </row>
    <row r="3262">
      <c r="A3262" s="2" t="s">
        <v>1866</v>
      </c>
      <c r="B3262" s="3" t="str">
        <f>IFERROR(__xludf.DUMMYFUNCTION("GOOGLETRANSLATE(A3262, ""ar"", ""bn"")"),"রাজনৈতিক দিক নির্দেশনা")</f>
        <v>রাজনৈতিক দিক নির্দেশনা</v>
      </c>
    </row>
    <row r="3263">
      <c r="A3263" s="2" t="s">
        <v>1194</v>
      </c>
      <c r="B3263" s="3" t="str">
        <f>IFERROR(__xludf.DUMMYFUNCTION("GOOGLETRANSLATE(A3263, ""ar"", ""bn"")"),"অভ্যন্তরীণ নির্দেশনা")</f>
        <v>অভ্যন্তরীণ নির্দেশনা</v>
      </c>
    </row>
    <row r="3264">
      <c r="A3264" s="2" t="s">
        <v>1828</v>
      </c>
      <c r="B3264" s="3" t="str">
        <f>IFERROR(__xludf.DUMMYFUNCTION("GOOGLETRANSLATE(A3264, ""ar"", ""bn"")"),"রাজনৈতিক দিক নির্দেশনা")</f>
        <v>রাজনৈতিক দিক নির্দেশনা</v>
      </c>
    </row>
    <row r="3265">
      <c r="A3265" s="2" t="s">
        <v>2543</v>
      </c>
      <c r="B3265" s="3" t="str">
        <f>IFERROR(__xludf.DUMMYFUNCTION("GOOGLETRANSLATE(A3265, ""ar"", ""bn"")"),"রাজনৈতিক নেতৃত্ব সমন্বয়সাধন করা")</f>
        <v>রাজনৈতিক নেতৃত্ব সমন্বয়সাধন করা</v>
      </c>
    </row>
    <row r="3266">
      <c r="A3266" s="2" t="s">
        <v>2751</v>
      </c>
      <c r="B3266" s="3" t="str">
        <f>IFERROR(__xludf.DUMMYFUNCTION("GOOGLETRANSLATE(A3266, ""ar"", ""bn"")"),"আমি আন্তর্জাতিক রাজনৈতিক ঘটনা তোর")</f>
        <v>আমি আন্তর্জাতিক রাজনৈতিক ঘটনা তোর</v>
      </c>
    </row>
    <row r="3267">
      <c r="A3267" s="2" t="s">
        <v>1294</v>
      </c>
      <c r="B3267" s="3" t="str">
        <f>IFERROR(__xludf.DUMMYFUNCTION("GOOGLETRANSLATE(A3267, ""ar"", ""bn"")"),"যুদ্ধে তোর আমি")</f>
        <v>যুদ্ধে তোর আমি</v>
      </c>
    </row>
    <row r="3268">
      <c r="A3268" s="2" t="s">
        <v>807</v>
      </c>
      <c r="B3268" s="3" t="str">
        <f>IFERROR(__xludf.DUMMYFUNCTION("GOOGLETRANSLATE(A3268, ""ar"", ""bn"")"),"কূটনৈতিক কর্ম বিতরণ")</f>
        <v>কূটনৈতিক কর্ম বিতরণ</v>
      </c>
    </row>
    <row r="3269">
      <c r="A3269" s="2" t="s">
        <v>2752</v>
      </c>
      <c r="B3269" s="3" t="str">
        <f>IFERROR(__xludf.DUMMYFUNCTION("GOOGLETRANSLATE(A3269, ""ar"", ""bn"")"),"পোস্ট রাজনৈতিক কর্ম বিতরণ")</f>
        <v>পোস্ট রাজনৈতিক কর্ম বিতরণ</v>
      </c>
    </row>
    <row r="3270">
      <c r="A3270" s="2" t="s">
        <v>883</v>
      </c>
      <c r="B3270" s="3" t="str">
        <f>IFERROR(__xludf.DUMMYFUNCTION("GOOGLETRANSLATE(A3270, ""ar"", ""bn"")"),"জাতীয় আয় ও সুযোগের সুষম বন্টন")</f>
        <v>জাতীয় আয় ও সুযোগের সুষম বন্টন</v>
      </c>
    </row>
    <row r="3271">
      <c r="A3271" s="2" t="s">
        <v>2753</v>
      </c>
      <c r="B3271" s="3" t="str">
        <f>IFERROR(__xludf.DUMMYFUNCTION("GOOGLETRANSLATE(A3271, ""ar"", ""bn"")"),"টি এবং আন্তর্জাতিক সম্পদের সুষম বন্টন")</f>
        <v>টি এবং আন্তর্জাতিক সম্পদের সুষম বন্টন</v>
      </c>
    </row>
    <row r="3272">
      <c r="A3272" s="2" t="s">
        <v>1150</v>
      </c>
      <c r="B3272" s="3" t="str">
        <f>IFERROR(__xludf.DUMMYFUNCTION("GOOGLETRANSLATE(A3272, ""ar"", ""bn"")"),"ঔপনিবেশিক সম্প্রসারণ")</f>
        <v>ঔপনিবেশিক সম্প্রসারণ</v>
      </c>
    </row>
    <row r="3273">
      <c r="A3273" s="2" t="s">
        <v>768</v>
      </c>
      <c r="B3273" s="3" t="str">
        <f>IFERROR(__xludf.DUMMYFUNCTION("GOOGLETRANSLATE(A3273, ""ar"", ""bn"")"),"কূটনৈতিক সুপারিশ")</f>
        <v>কূটনৈতিক সুপারিশ</v>
      </c>
    </row>
    <row r="3274">
      <c r="A3274" s="2" t="s">
        <v>852</v>
      </c>
      <c r="B3274" s="3" t="str">
        <f>IFERROR(__xludf.DUMMYFUNCTION("GOOGLETRANSLATE(A3274, ""ar"", ""bn"")"),"আন্তর্জাতিক ব্যবস্থার ধারণা নির্মল")</f>
        <v>আন্তর্জাতিক ব্যবস্থার ধারণা নির্মল</v>
      </c>
    </row>
    <row r="3275">
      <c r="A3275" s="2" t="s">
        <v>2313</v>
      </c>
      <c r="B3275" s="3" t="str">
        <f>IFERROR(__xludf.DUMMYFUNCTION("GOOGLETRANSLATE(A3275, ""ar"", ""bn"")"),"শান্তি একত্রীকরণের")</f>
        <v>শান্তি একত্রীকরণের</v>
      </c>
    </row>
    <row r="3276">
      <c r="A3276" s="2" t="s">
        <v>2315</v>
      </c>
      <c r="B3276" s="3" t="str">
        <f>IFERROR(__xludf.DUMMYFUNCTION("GOOGLETRANSLATE(A3276, ""ar"", ""bn"")"),"বিশ্ব শান্তি একত্রীকরণের")</f>
        <v>বিশ্ব শান্তি একত্রীকরণের</v>
      </c>
    </row>
    <row r="3277">
      <c r="A3277" s="2" t="s">
        <v>2314</v>
      </c>
      <c r="B3277" s="3" t="str">
        <f>IFERROR(__xludf.DUMMYFUNCTION("GOOGLETRANSLATE(A3277, ""ar"", ""bn"")"),"রাজনৈতিক পরিস্থিতির একত্রীকরণের")</f>
        <v>রাজনৈতিক পরিস্থিতির একত্রীকরণের</v>
      </c>
    </row>
    <row r="3278">
      <c r="A3278" s="2" t="s">
        <v>2134</v>
      </c>
      <c r="B3278" s="3" t="str">
        <f>IFERROR(__xludf.DUMMYFUNCTION("GOOGLETRANSLATE(A3278, ""ar"", ""bn"")"),"উদ্বাস্তুদের পুনর্বাসন")</f>
        <v>উদ্বাস্তুদের পুনর্বাসন</v>
      </c>
    </row>
    <row r="3279">
      <c r="A3279" s="2" t="s">
        <v>2754</v>
      </c>
      <c r="B3279" s="3" t="str">
        <f>IFERROR(__xludf.DUMMYFUNCTION("GOOGLETRANSLATE(A3279, ""ar"", ""bn"")"),"এ রাজনৈতিক জীবনে বক্ররেখা জন্য লিপ্সা")</f>
        <v>এ রাজনৈতিক জীবনে বক্ররেখা জন্য লিপ্সা</v>
      </c>
    </row>
    <row r="3280">
      <c r="A3280" s="2" t="s">
        <v>1403</v>
      </c>
      <c r="B3280" s="3" t="str">
        <f>IFERROR(__xludf.DUMMYFUNCTION("GOOGLETRANSLATE(A3280, ""ar"", ""bn"")"),"দীর্ঘমেয়াদী স্টপেজ যুদ্ধ")</f>
        <v>দীর্ঘমেয়াদী স্টপেজ যুদ্ধ</v>
      </c>
    </row>
    <row r="3281">
      <c r="A3281" s="2" t="s">
        <v>1580</v>
      </c>
      <c r="B3281" s="3" t="str">
        <f>IFERROR(__xludf.DUMMYFUNCTION("GOOGLETRANSLATE(A3281, ""ar"", ""bn"")"),"জাতীয় ধন")</f>
        <v>জাতীয় ধন</v>
      </c>
    </row>
    <row r="3282">
      <c r="A3282" s="2" t="s">
        <v>1757</v>
      </c>
      <c r="B3282" s="3" t="str">
        <f>IFERROR(__xludf.DUMMYFUNCTION("GOOGLETRANSLATE(A3282, ""ar"", ""bn"")"),"মানুষের সাধারণ সংস্কৃতি")</f>
        <v>মানুষের সাধারণ সংস্কৃতি</v>
      </c>
    </row>
    <row r="3283">
      <c r="A3283" s="2" t="s">
        <v>1549</v>
      </c>
      <c r="B3283" s="3" t="str">
        <f>IFERROR(__xludf.DUMMYFUNCTION("GOOGLETRANSLATE(A3283, ""ar"", ""bn"")"),"দেশের মধ্যে পারস্পরিক বিশ্বাস")</f>
        <v>দেশের মধ্যে পারস্পরিক বিশ্বাস</v>
      </c>
    </row>
    <row r="3284">
      <c r="A3284" s="2" t="s">
        <v>2174</v>
      </c>
      <c r="B3284" s="3" t="str">
        <f>IFERROR(__xludf.DUMMYFUNCTION("GOOGLETRANSLATE(A3284, ""ar"", ""bn"")"),"বিপ্লব")</f>
        <v>বিপ্লব</v>
      </c>
    </row>
    <row r="3285">
      <c r="A3285" s="2" t="s">
        <v>352</v>
      </c>
      <c r="B3285" s="3" t="str">
        <f>IFERROR(__xludf.DUMMYFUNCTION("GOOGLETRANSLATE(A3285, ""ar"", ""bn"")"),"হোয়াইট বিপ্লব")</f>
        <v>হোয়াইট বিপ্লব</v>
      </c>
    </row>
    <row r="3286">
      <c r="A3286" s="2" t="s">
        <v>277</v>
      </c>
      <c r="B3286" s="3" t="str">
        <f>IFERROR(__xludf.DUMMYFUNCTION("GOOGLETRANSLATE(A3286, ""ar"", ""bn"")"),"বিপ্লব মজা সেরা")</f>
        <v>বিপ্লব মজা সেরা</v>
      </c>
    </row>
    <row r="3287">
      <c r="A3287" s="2" t="s">
        <v>2177</v>
      </c>
      <c r="B3287" s="3" t="str">
        <f>IFERROR(__xludf.DUMMYFUNCTION("GOOGLETRANSLATE(A3287, ""ar"", ""bn"")"),"বৈপ্লবিক")</f>
        <v>বৈপ্লবিক</v>
      </c>
    </row>
    <row r="3288">
      <c r="A3288" s="2" t="s">
        <v>2310</v>
      </c>
      <c r="B3288" s="3" t="str">
        <f>IFERROR(__xludf.DUMMYFUNCTION("GOOGLETRANSLATE(A3288, ""ar"", ""bn"")"),"গুপ্তচর")</f>
        <v>গুপ্তচর</v>
      </c>
    </row>
    <row r="3289">
      <c r="A3289" s="2" t="s">
        <v>889</v>
      </c>
      <c r="B3289" s="3" t="str">
        <f>IFERROR(__xludf.DUMMYFUNCTION("GOOGLETRANSLATE(A3289, ""ar"", ""bn"")"),"গুপ্তচরবৃত্তি")</f>
        <v>গুপ্তচরবৃত্তি</v>
      </c>
    </row>
    <row r="3290">
      <c r="A3290" s="2" t="s">
        <v>997</v>
      </c>
      <c r="B3290" s="3" t="str">
        <f>IFERROR(__xludf.DUMMYFUNCTION("GOOGLETRANSLATE(A3290, ""ar"", ""bn"")"),"পররাষ্ট্র সম্প্রদায়ের")</f>
        <v>পররাষ্ট্র সম্প্রদায়ের</v>
      </c>
    </row>
    <row r="3291">
      <c r="A3291" s="2" t="s">
        <v>1081</v>
      </c>
      <c r="B3291" s="3" t="str">
        <f>IFERROR(__xludf.DUMMYFUNCTION("GOOGLETRANSLATE(A3291, ""ar"", ""bn"")"),"মানব সম্প্রদায়ের")</f>
        <v>মানব সম্প্রদায়ের</v>
      </c>
    </row>
    <row r="3292">
      <c r="A3292" s="2" t="s">
        <v>263</v>
      </c>
      <c r="B3292" s="3" t="str">
        <f>IFERROR(__xludf.DUMMYFUNCTION("GOOGLETRANSLATE(A3292, ""ar"", ""bn"")"),"আরব লীগ")</f>
        <v>আরব লীগ</v>
      </c>
    </row>
    <row r="3293">
      <c r="A3293" s="2" t="s">
        <v>1894</v>
      </c>
      <c r="B3293" s="3" t="str">
        <f>IFERROR(__xludf.DUMMYFUNCTION("GOOGLETRANSLATE(A3293, ""ar"", ""bn"")"),"আলোচনার রাজনৈতিক দৃষ্টিভঙ্গি")</f>
        <v>আলোচনার রাজনৈতিক দৃষ্টিভঙ্গি</v>
      </c>
    </row>
    <row r="3294">
      <c r="A3294" s="2" t="s">
        <v>1797</v>
      </c>
      <c r="B3294" s="3" t="str">
        <f>IFERROR(__xludf.DUMMYFUNCTION("GOOGLETRANSLATE(A3294, ""ar"", ""bn"")"),"রাজনৈতিক বিতর্ক")</f>
        <v>রাজনৈতিক বিতর্ক</v>
      </c>
    </row>
    <row r="3295">
      <c r="A3295" s="2" t="s">
        <v>2755</v>
      </c>
      <c r="B3295" s="3" t="str">
        <f>IFERROR(__xludf.DUMMYFUNCTION("GOOGLETRANSLATE(A3295, ""ar"", ""bn"")"),"ছক সংসদ অধিবেশনে যোগ")</f>
        <v>ছক সংসদ অধিবেশনে যোগ</v>
      </c>
    </row>
    <row r="3296">
      <c r="A3296" s="2" t="s">
        <v>2634</v>
      </c>
      <c r="B3296" s="3" t="str">
        <f>IFERROR(__xludf.DUMMYFUNCTION("GOOGLETRANSLATE(A3296, ""ar"", ""bn"")"),"যুদ্ধ অপরাধের")</f>
        <v>যুদ্ধ অপরাধের</v>
      </c>
    </row>
    <row r="3297">
      <c r="A3297" s="2" t="s">
        <v>2756</v>
      </c>
      <c r="B3297" s="3" t="str">
        <f>IFERROR(__xludf.DUMMYFUNCTION("GOOGLETRANSLATE(A3297, ""ar"", ""bn"")"),"বেসামরিক নাগরিকদের বিরুদ্ধে জঘন্য অপরাধের")</f>
        <v>বেসামরিক নাগরিকদের বিরুদ্ধে জঘন্য অপরাধের</v>
      </c>
    </row>
    <row r="3298">
      <c r="A3298" s="2" t="s">
        <v>1661</v>
      </c>
      <c r="B3298" s="3" t="str">
        <f>IFERROR(__xludf.DUMMYFUNCTION("GOOGLETRANSLATE(A3298, ""ar"", ""bn"")"),"সরকারী গেজেটে")</f>
        <v>সরকারী গেজেটে</v>
      </c>
    </row>
    <row r="3299">
      <c r="A3299" s="2" t="s">
        <v>1817</v>
      </c>
      <c r="B3299" s="3" t="str">
        <f>IFERROR(__xludf.DUMMYFUNCTION("GOOGLETRANSLATE(A3299, ""ar"", ""bn"")"),"রাজনৈতিক অপরাধ")</f>
        <v>রাজনৈতিক অপরাধ</v>
      </c>
    </row>
    <row r="3300">
      <c r="A3300" s="2" t="s">
        <v>2757</v>
      </c>
      <c r="B3300" s="3" t="str">
        <f>IFERROR(__xludf.DUMMYFUNCTION("GOOGLETRANSLATE(A3300, ""ar"", ""bn"")"),"ফোর্সেস বিদেশী ডেটার উদ্বাসন")</f>
        <v>ফোর্সেস বিদেশী ডেটার উদ্বাসন</v>
      </c>
    </row>
    <row r="3301">
      <c r="A3301" s="2" t="s">
        <v>2578</v>
      </c>
      <c r="B3301" s="3" t="str">
        <f>IFERROR(__xludf.DUMMYFUNCTION("GOOGLETRANSLATE(A3301, ""ar"", ""bn"")"),"জরুরী অধিবেশন")</f>
        <v>জরুরী অধিবেশন</v>
      </c>
    </row>
    <row r="3302">
      <c r="A3302" s="2" t="s">
        <v>301</v>
      </c>
      <c r="B3302" s="3" t="str">
        <f>IFERROR(__xludf.DUMMYFUNCTION("GOOGLETRANSLATE(A3302, ""ar"", ""bn"")"),"শোনা অধিবেশন")</f>
        <v>শোনা অধিবেশন</v>
      </c>
    </row>
    <row r="3303">
      <c r="A3303" s="2" t="s">
        <v>1685</v>
      </c>
      <c r="B3303" s="3" t="str">
        <f>IFERROR(__xludf.DUMMYFUNCTION("GOOGLETRANSLATE(A3303, ""ar"", ""bn"")"),"সেশন খোলার উদযাপন")</f>
        <v>সেশন খোলার উদযাপন</v>
      </c>
    </row>
    <row r="3304">
      <c r="A3304" s="2" t="s">
        <v>1019</v>
      </c>
      <c r="B3304" s="3" t="str">
        <f>IFERROR(__xludf.DUMMYFUNCTION("GOOGLETRANSLATE(A3304, ""ar"", ""bn"")"),"অধিবেশন অফিসিয়াল খোলার")</f>
        <v>অধিবেশন অফিসিয়াল খোলার</v>
      </c>
    </row>
    <row r="3305">
      <c r="A3305" s="2" t="s">
        <v>1687</v>
      </c>
      <c r="B3305" s="3" t="str">
        <f>IFERROR(__xludf.DUMMYFUNCTION("GOOGLETRANSLATE(A3305, ""ar"", ""bn"")"),"উদ্বোধনী অধিবেশনে")</f>
        <v>উদ্বোধনী অধিবেশনে</v>
      </c>
    </row>
    <row r="3306">
      <c r="A3306" s="2" t="s">
        <v>671</v>
      </c>
      <c r="B3306" s="3" t="str">
        <f>IFERROR(__xludf.DUMMYFUNCTION("GOOGLETRANSLATE(A3306, ""ar"", ""bn"")"),"ধীরতা জন্য একটি সেশন")</f>
        <v>ধীরতা জন্য একটি সেশন</v>
      </c>
    </row>
    <row r="3307">
      <c r="A3307" s="2" t="s">
        <v>1979</v>
      </c>
      <c r="B3307" s="3" t="str">
        <f>IFERROR(__xludf.DUMMYFUNCTION("GOOGLETRANSLATE(A3307, ""ar"", ""bn"")"),"একটি প্রাথমিক শুনানি")</f>
        <v>একটি প্রাথমিক শুনানি</v>
      </c>
    </row>
    <row r="3308">
      <c r="A3308" s="2" t="s">
        <v>1722</v>
      </c>
      <c r="B3308" s="3" t="str">
        <f>IFERROR(__xludf.DUMMYFUNCTION("GOOGLETRANSLATE(A3308, ""ar"", ""bn"")"),"সংসদীয় অধিবেশন")</f>
        <v>সংসদীয় অধিবেশন</v>
      </c>
    </row>
    <row r="3309">
      <c r="A3309" s="2" t="s">
        <v>2758</v>
      </c>
      <c r="B3309" s="3" t="str">
        <f>IFERROR(__xludf.DUMMYFUNCTION("GOOGLETRANSLATE(A3309, ""ar"", ""bn"")"),"সকল সদস্যদের উপস্থিতিতে পূর্ণ অধিবেশন")</f>
        <v>সকল সদস্যদের উপস্থিতিতে পূর্ণ অধিবেশন</v>
      </c>
    </row>
    <row r="3310">
      <c r="A3310" s="2" t="s">
        <v>1450</v>
      </c>
      <c r="B3310" s="3" t="str">
        <f>IFERROR(__xludf.DUMMYFUNCTION("GOOGLETRANSLATE(A3310, ""ar"", ""bn"")"),"স্মারক সভায়")</f>
        <v>স্মারক সভায়</v>
      </c>
    </row>
    <row r="3311">
      <c r="A3311" s="2" t="s">
        <v>2079</v>
      </c>
      <c r="B3311" s="3" t="str">
        <f>IFERROR(__xludf.DUMMYFUNCTION("GOOGLETRANSLATE(A3311, ""ar"", ""bn"")"),"তারতীলসহ অধিবেশন সুপারিশ")</f>
        <v>তারতীলসহ অধিবেশন সুপারিশ</v>
      </c>
    </row>
    <row r="3312">
      <c r="A3312" s="2" t="s">
        <v>374</v>
      </c>
      <c r="B3312" s="3" t="str">
        <f>IFERROR(__xludf.DUMMYFUNCTION("GOOGLETRANSLATE(A3312, ""ar"", ""bn"")"),"একটি প্রাথমিক শুনানি")</f>
        <v>একটি প্রাথমিক শুনানি</v>
      </c>
    </row>
    <row r="3313">
      <c r="A3313" s="2" t="s">
        <v>454</v>
      </c>
      <c r="B3313" s="3" t="str">
        <f>IFERROR(__xludf.DUMMYFUNCTION("GOOGLETRANSLATE(A3313, ""ar"", ""bn"")"),"সমাপনী")</f>
        <v>সমাপনী</v>
      </c>
    </row>
    <row r="3314">
      <c r="A3314" s="2" t="s">
        <v>2245</v>
      </c>
      <c r="B3314" s="3" t="str">
        <f>IFERROR(__xludf.DUMMYFUNCTION("GOOGLETRANSLATE(A3314, ""ar"", ""bn"")"),"সিক্রেট অধিবেশন")</f>
        <v>সিক্রেট অধিবেশন</v>
      </c>
    </row>
    <row r="3315">
      <c r="A3315" s="2" t="s">
        <v>2042</v>
      </c>
      <c r="B3315" s="3" t="str">
        <f>IFERROR(__xludf.DUMMYFUNCTION("GOOGLETRANSLATE(A3315, ""ar"", ""bn"")"),"প্রকাশ্য শুনানি")</f>
        <v>প্রকাশ্য শুনানি</v>
      </c>
    </row>
    <row r="3316">
      <c r="A3316" s="2" t="s">
        <v>1312</v>
      </c>
      <c r="B3316" s="3" t="str">
        <f>IFERROR(__xludf.DUMMYFUNCTION("GOOGLETRANSLATE(A3316, ""ar"", ""bn"")"),"যুক্ত অধিবেশনে")</f>
        <v>যুক্ত অধিবেশনে</v>
      </c>
    </row>
    <row r="3317">
      <c r="A3317" s="2" t="s">
        <v>452</v>
      </c>
      <c r="B3317" s="3" t="str">
        <f>IFERROR(__xludf.DUMMYFUNCTION("GOOGLETRANSLATE(A3317, ""ar"", ""bn"")"),"বন্ধ অধিবেশন")</f>
        <v>বন্ধ অধিবেশন</v>
      </c>
    </row>
    <row r="3318">
      <c r="A3318" s="2" t="s">
        <v>1684</v>
      </c>
      <c r="B3318" s="3" t="str">
        <f>IFERROR(__xludf.DUMMYFUNCTION("GOOGLETRANSLATE(A3318, ""ar"", ""bn"")"),"ওপেন সেশন")</f>
        <v>ওপেন সেশন</v>
      </c>
    </row>
    <row r="3319">
      <c r="A3319" s="2" t="s">
        <v>498</v>
      </c>
      <c r="B3319" s="3" t="str">
        <f>IFERROR(__xludf.DUMMYFUNCTION("GOOGLETRANSLATE(A3319, ""ar"", ""bn"")"),"কমিউনিটি গ্রুপ")</f>
        <v>কমিউনিটি গ্রুপ</v>
      </c>
    </row>
    <row r="3320">
      <c r="A3320" s="2" t="s">
        <v>1045</v>
      </c>
      <c r="B3320" s="3" t="str">
        <f>IFERROR(__xludf.DUMMYFUNCTION("GOOGLETRANSLATE(A3320, ""ar"", ""bn"")"),"সাধারন সভা")</f>
        <v>সাধারন সভা</v>
      </c>
    </row>
    <row r="3321">
      <c r="A3321" s="2" t="s">
        <v>2559</v>
      </c>
      <c r="B3321" s="3" t="str">
        <f>IFERROR(__xludf.DUMMYFUNCTION("GOOGLETRANSLATE(A3321, ""ar"", ""bn"")"),"জাতিসংঘ সাধারণ পরিষদের")</f>
        <v>জাতিসংঘ সাধারণ পরিষদের</v>
      </c>
    </row>
    <row r="3322">
      <c r="A3322" s="2" t="s">
        <v>586</v>
      </c>
      <c r="B3322" s="3" t="str">
        <f>IFERROR(__xludf.DUMMYFUNCTION("GOOGLETRANSLATE(A3322, ""ar"", ""bn"")"),"চক্রান্ত করা")</f>
        <v>চক্রান্ত করা</v>
      </c>
    </row>
    <row r="3323">
      <c r="A3323" s="2" t="s">
        <v>1799</v>
      </c>
      <c r="B3323" s="3" t="str">
        <f>IFERROR(__xludf.DUMMYFUNCTION("GOOGLETRANSLATE(A3323, ""ar"", ""bn"")"),"রাজনৈতিক সমিতি")</f>
        <v>রাজনৈতিক সমিতি</v>
      </c>
    </row>
    <row r="3324">
      <c r="A3324" s="2" t="s">
        <v>1561</v>
      </c>
      <c r="B3324" s="3" t="str">
        <f>IFERROR(__xludf.DUMMYFUNCTION("GOOGLETRANSLATE(A3324, ""ar"", ""bn"")"),"জাতীয় সমাবেশ")</f>
        <v>জাতীয় সমাবেশ</v>
      </c>
    </row>
    <row r="3325">
      <c r="A3325" s="2" t="s">
        <v>2145</v>
      </c>
      <c r="B3325" s="3" t="str">
        <f>IFERROR(__xludf.DUMMYFUNCTION("GOOGLETRANSLATE(A3325, ""ar"", ""bn"")"),"রিপাবলিকান অন্তর্ভুক্তি")</f>
        <v>রিপাবলিকান অন্তর্ভুক্তি</v>
      </c>
    </row>
    <row r="3326">
      <c r="A3326" s="2" t="s">
        <v>2143</v>
      </c>
      <c r="B3326" s="3" t="str">
        <f>IFERROR(__xludf.DUMMYFUNCTION("GOOGLETRANSLATE(A3326, ""ar"", ""bn"")"),"প্রজাতন্ত্র")</f>
        <v>প্রজাতন্ত্র</v>
      </c>
    </row>
    <row r="3327">
      <c r="A3327" s="2" t="s">
        <v>1582</v>
      </c>
      <c r="B3327" s="3" t="str">
        <f>IFERROR(__xludf.DUMMYFUNCTION("GOOGLETRANSLATE(A3327, ""ar"", ""bn"")"),"জাতীয়তা")</f>
        <v>জাতীয়তা</v>
      </c>
    </row>
    <row r="3328">
      <c r="A3328" s="2" t="s">
        <v>824</v>
      </c>
      <c r="B3328" s="3" t="str">
        <f>IFERROR(__xludf.DUMMYFUNCTION("GOOGLETRANSLATE(A3328, ""ar"", ""bn"")"),"দ্বৈত নাগরিকত্ব")</f>
        <v>দ্বৈত নাগরিকত্ব</v>
      </c>
    </row>
    <row r="3329">
      <c r="A3329" s="2" t="s">
        <v>166</v>
      </c>
      <c r="B3329" s="3" t="str">
        <f>IFERROR(__xludf.DUMMYFUNCTION("GOOGLETRANSLATE(A3329, ""ar"", ""bn"")"),"জাতীয়তা অর্জিত")</f>
        <v>জাতীয়তা অর্জিত</v>
      </c>
    </row>
    <row r="3330">
      <c r="A3330" s="2" t="s">
        <v>741</v>
      </c>
      <c r="B3330" s="3" t="str">
        <f>IFERROR(__xludf.DUMMYFUNCTION("GOOGLETRANSLATE(A3330, ""ar"", ""bn"")"),"কূটনৈতিক তৎপরতা")</f>
        <v>কূটনৈতিক তৎপরতা</v>
      </c>
    </row>
    <row r="3331">
      <c r="A3331" s="2" t="s">
        <v>2759</v>
      </c>
      <c r="B3331" s="3" t="str">
        <f>IFERROR(__xludf.DUMMYFUNCTION("GOOGLETRANSLATE(A3331, ""ar"", ""bn"")"),"সদুদ্দেশ্যে কৃত কূটনৈতিক প্রচেষ্টা")</f>
        <v>সদুদ্দেশ্যে কৃত কূটনৈতিক প্রচেষ্টা</v>
      </c>
    </row>
    <row r="3332">
      <c r="A3332" s="2" t="s">
        <v>1310</v>
      </c>
      <c r="B3332" s="3" t="str">
        <f>IFERROR(__xludf.DUMMYFUNCTION("GOOGLETRANSLATE(A3332, ""ar"", ""bn"")"),"শান্তির জন্য জয়েন্ট প্রচেষ্টা")</f>
        <v>শান্তির জন্য জয়েন্ট প্রচেষ্টা</v>
      </c>
    </row>
    <row r="3333">
      <c r="A3333" s="2" t="s">
        <v>1833</v>
      </c>
      <c r="B3333" s="3" t="str">
        <f>IFERROR(__xludf.DUMMYFUNCTION("GOOGLETRANSLATE(A3333, ""ar"", ""bn"")"),"রাজনৈতিক পরিবেশ")</f>
        <v>রাজনৈতিক পরিবেশ</v>
      </c>
    </row>
    <row r="3334">
      <c r="A3334" s="2" t="s">
        <v>1648</v>
      </c>
      <c r="B3334" s="3" t="str">
        <f>IFERROR(__xludf.DUMMYFUNCTION("GOOGLETRANSLATE(A3334, ""ar"", ""bn"")"),"হানাদার বাহিনীর")</f>
        <v>হানাদার বাহিনীর</v>
      </c>
    </row>
    <row r="3335">
      <c r="A3335" s="2" t="s">
        <v>1138</v>
      </c>
      <c r="B3335" s="3" t="str">
        <f>IFERROR(__xludf.DUMMYFUNCTION("GOOGLETRANSLATE(A3335, ""ar"", ""bn"")"),"একটি মতাদর্শগত সেনা")</f>
        <v>একটি মতাদর্শগত সেনা</v>
      </c>
    </row>
    <row r="3336">
      <c r="A3336" s="2" t="s">
        <v>1013</v>
      </c>
      <c r="B3336" s="3" t="str">
        <f>IFERROR(__xludf.DUMMYFUNCTION("GOOGLETRANSLATE(A3336, ""ar"", ""bn"")"),"পররাষ্ট্র সেনাদলের")</f>
        <v>পররাষ্ট্র সেনাদলের</v>
      </c>
    </row>
    <row r="3337">
      <c r="A3337" s="2" t="s">
        <v>2250</v>
      </c>
      <c r="B3337" s="3" t="str">
        <f>IFERROR(__xludf.DUMMYFUNCTION("GOOGLETRANSLATE(A3337, ""ar"", ""bn"")"),"চৌকিদার")</f>
        <v>চৌকিদার</v>
      </c>
    </row>
    <row r="3338">
      <c r="A3338" s="2" t="s">
        <v>1529</v>
      </c>
      <c r="B3338" s="3" t="str">
        <f>IFERROR(__xludf.DUMMYFUNCTION("GOOGLETRANSLATE(A3338, ""ar"", ""bn"")"),"রাজা শাসক")</f>
        <v>রাজা শাসক</v>
      </c>
    </row>
    <row r="3339">
      <c r="A3339" s="2" t="s">
        <v>1070</v>
      </c>
      <c r="B3339" s="3" t="str">
        <f>IFERROR(__xludf.DUMMYFUNCTION("GOOGLETRANSLATE(A3339, ""ar"", ""bn"")"),"শাসক বা গভর্নর")</f>
        <v>শাসক বা গভর্নর</v>
      </c>
    </row>
    <row r="3340">
      <c r="A3340" s="2" t="s">
        <v>314</v>
      </c>
      <c r="B3340" s="3" t="str">
        <f>IFERROR(__xludf.DUMMYFUNCTION("GOOGLETRANSLATE(A3340, ""ar"", ""bn"")"),"একনায়ক")</f>
        <v>একনায়ক</v>
      </c>
    </row>
    <row r="3341">
      <c r="A3341" s="2" t="s">
        <v>860</v>
      </c>
      <c r="B3341" s="3" t="str">
        <f>IFERROR(__xludf.DUMMYFUNCTION("GOOGLETRANSLATE(A3341, ""ar"", ""bn"")"),"জরুরি অবস্থা")</f>
        <v>জরুরি অবস্থা</v>
      </c>
    </row>
    <row r="3342">
      <c r="A3342" s="2" t="s">
        <v>1737</v>
      </c>
      <c r="B3342" s="3" t="str">
        <f>IFERROR(__xludf.DUMMYFUNCTION("GOOGLETRANSLATE(A3342, ""ar"", ""bn"")"),"স্বদেশপ্রেম")</f>
        <v>স্বদেশপ্রেম</v>
      </c>
    </row>
    <row r="3343">
      <c r="A3343" s="2" t="s">
        <v>1392</v>
      </c>
      <c r="B3343" s="3" t="str">
        <f>IFERROR(__xludf.DUMMYFUNCTION("GOOGLETRANSLATE(A3343, ""ar"", ""bn"")"),"পারমাণবিক অস্ত্র কমানো")</f>
        <v>পারমাণবিক অস্ত্র কমানো</v>
      </c>
    </row>
    <row r="3344">
      <c r="A3344" s="2" t="s">
        <v>1394</v>
      </c>
      <c r="B3344" s="3" t="str">
        <f>IFERROR(__xludf.DUMMYFUNCTION("GOOGLETRANSLATE(A3344, ""ar"", ""bn"")"),"পারমাণবিক অস্ত্র হ্রাস")</f>
        <v>পারমাণবিক অস্ত্র হ্রাস</v>
      </c>
    </row>
    <row r="3345">
      <c r="A3345" s="2" t="s">
        <v>1391</v>
      </c>
      <c r="B3345" s="3" t="str">
        <f>IFERROR(__xludf.DUMMYFUNCTION("GOOGLETRANSLATE(A3345, ""ar"", ""bn"")"),"অর্পণ এর এইচ সীমা")</f>
        <v>অর্পণ এর এইচ সীমা</v>
      </c>
    </row>
    <row r="3346">
      <c r="A3346" s="2" t="s">
        <v>1393</v>
      </c>
      <c r="B3346" s="3" t="str">
        <f>IFERROR(__xludf.DUMMYFUNCTION("GOOGLETRANSLATE(A3346, ""ar"", ""bn"")"),"সামরিক অভিযানের কমাতে")</f>
        <v>সামরিক অভিযানের কমাতে</v>
      </c>
    </row>
    <row r="3347">
      <c r="A3347" s="2" t="s">
        <v>2454</v>
      </c>
      <c r="B3347" s="3" t="str">
        <f>IFERROR(__xludf.DUMMYFUNCTION("GOOGLETRANSLATE(A3347, ""ar"", ""bn"")"),"আঞ্চলিক সীমানা")</f>
        <v>আঞ্চলিক সীমানা</v>
      </c>
    </row>
    <row r="3348">
      <c r="A3348" s="2" t="s">
        <v>2455</v>
      </c>
      <c r="B3348" s="3" t="str">
        <f>IFERROR(__xludf.DUMMYFUNCTION("GOOGLETRANSLATE(A3348, ""ar"", ""bn"")"),"আইন স্থানিক গণ্ডি")</f>
        <v>আইন স্থানিক গণ্ডি</v>
      </c>
    </row>
    <row r="3349">
      <c r="A3349" s="2" t="s">
        <v>2341</v>
      </c>
      <c r="B3349" s="3" t="str">
        <f>IFERROR(__xludf.DUMMYFUNCTION("GOOGLETRANSLATE(A3349, ""ar"", ""bn"")"),"সীমানা")</f>
        <v>সীমানা</v>
      </c>
    </row>
    <row r="3350">
      <c r="A3350" s="2" t="s">
        <v>2030</v>
      </c>
      <c r="B3350" s="3" t="str">
        <f>IFERROR(__xludf.DUMMYFUNCTION("GOOGLETRANSLATE(A3350, ""ar"", ""bn"")"),"উত্তেজক যুদ্ধ")</f>
        <v>উত্তেজক যুদ্ধ</v>
      </c>
    </row>
    <row r="3351">
      <c r="A3351" s="2" t="s">
        <v>827</v>
      </c>
      <c r="B3351" s="3" t="str">
        <f>IFERROR(__xludf.DUMMYFUNCTION("GOOGLETRANSLATE(A3351, ""ar"", ""bn"")"),"অর্থনৈতিক যুদ্ধ")</f>
        <v>অর্থনৈতিক যুদ্ধ</v>
      </c>
    </row>
    <row r="3352">
      <c r="A3352" s="2" t="s">
        <v>2638</v>
      </c>
      <c r="B3352" s="3" t="str">
        <f>IFERROR(__xludf.DUMMYFUNCTION("GOOGLETRANSLATE(A3352, ""ar"", ""bn"")"),"গণহত্যা")</f>
        <v>গণহত্যা</v>
      </c>
    </row>
    <row r="3353">
      <c r="A3353" s="2" t="s">
        <v>375</v>
      </c>
      <c r="B3353" s="3" t="str">
        <f>IFERROR(__xludf.DUMMYFUNCTION("GOOGLETRANSLATE(A3353, ""ar"", ""bn"")"),"রেডিও যুদ্ধ")</f>
        <v>রেডিও যুদ্ধ</v>
      </c>
    </row>
    <row r="3354">
      <c r="A3354" s="2" t="s">
        <v>2637</v>
      </c>
      <c r="B3354" s="3" t="str">
        <f>IFERROR(__xludf.DUMMYFUNCTION("GOOGLETRANSLATE(A3354, ""ar"", ""bn"")"),"ক্ষয় যুদ্ধের")</f>
        <v>ক্ষয় যুদ্ধের</v>
      </c>
    </row>
    <row r="3355">
      <c r="A3355" s="2" t="s">
        <v>2639</v>
      </c>
      <c r="B3355" s="3" t="str">
        <f>IFERROR(__xludf.DUMMYFUNCTION("GOOGLETRANSLATE(A3355, ""ar"", ""bn"")"),"স্নায়ু যুদ্ধের")</f>
        <v>স্নায়ু যুদ্ধের</v>
      </c>
    </row>
    <row r="3356">
      <c r="A3356" s="2" t="s">
        <v>808</v>
      </c>
      <c r="B3356" s="3" t="str">
        <f>IFERROR(__xludf.DUMMYFUNCTION("GOOGLETRANSLATE(A3356, ""ar"", ""bn"")"),"পরিখা যুদ্ধ")</f>
        <v>পরিখা যুদ্ধ</v>
      </c>
    </row>
    <row r="3357">
      <c r="A3357" s="2" t="s">
        <v>1084</v>
      </c>
      <c r="B3357" s="3" t="str">
        <f>IFERROR(__xludf.DUMMYFUNCTION("GOOGLETRANSLATE(A3357, ""ar"", ""bn"")"),"গেরিলা")</f>
        <v>গেরিলা</v>
      </c>
    </row>
    <row r="3358">
      <c r="A3358" s="2" t="s">
        <v>2235</v>
      </c>
      <c r="B3358" s="3" t="str">
        <f>IFERROR(__xludf.DUMMYFUNCTION("GOOGLETRANSLATE(A3358, ""ar"", ""bn"")"),"স্যাটেলাইট টিভি ওয়ার")</f>
        <v>স্যাটেলাইট টিভি ওয়ার</v>
      </c>
    </row>
    <row r="3359">
      <c r="A3359" s="2" t="s">
        <v>444</v>
      </c>
      <c r="B3359" s="3" t="str">
        <f>IFERROR(__xludf.DUMMYFUNCTION("GOOGLETRANSLATE(A3359, ""ar"", ""bn"")"),"গৃহযুদ্ধ")</f>
        <v>গৃহযুদ্ধ</v>
      </c>
    </row>
    <row r="3360">
      <c r="A3360" s="2" t="s">
        <v>466</v>
      </c>
      <c r="B3360" s="3" t="str">
        <f>IFERROR(__xludf.DUMMYFUNCTION("GOOGLETRANSLATE(A3360, ""ar"", ""bn"")"),"ঠান্ডা মাথার যুদ্ধ")</f>
        <v>ঠান্ডা মাথার যুদ্ধ</v>
      </c>
    </row>
    <row r="3361">
      <c r="A3361" s="2" t="s">
        <v>1326</v>
      </c>
      <c r="B3361" s="3" t="str">
        <f>IFERROR(__xludf.DUMMYFUNCTION("GOOGLETRANSLATE(A3361, ""ar"", ""bn"")"),"ওয়ার বার ইয়ে")</f>
        <v>ওয়ার বার ইয়ে</v>
      </c>
    </row>
    <row r="3362">
      <c r="A3362" s="2" t="s">
        <v>323</v>
      </c>
      <c r="B3362" s="3" t="str">
        <f>IFERROR(__xludf.DUMMYFUNCTION("GOOGLETRANSLATE(A3362, ""ar"", ""bn"")"),"জীবাণুযুদ্ধ")</f>
        <v>জীবাণুযুদ্ধ</v>
      </c>
    </row>
    <row r="3363">
      <c r="A3363" s="2" t="s">
        <v>2011</v>
      </c>
      <c r="B3363" s="3" t="str">
        <f>IFERROR(__xludf.DUMMYFUNCTION("GOOGLETRANSLATE(A3363, ""ar"", ""bn"")"),"প্রচারণা যুদ্ধ")</f>
        <v>প্রচারণা যুদ্ধ</v>
      </c>
    </row>
    <row r="3364">
      <c r="A3364" s="2" t="s">
        <v>2697</v>
      </c>
      <c r="B3364" s="3" t="str">
        <f>IFERROR(__xludf.DUMMYFUNCTION("GOOGLETRANSLATE(A3364, ""ar"", ""bn"")"),"বিশ্বযুদ্ধ")</f>
        <v>বিশ্বযুদ্ধ</v>
      </c>
    </row>
    <row r="3365">
      <c r="A3365" s="2" t="s">
        <v>1142</v>
      </c>
      <c r="B3365" s="3" t="str">
        <f>IFERROR(__xludf.DUMMYFUNCTION("GOOGLETRANSLATE(A3365, ""ar"", ""bn"")"),"ওয়ার বেআইনি")</f>
        <v>ওয়ার বেআইনি</v>
      </c>
    </row>
    <row r="3366">
      <c r="A3366" s="2" t="s">
        <v>2568</v>
      </c>
      <c r="B3366" s="3" t="str">
        <f>IFERROR(__xludf.DUMMYFUNCTION("GOOGLETRANSLATE(A3366, ""ar"", ""bn"")"),"কসমিক ওয়ার")</f>
        <v>কসমিক ওয়ার</v>
      </c>
    </row>
    <row r="3367">
      <c r="A3367" s="2" t="s">
        <v>2032</v>
      </c>
      <c r="B3367" s="3" t="str">
        <f>IFERROR(__xludf.DUMMYFUNCTION("GOOGLETRANSLATE(A3367, ""ar"", ""bn"")"),"মানসিক")</f>
        <v>মানসিক</v>
      </c>
    </row>
    <row r="3368">
      <c r="A3368" s="2" t="s">
        <v>1712</v>
      </c>
      <c r="B3368" s="3" t="str">
        <f>IFERROR(__xludf.DUMMYFUNCTION("GOOGLETRANSLATE(A3368, ""ar"", ""bn"")"),"ওয়ার কাগজ")</f>
        <v>ওয়ার কাগজ</v>
      </c>
    </row>
    <row r="3369">
      <c r="A3369" s="2" t="s">
        <v>1567</v>
      </c>
      <c r="B3369" s="3" t="str">
        <f>IFERROR(__xludf.DUMMYFUNCTION("GOOGLETRANSLATE(A3369, ""ar"", ""bn"")"),"জাতীয় রক্ষী")</f>
        <v>জাতীয় রক্ষী</v>
      </c>
    </row>
    <row r="3370">
      <c r="A3370" s="2" t="s">
        <v>1371</v>
      </c>
      <c r="B3370" s="3" t="str">
        <f>IFERROR(__xludf.DUMMYFUNCTION("GOOGLETRANSLATE(A3370, ""ar"", ""bn"")"),"লিবারেশন আন্দোলন")</f>
        <v>লিবারেশন আন্দোলন</v>
      </c>
    </row>
    <row r="3371">
      <c r="A3371" s="2" t="s">
        <v>1861</v>
      </c>
      <c r="B3371" s="3" t="str">
        <f>IFERROR(__xludf.DUMMYFUNCTION("GOOGLETRANSLATE(A3371, ""ar"", ""bn"")"),"রাজনৈতিক আন্দোলনে")</f>
        <v>রাজনৈতিক আন্দোলনে</v>
      </c>
    </row>
    <row r="3372">
      <c r="A3372" s="2" t="s">
        <v>2095</v>
      </c>
      <c r="B3372" s="3" t="str">
        <f>IFERROR(__xludf.DUMMYFUNCTION("GOOGLETRANSLATE(A3372, ""ar"", ""bn"")"),"রিফর্ম মুভমেন্ট")</f>
        <v>রিফর্ম মুভমেন্ট</v>
      </c>
    </row>
    <row r="3373">
      <c r="A3373" s="2" t="s">
        <v>2157</v>
      </c>
      <c r="B3373" s="3" t="str">
        <f>IFERROR(__xludf.DUMMYFUNCTION("GOOGLETRANSLATE(A3373, ""ar"", ""bn"")"),"প্রতিরোধ আন্দোলন")</f>
        <v>প্রতিরোধ আন্দোলন</v>
      </c>
    </row>
    <row r="3374">
      <c r="A3374" s="2" t="s">
        <v>1436</v>
      </c>
      <c r="B3374" s="3" t="str">
        <f>IFERROR(__xludf.DUMMYFUNCTION("GOOGLETRANSLATE(A3374, ""ar"", ""bn"")"),"একটি গণ আন্দোলন")</f>
        <v>একটি গণ আন্দোলন</v>
      </c>
    </row>
    <row r="3375">
      <c r="A3375" s="2" t="s">
        <v>2760</v>
      </c>
      <c r="B3375" s="3" t="str">
        <f>IFERROR(__xludf.DUMMYFUNCTION("GOOGLETRANSLATE(A3375, ""ar"", ""bn"")"),"রাজনৈতিক অধিকার বঞ্চনার")</f>
        <v>রাজনৈতিক অধিকার বঞ্চনার</v>
      </c>
    </row>
    <row r="3376">
      <c r="A3376" s="2" t="s">
        <v>788</v>
      </c>
      <c r="B3376" s="3" t="str">
        <f>IFERROR(__xludf.DUMMYFUNCTION("GOOGLETRANSLATE(A3376, ""ar"", ""bn"")"),"নাগরিক অধিকার বঞ্চনা")</f>
        <v>নাগরিক অধিকার বঞ্চনা</v>
      </c>
    </row>
    <row r="3377">
      <c r="A3377" s="2" t="s">
        <v>1292</v>
      </c>
      <c r="B3377" s="3" t="str">
        <f>IFERROR(__xludf.DUMMYFUNCTION("GOOGLETRANSLATE(A3377, ""ar"", ""bn"")"),"বাড়ির অলঙ্ঘনীয়তা")</f>
        <v>বাড়ির অলঙ্ঘনীয়তা</v>
      </c>
    </row>
    <row r="3378">
      <c r="A3378" s="2" t="s">
        <v>1172</v>
      </c>
      <c r="B3378" s="3" t="str">
        <f>IFERROR(__xludf.DUMMYFUNCTION("GOOGLETRANSLATE(A3378, ""ar"", ""bn"")"),"পৃথক তথ্য স্বাধীনতা")</f>
        <v>পৃথক তথ্য স্বাধীনতা</v>
      </c>
    </row>
    <row r="3379">
      <c r="A3379" s="2" t="s">
        <v>1028</v>
      </c>
      <c r="B3379" s="3" t="str">
        <f>IFERROR(__xludf.DUMMYFUNCTION("GOOGLETRANSLATE(A3379, ""ar"", ""bn"")"),"স্বাধীনতা")</f>
        <v>স্বাধীনতা</v>
      </c>
    </row>
    <row r="3380">
      <c r="A3380" s="2" t="s">
        <v>1372</v>
      </c>
      <c r="B3380" s="3" t="str">
        <f>IFERROR(__xludf.DUMMYFUNCTION("GOOGLETRANSLATE(A3380, ""ar"", ""bn"")"),"স্বাধীনতা স্বাধীনতা")</f>
        <v>স্বাধীনতা স্বাধীনতা</v>
      </c>
    </row>
    <row r="3381">
      <c r="A3381" s="2" t="s">
        <v>1378</v>
      </c>
      <c r="B3381" s="3" t="str">
        <f>IFERROR(__xludf.DUMMYFUNCTION("GOOGLETRANSLATE(A3381, ""ar"", ""bn"")"),"এইচ গোপনীয় যোগাযোগ")</f>
        <v>এইচ গোপনীয় যোগাযোগ</v>
      </c>
    </row>
    <row r="3382">
      <c r="A3382" s="2" t="s">
        <v>1387</v>
      </c>
      <c r="B3382" s="3" t="str">
        <f>IFERROR(__xludf.DUMMYFUNCTION("GOOGLETRANSLATE(A3382, ""ar"", ""bn"")"),"প্রতিবাদের ফ্রিডম")</f>
        <v>প্রতিবাদের ফ্রিডম</v>
      </c>
    </row>
    <row r="3383">
      <c r="A3383" s="2" t="s">
        <v>1390</v>
      </c>
      <c r="B3383" s="3" t="str">
        <f>IFERROR(__xludf.DUMMYFUNCTION("GOOGLETRANSLATE(A3383, ""ar"", ""bn"")"),"ফ্রি ইয়ে নির্বাচন")</f>
        <v>ফ্রি ইয়ে নির্বাচন</v>
      </c>
    </row>
    <row r="3384">
      <c r="A3384" s="2" t="s">
        <v>1379</v>
      </c>
      <c r="B3384" s="3" t="str">
        <f>IFERROR(__xludf.DUMMYFUNCTION("GOOGLETRANSLATE(A3384, ""ar"", ""bn"")"),"সাংস্কৃতিক বিনিময় স্বাধীনতা")</f>
        <v>সাংস্কৃতিক বিনিময় স্বাধীনতা</v>
      </c>
    </row>
    <row r="3385">
      <c r="A3385" s="2" t="s">
        <v>1384</v>
      </c>
      <c r="B3385" s="3" t="str">
        <f>IFERROR(__xludf.DUMMYFUNCTION("GOOGLETRANSLATE(A3385, ""ar"", ""bn"")"),"যেমন উদারীকরণ স্বাধীনতা")</f>
        <v>যেমন উদারীকরণ স্বাধীনতা</v>
      </c>
    </row>
    <row r="3386">
      <c r="A3386" s="2" t="s">
        <v>1374</v>
      </c>
      <c r="B3386" s="3" t="str">
        <f>IFERROR(__xludf.DUMMYFUNCTION("GOOGLETRANSLATE(A3386, ""ar"", ""bn"")"),"এইচ Rayya মরুকরণ পি")</f>
        <v>এইচ Rayya মরুকরণ পি</v>
      </c>
    </row>
    <row r="3387">
      <c r="A3387" s="2" t="s">
        <v>1381</v>
      </c>
      <c r="B3387" s="3" t="str">
        <f>IFERROR(__xludf.DUMMYFUNCTION("GOOGLETRANSLATE(A3387, ""ar"", ""bn"")"),"এইচ Rayya অভিব্যক্তি")</f>
        <v>এইচ Rayya অভিব্যক্তি</v>
      </c>
    </row>
    <row r="3388">
      <c r="A3388" s="2" t="s">
        <v>1375</v>
      </c>
      <c r="B3388" s="3" t="str">
        <f>IFERROR(__xludf.DUMMYFUNCTION("GOOGLETRANSLATE(A3388, ""ar"", ""bn"")"),"স্বায়ত্তশাসন স্বাধীনতা")</f>
        <v>স্বায়ত্তশাসন স্বাধীনতা</v>
      </c>
    </row>
    <row r="3389">
      <c r="A3389" s="2" t="s">
        <v>1380</v>
      </c>
      <c r="B3389" s="3" t="str">
        <f>IFERROR(__xludf.DUMMYFUNCTION("GOOGLETRANSLATE(A3389, ""ar"", ""bn"")"),"রাষ্ট্রের পয়সায়")</f>
        <v>রাষ্ট্রের পয়সায়</v>
      </c>
    </row>
    <row r="3390">
      <c r="A3390" s="2" t="s">
        <v>1383</v>
      </c>
      <c r="B3390" s="3" t="str">
        <f>IFERROR(__xludf.DUMMYFUNCTION("GOOGLETRANSLATE(A3390, ""ar"", ""bn"")"),"এইচ গোপনীয় তথ্য ও গণমাধ্যম")</f>
        <v>এইচ গোপনীয় তথ্য ও গণমাধ্যম</v>
      </c>
    </row>
    <row r="3391">
      <c r="A3391" s="2" t="s">
        <v>1389</v>
      </c>
      <c r="B3391" s="3" t="str">
        <f>IFERROR(__xludf.DUMMYFUNCTION("GOOGLETRANSLATE(A3391, ""ar"", ""bn"")"),"বক্তৃতা ও লেখার স্বাধীনতা")</f>
        <v>বক্তৃতা ও লেখার স্বাধীনতা</v>
      </c>
    </row>
    <row r="3392">
      <c r="A3392" s="2" t="s">
        <v>1386</v>
      </c>
      <c r="B3392" s="3" t="str">
        <f>IFERROR(__xludf.DUMMYFUNCTION("GOOGLETRANSLATE(A3392, ""ar"", ""bn"")"),"ফ্রি ট্রাফিক")</f>
        <v>ফ্রি ট্রাফিক</v>
      </c>
    </row>
    <row r="3393">
      <c r="A3393" s="2" t="s">
        <v>1385</v>
      </c>
      <c r="B3393" s="3" t="str">
        <f>IFERROR(__xludf.DUMMYFUNCTION("GOOGLETRANSLATE(A3393, ""ar"", ""bn"")"),"ক্ষমতায় অংশগ্রহণ স্বাধীনতা")</f>
        <v>ক্ষমতায় অংশগ্রহণ স্বাধীনতা</v>
      </c>
    </row>
    <row r="3394">
      <c r="A3394" s="2" t="s">
        <v>1376</v>
      </c>
      <c r="B3394" s="3" t="str">
        <f>IFERROR(__xludf.DUMMYFUNCTION("GOOGLETRANSLATE(A3394, ""ar"", ""bn"")"),"ধর্মীয় বিশ্বাসের স্বাধীনতা")</f>
        <v>ধর্মীয় বিশ্বাসের স্বাধীনতা</v>
      </c>
    </row>
    <row r="3395">
      <c r="A3395" s="2" t="s">
        <v>1377</v>
      </c>
      <c r="B3395" s="3" t="str">
        <f>IFERROR(__xludf.DUMMYFUNCTION("GOOGLETRANSLATE(A3395, ""ar"", ""bn"")"),"আইন দিকে নাগরিকদের স্বাধীনতা")</f>
        <v>আইন দিকে নাগরিকদের স্বাধীনতা</v>
      </c>
    </row>
    <row r="3396">
      <c r="A3396" s="2" t="s">
        <v>1388</v>
      </c>
      <c r="B3396" s="3" t="str">
        <f>IFERROR(__xludf.DUMMYFUNCTION("GOOGLETRANSLATE(A3396, ""ar"", ""bn"")"),"আত্মনিয়ন্ত্রণের স্বাধীনতা")</f>
        <v>আত্মনিয়ন্ত্রণের স্বাধীনতা</v>
      </c>
    </row>
    <row r="3397">
      <c r="A3397" s="2" t="s">
        <v>1855</v>
      </c>
      <c r="B3397" s="3" t="str">
        <f>IFERROR(__xludf.DUMMYFUNCTION("GOOGLETRANSLATE(A3397, ""ar"", ""bn"")"),"রাজনৈতিক স্বাধীনতা")</f>
        <v>রাজনৈতিক স্বাধীনতা</v>
      </c>
    </row>
    <row r="3398">
      <c r="A3398" s="2" t="s">
        <v>1382</v>
      </c>
      <c r="B3398" s="3" t="str">
        <f>IFERROR(__xludf.DUMMYFUNCTION("GOOGLETRANSLATE(A3398, ""ar"", ""bn"")"),"মতাদর্শগত স্বাধীনতা")</f>
        <v>মতাদর্শগত স্বাধীনতা</v>
      </c>
    </row>
    <row r="3399">
      <c r="A3399" s="2" t="s">
        <v>442</v>
      </c>
      <c r="B3399" s="3" t="str">
        <f>IFERROR(__xludf.DUMMYFUNCTION("GOOGLETRANSLATE(A3399, ""ar"", ""bn"")"),"সিভিল স্বাধীনতা")</f>
        <v>সিভিল স্বাধীনতা</v>
      </c>
    </row>
    <row r="3400">
      <c r="A3400" s="2" t="s">
        <v>1029</v>
      </c>
      <c r="B3400" s="3" t="str">
        <f>IFERROR(__xludf.DUMMYFUNCTION("GOOGLETRANSLATE(A3400, ""ar"", ""bn"")"),"ফ্রিডম ও ব্যক্তি মঙ্গল")</f>
        <v>ফ্রিডম ও ব্যক্তি মঙ্গল</v>
      </c>
    </row>
    <row r="3401">
      <c r="A3401" s="2" t="s">
        <v>1730</v>
      </c>
      <c r="B3401" s="3" t="str">
        <f>IFERROR(__xludf.DUMMYFUNCTION("GOOGLETRANSLATE(A3401, ""ar"", ""bn"")"),"পার্টি")</f>
        <v>পার্টি</v>
      </c>
    </row>
    <row r="3402">
      <c r="A3402" s="2" t="s">
        <v>2291</v>
      </c>
      <c r="B3402" s="3" t="str">
        <f>IFERROR(__xludf.DUMMYFUNCTION("GOOGLETRANSLATE(A3402, ""ar"", ""bn"")"),"সমাজতন্ত্রী দল")</f>
        <v>সমাজতন্ত্রী দল</v>
      </c>
    </row>
    <row r="3403">
      <c r="A3403" s="2" t="s">
        <v>409</v>
      </c>
      <c r="B3403" s="3" t="str">
        <f>IFERROR(__xludf.DUMMYFUNCTION("GOOGLETRANSLATE(A3403, ""ar"", ""bn"")"),"আল-Wasat পার্টির")</f>
        <v>আল-Wasat পার্টির</v>
      </c>
    </row>
    <row r="3404">
      <c r="A3404" s="2" t="s">
        <v>2148</v>
      </c>
      <c r="B3404" s="3" t="str">
        <f>IFERROR(__xludf.DUMMYFUNCTION("GOOGLETRANSLATE(A3404, ""ar"", ""bn"")"),"রিপাবলিকান পার্টি")</f>
        <v>রিপাবলিকান পার্টি</v>
      </c>
    </row>
    <row r="3405">
      <c r="A3405" s="2" t="s">
        <v>497</v>
      </c>
      <c r="B3405" s="3" t="str">
        <f>IFERROR(__xludf.DUMMYFUNCTION("GOOGLETRANSLATE(A3405, ""ar"", ""bn"")"),"সমাজতান্ত্রিক দল")</f>
        <v>সমাজতান্ত্রিক দল</v>
      </c>
    </row>
    <row r="3406">
      <c r="A3406" s="2" t="s">
        <v>1123</v>
      </c>
      <c r="B3406" s="3" t="str">
        <f>IFERROR(__xludf.DUMMYFUNCTION("GOOGLETRANSLATE(A3406, ""ar"", ""bn"")"),"বৈরী পার্টি")</f>
        <v>বৈরী পার্টি</v>
      </c>
    </row>
    <row r="3407">
      <c r="A3407" s="2" t="s">
        <v>1335</v>
      </c>
      <c r="B3407" s="3" t="str">
        <f>IFERROR(__xludf.DUMMYFUNCTION("GOOGLETRANSLATE(A3407, ""ar"", ""bn"")"),"পার্টির কমান্ডার")</f>
        <v>পার্টির কমান্ডার</v>
      </c>
    </row>
    <row r="3408">
      <c r="A3408" s="2" t="s">
        <v>1363</v>
      </c>
      <c r="B3408" s="3" t="str">
        <f>IFERROR(__xludf.DUMMYFUNCTION("GOOGLETRANSLATE(A3408, ""ar"", ""bn"")"),"লিবারেল পার্টি")</f>
        <v>লিবারেল পার্টি</v>
      </c>
    </row>
    <row r="3409">
      <c r="A3409" s="2" t="s">
        <v>953</v>
      </c>
      <c r="B3409" s="3" t="str">
        <f>IFERROR(__xludf.DUMMYFUNCTION("GOOGLETRANSLATE(A3409, ""ar"", ""bn"")"),"MTT পার্টি আলনা")</f>
        <v>MTT পার্টি আলনা</v>
      </c>
    </row>
    <row r="3410">
      <c r="A3410" s="2" t="s">
        <v>1572</v>
      </c>
      <c r="B3410" s="3" t="str">
        <f>IFERROR(__xludf.DUMMYFUNCTION("GOOGLETRANSLATE(A3410, ""ar"", ""bn"")"),"জাতীয় পার্টির")</f>
        <v>জাতীয় পার্টির</v>
      </c>
    </row>
    <row r="3411">
      <c r="A3411" s="2" t="s">
        <v>1340</v>
      </c>
      <c r="B3411" s="3" t="str">
        <f>IFERROR(__xludf.DUMMYFUNCTION("GOOGLETRANSLATE(A3411, ""ar"", ""bn"")"),"বামপন্থী পার্টি")</f>
        <v>বামপন্থী পার্টি</v>
      </c>
    </row>
    <row r="3412">
      <c r="A3412" s="2" t="s">
        <v>1126</v>
      </c>
      <c r="B3412" s="3" t="str">
        <f>IFERROR(__xludf.DUMMYFUNCTION("GOOGLETRANSLATE(A3412, ""ar"", ""bn"")"),"মানুষের জনতার")</f>
        <v>মানুষের জনতার</v>
      </c>
    </row>
    <row r="3413">
      <c r="A3413" s="2" t="s">
        <v>347</v>
      </c>
      <c r="B3413" s="3" t="str">
        <f>IFERROR(__xludf.DUMMYFUNCTION("GOOGLETRANSLATE(A3413, ""ar"", ""bn"")"),"নিরোধ")</f>
        <v>নিরোধ</v>
      </c>
    </row>
    <row r="3414">
      <c r="A3414" s="2" t="s">
        <v>1426</v>
      </c>
      <c r="B3414" s="3" t="str">
        <f>IFERROR(__xludf.DUMMYFUNCTION("GOOGLETRANSLATE(A3414, ""ar"", ""bn"")"),"নৌ অবরোধ")</f>
        <v>নৌ অবরোধ</v>
      </c>
    </row>
    <row r="3415">
      <c r="A3415" s="2" t="s">
        <v>2450</v>
      </c>
      <c r="B3415" s="3" t="str">
        <f>IFERROR(__xludf.DUMMYFUNCTION("GOOGLETRANSLATE(A3415, ""ar"", ""bn"")"),"ধার্মিকতা অবরোধের")</f>
        <v>ধার্মিকতা অবরোধের</v>
      </c>
    </row>
    <row r="3416">
      <c r="A3416" s="2" t="s">
        <v>205</v>
      </c>
      <c r="B3416" s="3" t="str">
        <f>IFERROR(__xludf.DUMMYFUNCTION("GOOGLETRANSLATE(A3416, ""ar"", ""bn"")"),"নিরোধ জো ঞ")</f>
        <v>নিরোধ জো ঞ</v>
      </c>
    </row>
    <row r="3417">
      <c r="A3417" s="2" t="s">
        <v>1708</v>
      </c>
      <c r="B3417" s="3" t="str">
        <f>IFERROR(__xludf.DUMMYFUNCTION("GOOGLETRANSLATE(A3417, ""ar"", ""bn"")"),"শান্তিপূর্ণ অবরোধ")</f>
        <v>শান্তিপূর্ণ অবরোধ</v>
      </c>
    </row>
    <row r="3418">
      <c r="A3418" s="2" t="s">
        <v>1144</v>
      </c>
      <c r="B3418" s="3" t="str">
        <f>IFERROR(__xludf.DUMMYFUNCTION("GOOGLETRANSLATE(A3418, ""ar"", ""bn"")"),"স্বাধীনতা")</f>
        <v>স্বাধীনতা</v>
      </c>
    </row>
    <row r="3419">
      <c r="A3419" s="2" t="s">
        <v>308</v>
      </c>
      <c r="B3419" s="3" t="str">
        <f>IFERROR(__xludf.DUMMYFUNCTION("GOOGLETRANSLATE(A3419, ""ar"", ""bn"")"),"পাওয়ার অনাক্রম্যতা")</f>
        <v>পাওয়ার অনাক্রম্যতা</v>
      </c>
    </row>
    <row r="3420">
      <c r="A3420" s="2" t="s">
        <v>1719</v>
      </c>
      <c r="B3420" s="3" t="str">
        <f>IFERROR(__xludf.DUMMYFUNCTION("GOOGLETRANSLATE(A3420, ""ar"", ""bn"")"),"সংসদীয় অনাক্রম্যতা")</f>
        <v>সংসদীয় অনাক্রম্যতা</v>
      </c>
    </row>
    <row r="3421">
      <c r="A3421" s="2" t="s">
        <v>2761</v>
      </c>
      <c r="B3421" s="3" t="str">
        <f>IFERROR(__xludf.DUMMYFUNCTION("GOOGLETRANSLATE(A3421, ""ar"", ""bn"")"),"একটি গার্ডে ডিপ্লোম্যাটিক")</f>
        <v>একটি গার্ডে ডিপ্লোম্যাটিক</v>
      </c>
    </row>
    <row r="3422">
      <c r="A3422" s="2" t="s">
        <v>1847</v>
      </c>
      <c r="B3422" s="3" t="str">
        <f>IFERROR(__xludf.DUMMYFUNCTION("GOOGLETRANSLATE(A3422, ""ar"", ""bn"")"),"রাজনৈতিক অনাক্রম্যতা")</f>
        <v>রাজনৈতিক অনাক্রম্যতা</v>
      </c>
    </row>
    <row r="3423">
      <c r="A3423" s="2" t="s">
        <v>566</v>
      </c>
      <c r="B3423" s="3" t="str">
        <f>IFERROR(__xludf.DUMMYFUNCTION("GOOGLETRANSLATE(A3423, ""ar"", ""bn"")"),"দূতাবাস অনাক্রম্যতা")</f>
        <v>দূতাবাস অনাক্রম্যতা</v>
      </c>
    </row>
    <row r="3424">
      <c r="A3424" s="2" t="s">
        <v>986</v>
      </c>
      <c r="B3424" s="3" t="str">
        <f>IFERROR(__xludf.DUMMYFUNCTION("GOOGLETRANSLATE(A3424, ""ar"", ""bn"")"),"আর্থিক অনাক্রম্যতা")</f>
        <v>আর্থিক অনাক্রম্যতা</v>
      </c>
    </row>
    <row r="3425">
      <c r="A3425" s="2" t="s">
        <v>2283</v>
      </c>
      <c r="B3425" s="3" t="str">
        <f>IFERROR(__xludf.DUMMYFUNCTION("GOOGLETRANSLATE(A3425, ""ar"", ""bn"")"),"ডাবল অনাক্রম্যতা")</f>
        <v>ডাবল অনাক্রম্যতা</v>
      </c>
    </row>
    <row r="3426">
      <c r="A3426" s="2" t="s">
        <v>1413</v>
      </c>
      <c r="B3426" s="3" t="str">
        <f>IFERROR(__xludf.DUMMYFUNCTION("GOOGLETRANSLATE(A3426, ""ar"", ""bn"")"),"অংশ পণ")</f>
        <v>অংশ পণ</v>
      </c>
    </row>
    <row r="3427">
      <c r="A3427" s="2" t="s">
        <v>2336</v>
      </c>
      <c r="B3427" s="3" t="str">
        <f>IFERROR(__xludf.DUMMYFUNCTION("GOOGLETRANSLATE(A3427, ""ar"", ""bn"")"),"সভ্যতার রাজ্যের")</f>
        <v>সভ্যতার রাজ্যের</v>
      </c>
    </row>
    <row r="3428">
      <c r="A3428" s="2" t="s">
        <v>1398</v>
      </c>
      <c r="B3428" s="3" t="str">
        <f>IFERROR(__xludf.DUMMYFUNCTION("GOOGLETRANSLATE(A3428, ""ar"", ""bn"")"),"বসবাসের বিরোধিতা")</f>
        <v>বসবাসের বিরোধিতা</v>
      </c>
    </row>
    <row r="3429">
      <c r="A3429" s="2" t="s">
        <v>1264</v>
      </c>
      <c r="B3429" s="3" t="str">
        <f>IFERROR(__xludf.DUMMYFUNCTION("GOOGLETRANSLATE(A3429, ""ar"", ""bn"")"),"আন্তর্জাতিক নিষেধাজ্ঞা")</f>
        <v>আন্তর্জাতিক নিষেধাজ্ঞা</v>
      </c>
    </row>
    <row r="3430">
      <c r="A3430" s="2" t="s">
        <v>542</v>
      </c>
      <c r="B3430" s="3" t="str">
        <f>IFERROR(__xludf.DUMMYFUNCTION("GOOGLETRANSLATE(A3430, ""ar"", ""bn"")"),"শান্তি বজায় রাখুন")</f>
        <v>শান্তি বজায় রাখুন</v>
      </c>
    </row>
    <row r="3431">
      <c r="A3431" s="2" t="s">
        <v>2181</v>
      </c>
      <c r="B3431" s="3" t="str">
        <f>IFERROR(__xludf.DUMMYFUNCTION("GOOGLETRANSLATE(A3431, ""ar"", ""bn"")"),"ভোটিং অধিকার")</f>
        <v>ভোটিং অধিকার</v>
      </c>
    </row>
    <row r="3432">
      <c r="A3432" s="2" t="s">
        <v>2187</v>
      </c>
      <c r="B3432" s="3" t="str">
        <f>IFERROR(__xludf.DUMMYFUNCTION("GOOGLETRANSLATE(A3432, ""ar"", ""bn"")"),"রাইট Alteras")</f>
        <v>রাইট Alteras</v>
      </c>
    </row>
    <row r="3433">
      <c r="A3433" s="2" t="s">
        <v>2193</v>
      </c>
      <c r="B3433" s="3" t="str">
        <f>IFERROR(__xludf.DUMMYFUNCTION("GOOGLETRANSLATE(A3433, ""ar"", ""bn"")"),"এইচ গুলি পরিচিতি")</f>
        <v>এইচ গুলি পরিচিতি</v>
      </c>
    </row>
    <row r="3434">
      <c r="A3434" s="2" t="s">
        <v>2179</v>
      </c>
      <c r="B3434" s="3" t="str">
        <f>IFERROR(__xludf.DUMMYFUNCTION("GOOGLETRANSLATE(A3434, ""ar"", ""bn"")"),"এইচ গুলি জারি আদেশ")</f>
        <v>এইচ গুলি জারি আদেশ</v>
      </c>
    </row>
    <row r="3435">
      <c r="A3435" s="2" t="s">
        <v>2021</v>
      </c>
      <c r="B3435" s="3" t="str">
        <f>IFERROR(__xludf.DUMMYFUNCTION("GOOGLETRANSLATE(A3435, ""ar"", ""bn"")"),"প্রতিবাদ করার অধিকার")</f>
        <v>প্রতিবাদ করার অধিকার</v>
      </c>
    </row>
    <row r="3436">
      <c r="A3436" s="2" t="s">
        <v>1698</v>
      </c>
      <c r="B3436" s="3" t="str">
        <f>IFERROR(__xludf.DUMMYFUNCTION("GOOGLETRANSLATE(A3436, ""ar"", ""bn"")"),"পছন্দের অধিকার")</f>
        <v>পছন্দের অধিকার</v>
      </c>
    </row>
    <row r="3437">
      <c r="A3437" s="2" t="s">
        <v>2199</v>
      </c>
      <c r="B3437" s="3" t="str">
        <f>IFERROR(__xludf.DUMMYFUNCTION("GOOGLETRANSLATE(A3437, ""ar"", ""bn"")"),"পরিষেবার করতে ব্যবহার করার অধিকার")</f>
        <v>পরিষেবার করতে ব্যবহার করার অধিকার</v>
      </c>
    </row>
    <row r="3438">
      <c r="A3438" s="2" t="s">
        <v>2202</v>
      </c>
      <c r="B3438" s="3" t="str">
        <f>IFERROR(__xludf.DUMMYFUNCTION("GOOGLETRANSLATE(A3438, ""ar"", ""bn"")"),"সামাজিক")</f>
        <v>সামাজিক</v>
      </c>
    </row>
    <row r="3439">
      <c r="A3439" s="2" t="s">
        <v>2762</v>
      </c>
      <c r="B3439" s="3" t="str">
        <f>IFERROR(__xludf.DUMMYFUNCTION("GOOGLETRANSLATE(A3439, ""ar"", ""bn"")"),"স্বাস্থ্য পরিষেবাগুলিতে অ্যাক্সেস ডান")</f>
        <v>স্বাস্থ্য পরিষেবাগুলিতে অ্যাক্সেস ডান</v>
      </c>
    </row>
    <row r="3440">
      <c r="A3440" s="2" t="s">
        <v>1937</v>
      </c>
      <c r="B3440" s="3" t="str">
        <f>IFERROR(__xludf.DUMMYFUNCTION("GOOGLETRANSLATE(A3440, ""ar"", ""bn"")"),"রাইটস ইস্যু")</f>
        <v>রাইটস ইস্যু</v>
      </c>
    </row>
    <row r="3441">
      <c r="A3441" s="2" t="s">
        <v>511</v>
      </c>
      <c r="B3441" s="3" t="str">
        <f>IFERROR(__xludf.DUMMYFUNCTION("GOOGLETRANSLATE(A3441, ""ar"", ""bn"")"),"Franchising")</f>
        <v>Franchising</v>
      </c>
    </row>
    <row r="3442">
      <c r="A3442" s="2" t="s">
        <v>1992</v>
      </c>
      <c r="B3442" s="3" t="str">
        <f>IFERROR(__xludf.DUMMYFUNCTION("GOOGLETRANSLATE(A3442, ""ar"", ""bn"")"),"প্রাধান্য")</f>
        <v>প্রাধান্য</v>
      </c>
    </row>
    <row r="3443">
      <c r="A3443" s="2" t="s">
        <v>2192</v>
      </c>
      <c r="B3443" s="3" t="str">
        <f>IFERROR(__xludf.DUMMYFUNCTION("GOOGLETRANSLATE(A3443, ""ar"", ""bn"")"),"সমাবেশ ডান")</f>
        <v>সমাবেশ ডান</v>
      </c>
    </row>
    <row r="3444">
      <c r="A3444" s="2" t="s">
        <v>847</v>
      </c>
      <c r="B3444" s="3" t="str">
        <f>IFERROR(__xludf.DUMMYFUNCTION("GOOGLETRANSLATE(A3444, ""ar"", ""bn"")"),"এইচ নির্বাচনের প্রার্থীপদ ডান")</f>
        <v>এইচ নির্বাচনের প্রার্থীপদ ডান</v>
      </c>
    </row>
    <row r="3445">
      <c r="A3445" s="2" t="s">
        <v>2190</v>
      </c>
      <c r="B3445" s="3" t="str">
        <f>IFERROR(__xludf.DUMMYFUNCTION("GOOGLETRANSLATE(A3445, ""ar"", ""bn"")"),"এইচ গুলি ভোটিং")</f>
        <v>এইচ গুলি ভোটিং</v>
      </c>
    </row>
    <row r="3446">
      <c r="A3446" s="2" t="s">
        <v>2194</v>
      </c>
      <c r="B3446" s="3" t="str">
        <f>IFERROR(__xludf.DUMMYFUNCTION("GOOGLETRANSLATE(A3446, ""ar"", ""bn"")"),"প্রকট অধিকার")</f>
        <v>প্রকট অধিকার</v>
      </c>
    </row>
    <row r="3447">
      <c r="A3447" s="2" t="s">
        <v>2195</v>
      </c>
      <c r="B3447" s="3" t="str">
        <f>IFERROR(__xludf.DUMMYFUNCTION("GOOGLETRANSLATE(A3447, ""ar"", ""bn"")"),"মতামত প্রকাশ ডান")</f>
        <v>মতামত প্রকাশ ডান</v>
      </c>
    </row>
    <row r="3448">
      <c r="A3448" s="2" t="s">
        <v>2189</v>
      </c>
      <c r="B3448" s="3" t="str">
        <f>IFERROR(__xludf.DUMMYFUNCTION("GOOGLETRANSLATE(A3448, ""ar"", ""bn"")"),"মত প্রকাশ ও বাক অধিকার")</f>
        <v>মত প্রকাশ ও বাক অধিকার</v>
      </c>
    </row>
    <row r="3449">
      <c r="A3449" s="2" t="s">
        <v>2191</v>
      </c>
      <c r="B3449" s="3" t="str">
        <f>IFERROR(__xludf.DUMMYFUNCTION("GOOGLETRANSLATE(A3449, ""ar"", ""bn"")"),"ক্ষমা চাওয়ার অধিকার")</f>
        <v>ক্ষমা চাওয়ার অধিকার</v>
      </c>
    </row>
    <row r="3450">
      <c r="A3450" s="2" t="s">
        <v>2186</v>
      </c>
      <c r="B3450" s="3" t="str">
        <f>IFERROR(__xludf.DUMMYFUNCTION("GOOGLETRANSLATE(A3450, ""ar"", ""bn"")"),"রাইট Altml কে")</f>
        <v>রাইট Altml কে</v>
      </c>
    </row>
    <row r="3451">
      <c r="A3451" s="2" t="s">
        <v>2182</v>
      </c>
      <c r="B3451" s="3" t="str">
        <f>IFERROR(__xludf.DUMMYFUNCTION("GOOGLETRANSLATE(A3451, ""ar"", ""bn"")"),"অধিকার অন্য দেশে প্রবেশ করতে")</f>
        <v>অধিকার অন্য দেশে প্রবেশ করতে</v>
      </c>
    </row>
    <row r="3452">
      <c r="A3452" s="2" t="s">
        <v>2188</v>
      </c>
      <c r="B3452" s="3" t="str">
        <f>IFERROR(__xludf.DUMMYFUNCTION("GOOGLETRANSLATE(A3452, ""ar"", ""bn"")"),"আত্মরক্ষা ডান")</f>
        <v>আত্মরক্ষা ডান</v>
      </c>
    </row>
    <row r="3453">
      <c r="A3453" s="2" t="s">
        <v>2183</v>
      </c>
      <c r="B3453" s="3" t="str">
        <f>IFERROR(__xludf.DUMMYFUNCTION("GOOGLETRANSLATE(A3453, ""ar"", ""bn"")"),"একটি জাতি বা অভিভাবকত্ব নেওয়ার অধিকার")</f>
        <v>একটি জাতি বা অভিভাবকত্ব নেওয়ার অধিকার</v>
      </c>
    </row>
    <row r="3454">
      <c r="A3454" s="2" t="s">
        <v>2178</v>
      </c>
      <c r="B3454" s="3" t="str">
        <f>IFERROR(__xludf.DUMMYFUNCTION("GOOGLETRANSLATE(A3454, ""ar"", ""bn"")"),"আশ্রয়")</f>
        <v>আশ্রয়</v>
      </c>
    </row>
    <row r="3455">
      <c r="A3455" s="2" t="s">
        <v>2763</v>
      </c>
      <c r="B3455" s="3" t="str">
        <f>IFERROR(__xludf.DUMMYFUNCTION("GOOGLETRANSLATE(A3455, ""ar"", ""bn"")"),"বিচারিক কর্তৃপক্ষের কাছে আশ্রয় ডান")</f>
        <v>বিচারিক কর্তৃপক্ষের কাছে আশ্রয় ডান</v>
      </c>
    </row>
    <row r="3456">
      <c r="A3456" s="2" t="s">
        <v>2198</v>
      </c>
      <c r="B3456" s="3" t="str">
        <f>IFERROR(__xludf.DUMMYFUNCTION("GOOGLETRANSLATE(A3456, ""ar"", ""bn"")"),"বিচারের আশ্রয় ডান")</f>
        <v>বিচারের আশ্রয় ডান</v>
      </c>
    </row>
    <row r="3457">
      <c r="A3457" s="2" t="s">
        <v>2203</v>
      </c>
      <c r="B3457" s="3" t="str">
        <f>IFERROR(__xludf.DUMMYFUNCTION("GOOGLETRANSLATE(A3457, ""ar"", ""bn"")"),"উদ্যোগের অধিকার")</f>
        <v>উদ্যোগের অধিকার</v>
      </c>
    </row>
    <row r="3458">
      <c r="A3458" s="2" t="s">
        <v>2180</v>
      </c>
      <c r="B3458" s="3" t="str">
        <f>IFERROR(__xludf.DUMMYFUNCTION("GOOGLETRANSLATE(A3458, ""ar"", ""bn"")"),"ধীরতা ও আলোচনা ডান")</f>
        <v>ধীরতা ও আলোচনা ডান</v>
      </c>
    </row>
    <row r="3459">
      <c r="A3459" s="2" t="s">
        <v>2185</v>
      </c>
      <c r="B3459" s="3" t="str">
        <f>IFERROR(__xludf.DUMMYFUNCTION("GOOGLETRANSLATE(A3459, ""ar"", ""bn"")"),"ট্রাফিক অধিকার আঞ্চলিক জমি")</f>
        <v>ট্রাফিক অধিকার আঞ্চলিক জমি</v>
      </c>
    </row>
    <row r="3460">
      <c r="A3460" s="2" t="s">
        <v>2184</v>
      </c>
      <c r="B3460" s="3" t="str">
        <f>IFERROR(__xludf.DUMMYFUNCTION("GOOGLETRANSLATE(A3460, ""ar"", ""bn"")"),"ক্ষমতা অংশগ্রহণের অধিকার")</f>
        <v>ক্ষমতা অংশগ্রহণের অধিকার</v>
      </c>
    </row>
    <row r="3461">
      <c r="A3461" s="2" t="s">
        <v>1595</v>
      </c>
      <c r="B3461" s="3" t="str">
        <f>IFERROR(__xludf.DUMMYFUNCTION("GOOGLETRANSLATE(A3461, ""ar"", ""bn"")"),"নেতিবাচক অধিকার")</f>
        <v>নেতিবাচক অধিকার</v>
      </c>
    </row>
    <row r="3462">
      <c r="A3462" s="2" t="s">
        <v>2201</v>
      </c>
      <c r="B3462" s="3" t="str">
        <f>IFERROR(__xludf.DUMMYFUNCTION("GOOGLETRANSLATE(A3462, ""ar"", ""bn"")"),"আপগ্রেড করার অধিকার")</f>
        <v>আপগ্রেড করার অধিকার</v>
      </c>
    </row>
    <row r="3463">
      <c r="A3463" s="2" t="s">
        <v>1557</v>
      </c>
      <c r="B3463" s="3" t="str">
        <f>IFERROR(__xludf.DUMMYFUNCTION("GOOGLETRANSLATE(A3463, ""ar"", ""bn"")"),"রাজনৈতিক ঘটনা নগ্ন")</f>
        <v>রাজনৈতিক ঘটনা নগ্ন</v>
      </c>
    </row>
    <row r="3464">
      <c r="A3464" s="2" t="s">
        <v>1478</v>
      </c>
      <c r="B3464" s="3" t="str">
        <f>IFERROR(__xludf.DUMMYFUNCTION("GOOGLETRANSLATE(A3464, ""ar"", ""bn"")"),"খনি ক্ষেত্র")</f>
        <v>খনি ক্ষেত্র</v>
      </c>
    </row>
    <row r="3465">
      <c r="A3465" s="2" t="s">
        <v>396</v>
      </c>
      <c r="B3465" s="3" t="str">
        <f>IFERROR(__xludf.DUMMYFUNCTION("GOOGLETRANSLATE(A3465, ""ar"", ""bn"")"),"বন্দীদের অধিকার")</f>
        <v>বন্দীদের অধিকার</v>
      </c>
    </row>
    <row r="3466">
      <c r="A3466" s="2" t="s">
        <v>1128</v>
      </c>
      <c r="B3466" s="3" t="str">
        <f>IFERROR(__xludf.DUMMYFUNCTION("GOOGLETRANSLATE(A3466, ""ar"", ""bn"")"),"মানবাধিকার")</f>
        <v>মানবাধিকার</v>
      </c>
    </row>
    <row r="3467">
      <c r="A3467" s="2" t="s">
        <v>2348</v>
      </c>
      <c r="B3467" s="3" t="str">
        <f>IFERROR(__xludf.DUMMYFUNCTION("GOOGLETRANSLATE(A3467, ""ar"", ""bn"")"),"যুক্তরাষ্ট্রের অধিকার")</f>
        <v>যুক্তরাষ্ট্রের অধিকার</v>
      </c>
    </row>
    <row r="3468">
      <c r="A3468" s="2" t="s">
        <v>1882</v>
      </c>
      <c r="B3468" s="3" t="str">
        <f>IFERROR(__xludf.DUMMYFUNCTION("GOOGLETRANSLATE(A3468, ""ar"", ""bn"")"),"রাজনৈতিক বন্দীদের অধিকার")</f>
        <v>রাজনৈতিক বন্দীদের অধিকার</v>
      </c>
    </row>
    <row r="3469">
      <c r="A3469" s="2" t="s">
        <v>540</v>
      </c>
      <c r="B3469" s="3" t="str">
        <f>IFERROR(__xludf.DUMMYFUNCTION("GOOGLETRANSLATE(A3469, ""ar"", ""bn"")"),"বিজয়ী সৈন্যদের অধিকার")</f>
        <v>বিজয়ী সৈন্যদের অধিকার</v>
      </c>
    </row>
    <row r="3470">
      <c r="A3470" s="2" t="s">
        <v>437</v>
      </c>
      <c r="B3470" s="3" t="str">
        <f>IFERROR(__xludf.DUMMYFUNCTION("GOOGLETRANSLATE(A3470, ""ar"", ""bn"")"),"নাগরিক অধিকার")</f>
        <v>নাগরিক অধিকার</v>
      </c>
    </row>
    <row r="3471">
      <c r="A3471" s="2" t="s">
        <v>559</v>
      </c>
      <c r="B3471" s="3" t="str">
        <f>IFERROR(__xludf.DUMMYFUNCTION("GOOGLETRANSLATE(A3471, ""ar"", ""bn"")"),"সাংবিধানিক অধিকার")</f>
        <v>সাংবিধানিক অধিকার</v>
      </c>
    </row>
    <row r="3472">
      <c r="A3472" s="2" t="s">
        <v>1347</v>
      </c>
      <c r="B3472" s="3" t="str">
        <f>IFERROR(__xludf.DUMMYFUNCTION("GOOGLETRANSLATE(A3472, ""ar"", ""bn"")"),"ন্যায্য অধিকার")</f>
        <v>ন্যায্য অধিকার</v>
      </c>
    </row>
    <row r="3473">
      <c r="A3473" s="2" t="s">
        <v>874</v>
      </c>
      <c r="B3473" s="3" t="str">
        <f>IFERROR(__xludf.DUMMYFUNCTION("GOOGLETRANSLATE(A3473, ""ar"", ""bn"")"),"সম অধিকার")</f>
        <v>সম অধিকার</v>
      </c>
    </row>
    <row r="3474">
      <c r="A3474" s="2" t="s">
        <v>443</v>
      </c>
      <c r="B3474" s="3" t="str">
        <f>IFERROR(__xludf.DUMMYFUNCTION("GOOGLETRANSLATE(A3474, ""ar"", ""bn"")"),"নাগরিক অধিকার")</f>
        <v>নাগরিক অধিকার</v>
      </c>
    </row>
    <row r="3475">
      <c r="A3475" s="2" t="s">
        <v>1539</v>
      </c>
      <c r="B3475" s="3" t="str">
        <f>IFERROR(__xludf.DUMMYFUNCTION("GOOGLETRANSLATE(A3475, ""ar"", ""bn"")"),"নৈতিক অধিকার")</f>
        <v>নৈতিক অধিকার</v>
      </c>
    </row>
    <row r="3476">
      <c r="A3476" s="2" t="s">
        <v>167</v>
      </c>
      <c r="B3476" s="3" t="str">
        <f>IFERROR(__xludf.DUMMYFUNCTION("GOOGLETRANSLATE(A3476, ""ar"", ""bn"")"),"অর্জিত অধিকার")</f>
        <v>অর্জিত অধিকার</v>
      </c>
    </row>
    <row r="3477">
      <c r="A3477" s="2" t="s">
        <v>2349</v>
      </c>
      <c r="B3477" s="3" t="str">
        <f>IFERROR(__xludf.DUMMYFUNCTION("GOOGLETRANSLATE(A3477, ""ar"", ""bn"")"),"অধিকার ও যুক্তরাষ্ট্রের বাধ্যবাধকতা")</f>
        <v>অধিকার ও যুক্তরাষ্ট্রের বাধ্যবাধকতা</v>
      </c>
    </row>
    <row r="3478">
      <c r="A3478" s="2" t="s">
        <v>2113</v>
      </c>
      <c r="B3478" s="3" t="str">
        <f>IFERROR(__xludf.DUMMYFUNCTION("GOOGLETRANSLATE(A3478, ""ar"", ""bn"")"),"নিয়ম")</f>
        <v>নিয়ম</v>
      </c>
    </row>
    <row r="3479">
      <c r="A3479" s="2" t="s">
        <v>713</v>
      </c>
      <c r="B3479" s="3" t="str">
        <f>IFERROR(__xludf.DUMMYFUNCTION("GOOGLETRANSLATE(A3479, ""ar"", ""bn"")"),"একটি স্বৈরাচারী একনায়কতান্ত্রিক শাসনে")</f>
        <v>একটি স্বৈরাচারী একনায়কতান্ত্রিক শাসনে</v>
      </c>
    </row>
    <row r="3480">
      <c r="A3480" s="2" t="s">
        <v>2484</v>
      </c>
      <c r="B3480" s="3" t="str">
        <f>IFERROR(__xludf.DUMMYFUNCTION("GOOGLETRANSLATE(A3480, ""ar"", ""bn"")"),"সর্বগ্রাসী নিয়ম")</f>
        <v>সর্বগ্রাসী নিয়ম</v>
      </c>
    </row>
    <row r="3481">
      <c r="A3481" s="2" t="s">
        <v>306</v>
      </c>
      <c r="B3481" s="3" t="str">
        <f>IFERROR(__xludf.DUMMYFUNCTION("GOOGLETRANSLATE(A3481, ""ar"", ""bn"")"),"কর্তৃত্বপূর্ণ নিয়ম")</f>
        <v>কর্তৃত্বপূর্ণ নিয়ম</v>
      </c>
    </row>
    <row r="3482">
      <c r="A3482" s="2" t="s">
        <v>1672</v>
      </c>
      <c r="B3482" s="3" t="str">
        <f>IFERROR(__xludf.DUMMYFUNCTION("GOOGLETRANSLATE(A3482, ""ar"", ""bn"")"),"অন্তত ইয়ে এ নিয়ম")</f>
        <v>অন্তত ইয়ে এ নিয়ম</v>
      </c>
    </row>
    <row r="3483">
      <c r="A3483" s="2" t="s">
        <v>2114</v>
      </c>
      <c r="B3483" s="3" t="str">
        <f>IFERROR(__xludf.DUMMYFUNCTION("GOOGLETRANSLATE(A3483, ""ar"", ""bn"")"),"সন্ত্রাসবাদের নিয়ম")</f>
        <v>সন্ত্রাসবাদের নিয়ম</v>
      </c>
    </row>
    <row r="3484">
      <c r="A3484" s="2" t="s">
        <v>1202</v>
      </c>
      <c r="B3484" s="3" t="str">
        <f>IFERROR(__xludf.DUMMYFUNCTION("GOOGLETRANSLATE(A3484, ""ar"", ""bn"")"),"আন্তর্জাতিক জ কিমি")</f>
        <v>আন্তর্জাতিক জ কিমি</v>
      </c>
    </row>
    <row r="3485">
      <c r="A3485" s="2" t="s">
        <v>680</v>
      </c>
      <c r="B3485" s="3" t="str">
        <f>IFERROR(__xludf.DUMMYFUNCTION("GOOGLETRANSLATE(A3485, ""ar"", ""bn"")"),"গণতান্ত্রিক শাসন")</f>
        <v>গণতান্ত্রিক শাসন</v>
      </c>
    </row>
    <row r="3486">
      <c r="A3486" s="2" t="s">
        <v>316</v>
      </c>
      <c r="B3486" s="3" t="str">
        <f>IFERROR(__xludf.DUMMYFUNCTION("GOOGLETRANSLATE(A3486, ""ar"", ""bn"")"),"স্বায়ত্তশাসন")</f>
        <v>স্বায়ত্তশাসন</v>
      </c>
    </row>
    <row r="3487">
      <c r="A3487" s="2" t="s">
        <v>313</v>
      </c>
      <c r="B3487" s="3" t="str">
        <f>IFERROR(__xludf.DUMMYFUNCTION("GOOGLETRANSLATE(A3487, ""ar"", ""bn"")"),"পরম নিয়ম")</f>
        <v>পরম নিয়ম</v>
      </c>
    </row>
    <row r="3488">
      <c r="A3488" s="2" t="s">
        <v>2290</v>
      </c>
      <c r="B3488" s="3" t="str">
        <f>IFERROR(__xludf.DUMMYFUNCTION("GOOGLETRANSLATE(A3488, ""ar"", ""bn"")"),"একটি সমাজতান্ত্রিক সরকার")</f>
        <v>একটি সমাজতান্ত্রিক সরকার</v>
      </c>
    </row>
    <row r="3489">
      <c r="A3489" s="2" t="s">
        <v>844</v>
      </c>
      <c r="B3489" s="3" t="str">
        <f>IFERROR(__xludf.DUMMYFUNCTION("GOOGLETRANSLATE(A3489, ""ar"", ""bn"")"),"ই-সরকার")</f>
        <v>ই-সরকার</v>
      </c>
    </row>
    <row r="3490">
      <c r="A3490" s="2" t="s">
        <v>2137</v>
      </c>
      <c r="B3490" s="3" t="str">
        <f>IFERROR(__xludf.DUMMYFUNCTION("GOOGLETRANSLATE(A3490, ""ar"", ""bn"")"),"প্রতিনিধিত্বমূলক সরকার")</f>
        <v>প্রতিনিধিত্বমূলক সরকার</v>
      </c>
    </row>
    <row r="3491">
      <c r="A3491" s="2" t="s">
        <v>2147</v>
      </c>
      <c r="B3491" s="3" t="str">
        <f>IFERROR(__xludf.DUMMYFUNCTION("GOOGLETRANSLATE(A3491, ""ar"", ""bn"")"),"প্রজাতন্ত্রের সরকারি")</f>
        <v>প্রজাতন্ত্রের সরকারি</v>
      </c>
    </row>
    <row r="3492">
      <c r="A3492" s="2" t="s">
        <v>556</v>
      </c>
      <c r="B3492" s="3" t="str">
        <f>IFERROR(__xludf.DUMMYFUNCTION("GOOGLETRANSLATE(A3492, ""ar"", ""bn"")"),"সাংবিধানিক সরকার")</f>
        <v>সাংবিধানিক সরকার</v>
      </c>
    </row>
    <row r="3493">
      <c r="A3493" s="2" t="s">
        <v>712</v>
      </c>
      <c r="B3493" s="3" t="str">
        <f>IFERROR(__xludf.DUMMYFUNCTION("GOOGLETRANSLATE(A3493, ""ar"", ""bn"")"),"একনায়কতান্ত্রিক সরকারে")</f>
        <v>একনায়কতান্ত্রিক সরকারে</v>
      </c>
    </row>
    <row r="3494">
      <c r="A3494" s="2" t="s">
        <v>2468</v>
      </c>
      <c r="B3494" s="3" t="str">
        <f>IFERROR(__xludf.DUMMYFUNCTION("GOOGLETRANSLATE(A3494, ""ar"", ""bn"")"),"দিব্যতন্ত্র")</f>
        <v>দিব্যতন্ত্র</v>
      </c>
    </row>
    <row r="3495">
      <c r="A3495" s="2" t="s">
        <v>1931</v>
      </c>
      <c r="B3495" s="3" t="str">
        <f>IFERROR(__xludf.DUMMYFUNCTION("GOOGLETRANSLATE(A3495, ""ar"", ""bn"")"),"সরকারের কর্তৃপক্ষের সঙ্গে")</f>
        <v>সরকারের কর্তৃপক্ষের সঙ্গে</v>
      </c>
    </row>
    <row r="3496">
      <c r="A3496" s="2" t="s">
        <v>392</v>
      </c>
      <c r="B3496" s="3" t="str">
        <f>IFERROR(__xludf.DUMMYFUNCTION("GOOGLETRANSLATE(A3496, ""ar"", ""bn"")"),"পুঁজিবাদী সরকার")</f>
        <v>পুঁজিবাদী সরকার</v>
      </c>
    </row>
    <row r="3497">
      <c r="A3497" s="2" t="s">
        <v>1344</v>
      </c>
      <c r="B3497" s="3" t="str">
        <f>IFERROR(__xludf.DUMMYFUNCTION("GOOGLETRANSLATE(A3497, ""ar"", ""bn"")"),"সরকারের বৈধতা")</f>
        <v>সরকারের বৈধতা</v>
      </c>
    </row>
    <row r="3498">
      <c r="A3498" s="2" t="s">
        <v>2481</v>
      </c>
      <c r="B3498" s="3" t="str">
        <f>IFERROR(__xludf.DUMMYFUNCTION("GOOGLETRANSLATE(A3498, ""ar"", ""bn"")"),"সমেত সরকার")</f>
        <v>সমেত সরকার</v>
      </c>
    </row>
    <row r="3499">
      <c r="A3499" s="2" t="s">
        <v>496</v>
      </c>
      <c r="B3499" s="3" t="str">
        <f>IFERROR(__xludf.DUMMYFUNCTION("GOOGLETRANSLATE(A3499, ""ar"", ""bn"")"),"কমিউনিস্ট সরকার")</f>
        <v>কমিউনিস্ট সরকার</v>
      </c>
    </row>
    <row r="3500">
      <c r="A3500" s="2" t="s">
        <v>856</v>
      </c>
      <c r="B3500" s="3" t="str">
        <f>IFERROR(__xludf.DUMMYFUNCTION("GOOGLETRANSLATE(A3500, ""ar"", ""bn"")"),"জরুরি অবস্থা সরকারি")</f>
        <v>জরুরি অবস্থা সরকারি</v>
      </c>
    </row>
    <row r="3501">
      <c r="A3501" s="2" t="s">
        <v>1455</v>
      </c>
      <c r="B3501" s="3" t="str">
        <f>IFERROR(__xludf.DUMMYFUNCTION("GOOGLETRANSLATE(A3501, ""ar"", ""bn"")"),"সামরিক সরকারের")</f>
        <v>সামরিক সরকারের</v>
      </c>
    </row>
    <row r="3502">
      <c r="A3502" s="2" t="s">
        <v>598</v>
      </c>
      <c r="B3502" s="3" t="str">
        <f>IFERROR(__xludf.DUMMYFUNCTION("GOOGLETRANSLATE(A3502, ""ar"", ""bn"")"),"দুর্নীতিবাজ সরকার")</f>
        <v>দুর্নীতিবাজ সরকার</v>
      </c>
    </row>
    <row r="3503">
      <c r="A3503" s="2" t="s">
        <v>971</v>
      </c>
      <c r="B3503" s="3" t="str">
        <f>IFERROR(__xludf.DUMMYFUNCTION("GOOGLETRANSLATE(A3503, ""ar"", ""bn"")"),"একটি যুক্তরাষ্ট্রীয় সরকার")</f>
        <v>একটি যুক্তরাষ্ট্রীয় সরকার</v>
      </c>
    </row>
    <row r="3504">
      <c r="A3504" s="2" t="s">
        <v>2025</v>
      </c>
      <c r="B3504" s="3" t="str">
        <f>IFERROR(__xludf.DUMMYFUNCTION("GOOGLETRANSLATE(A3504, ""ar"", ""bn"")"),"Mmagueth সরকারি")</f>
        <v>Mmagueth সরকারি</v>
      </c>
    </row>
    <row r="3505">
      <c r="A3505" s="2" t="s">
        <v>1399</v>
      </c>
      <c r="B3505" s="3" t="str">
        <f>IFERROR(__xludf.DUMMYFUNCTION("GOOGLETRANSLATE(A3505, ""ar"", ""bn"")"),"স্থানীয় সরকার")</f>
        <v>স্থানীয় সরকার</v>
      </c>
    </row>
    <row r="3506">
      <c r="A3506" s="2" t="s">
        <v>407</v>
      </c>
      <c r="B3506" s="3" t="str">
        <f>IFERROR(__xludf.DUMMYFUNCTION("GOOGLETRANSLATE(A3506, ""ar"", ""bn"")"),"কেন্দ্রীয় সরকার")</f>
        <v>কেন্দ্রীয় সরকার</v>
      </c>
    </row>
    <row r="3507">
      <c r="A3507" s="2" t="s">
        <v>2764</v>
      </c>
      <c r="B3507" s="3" t="str">
        <f>IFERROR(__xludf.DUMMYFUNCTION("GOOGLETRANSLATE(A3507, ""ar"", ""bn"")"),"গুলা")</f>
        <v>গুলা</v>
      </c>
    </row>
    <row r="3508">
      <c r="A3508" s="2" t="s">
        <v>2765</v>
      </c>
      <c r="B3508" s="3" t="str">
        <f>IFERROR(__xludf.DUMMYFUNCTION("GOOGLETRANSLATE(A3508, ""ar"", ""bn"")"),"আন্তর্জাতিক সমস্যা পজেটিভ সমাধান")</f>
        <v>আন্তর্জাতিক সমস্যা পজেটিভ সমাধান</v>
      </c>
    </row>
    <row r="3509">
      <c r="A3509" s="2" t="s">
        <v>2766</v>
      </c>
      <c r="B3509" s="3" t="str">
        <f>IFERROR(__xludf.DUMMYFUNCTION("GOOGLETRANSLATE(A3509, ""ar"", ""bn"")"),"কূটনৈতিক সমাধান")</f>
        <v>কূটনৈতিক সমাধান</v>
      </c>
    </row>
    <row r="3510">
      <c r="A3510" s="2" t="s">
        <v>960</v>
      </c>
      <c r="B3510" s="3" t="str">
        <f>IFERROR(__xludf.DUMMYFUNCTION("GOOGLETRANSLATE(A3510, ""ar"", ""bn"")"),"কূটনীতিক শুধু সমাধান")</f>
        <v>কূটনীতিক শুধু সমাধান</v>
      </c>
    </row>
    <row r="3511">
      <c r="A3511" s="2" t="s">
        <v>2500</v>
      </c>
      <c r="B3511" s="3" t="str">
        <f>IFERROR(__xludf.DUMMYFUNCTION("GOOGLETRANSLATE(A3511, ""ar"", ""bn"")"),"ট্রাই-অ্যালায়েন্স")</f>
        <v>ট্রাই-অ্যালায়েন্স</v>
      </c>
    </row>
    <row r="3512">
      <c r="A3512" s="2" t="s">
        <v>656</v>
      </c>
      <c r="B3512" s="3" t="str">
        <f>IFERROR(__xludf.DUMMYFUNCTION("GOOGLETRANSLATE(A3512, ""ar"", ""bn"")"),"ডিফেন্সিভ জোট")</f>
        <v>ডিফেন্সিভ জোট</v>
      </c>
    </row>
    <row r="3513">
      <c r="A3513" s="2" t="s">
        <v>1110</v>
      </c>
      <c r="B3513" s="3" t="str">
        <f>IFERROR(__xludf.DUMMYFUNCTION("GOOGLETRANSLATE(A3513, ""ar"", ""bn"")"),"ন্যাটো ভূমিকা প্রশ্ন")</f>
        <v>ন্যাটো ভূমিকা প্রশ্ন</v>
      </c>
    </row>
    <row r="3514">
      <c r="A3514" s="2" t="s">
        <v>2767</v>
      </c>
      <c r="B3514" s="3" t="str">
        <f>IFERROR(__xludf.DUMMYFUNCTION("GOOGLETRANSLATE(A3514, ""ar"", ""bn"")"),"রাজনৈতিক কর্মশালার")</f>
        <v>রাজনৈতিক কর্মশালার</v>
      </c>
    </row>
    <row r="3515">
      <c r="A3515" s="2" t="s">
        <v>1030</v>
      </c>
      <c r="B3515" s="3" t="str">
        <f>IFERROR(__xludf.DUMMYFUNCTION("GOOGLETRANSLATE(A3515, ""ar"", ""bn"")"),"কূটনৈতিক এবং বন্ধুত্বপূর্ণ সমাধান")</f>
        <v>কূটনৈতিক এবং বন্ধুত্বপূর্ণ সমাধান</v>
      </c>
    </row>
    <row r="3516">
      <c r="A3516" s="2" t="s">
        <v>1408</v>
      </c>
      <c r="B3516" s="3" t="str">
        <f>IFERROR(__xludf.DUMMYFUNCTION("GOOGLETRANSLATE(A3516, ""ar"", ""bn"")"),"মূল মিত্র")</f>
        <v>মূল মিত্র</v>
      </c>
    </row>
    <row r="3517">
      <c r="A3517" s="2" t="s">
        <v>351</v>
      </c>
      <c r="B3517" s="3" t="str">
        <f>IFERROR(__xludf.DUMMYFUNCTION("GOOGLETRANSLATE(A3517, ""ar"", ""bn"")"),"হ্যাম বা রক্ত")</f>
        <v>হ্যাম বা রক্ত</v>
      </c>
    </row>
    <row r="3518">
      <c r="A3518" s="2" t="s">
        <v>2013</v>
      </c>
      <c r="B3518" s="3" t="str">
        <f>IFERROR(__xludf.DUMMYFUNCTION("GOOGLETRANSLATE(A3518, ""ar"", ""bn"")"),"স্মৃতিসৌধ সংরক্ষণ")</f>
        <v>স্মৃতিসৌধ সংরক্ষণ</v>
      </c>
    </row>
    <row r="3519">
      <c r="A3519" s="2" t="s">
        <v>2231</v>
      </c>
      <c r="B3519" s="3" t="str">
        <f>IFERROR(__xludf.DUMMYFUNCTION("GOOGLETRANSLATE(A3519, ""ar"", ""bn"")"),"জমির প্রোটেকশন")</f>
        <v>জমির প্রোটেকশন</v>
      </c>
    </row>
    <row r="3520">
      <c r="A3520" s="2" t="s">
        <v>2016</v>
      </c>
      <c r="B3520" s="3" t="str">
        <f>IFERROR(__xludf.DUMMYFUNCTION("GOOGLETRANSLATE(A3520, ""ar"", ""bn"")"),"সংখ্যালঘুদের তথ্য সুরক্ষা")</f>
        <v>সংখ্যালঘুদের তথ্য সুরক্ষা</v>
      </c>
    </row>
    <row r="3521">
      <c r="A3521" s="2" t="s">
        <v>2015</v>
      </c>
      <c r="B3521" s="3" t="str">
        <f>IFERROR(__xludf.DUMMYFUNCTION("GOOGLETRANSLATE(A3521, ""ar"", ""bn"")"),"মাতৃত্ব এবং শৈশব সুরক্ষা")</f>
        <v>মাতৃত্ব এবং শৈশব সুরক্ষা</v>
      </c>
    </row>
    <row r="3522">
      <c r="A3522" s="2" t="s">
        <v>1949</v>
      </c>
      <c r="B3522" s="3" t="str">
        <f>IFERROR(__xludf.DUMMYFUNCTION("GOOGLETRANSLATE(A3522, ""ar"", ""bn"")"),"বিশ্ব শান্তি সংরক্ষণ")</f>
        <v>বিশ্ব শান্তি সংরক্ষণ</v>
      </c>
    </row>
    <row r="3523">
      <c r="A3523" s="2" t="s">
        <v>2017</v>
      </c>
      <c r="B3523" s="3" t="str">
        <f>IFERROR(__xludf.DUMMYFUNCTION("GOOGLETRANSLATE(A3523, ""ar"", ""bn"")"),"শরণার্থী সংরক্ষণ")</f>
        <v>শরণার্থী সংরক্ষণ</v>
      </c>
    </row>
    <row r="3524">
      <c r="A3524" s="2" t="s">
        <v>2230</v>
      </c>
      <c r="B3524" s="3" t="str">
        <f>IFERROR(__xludf.DUMMYFUNCTION("GOOGLETRANSLATE(A3524, ""ar"", ""bn"")"),"বেসামরিক সংরক্ষণ")</f>
        <v>বেসামরিক সংরক্ষণ</v>
      </c>
    </row>
    <row r="3525">
      <c r="A3525" s="2" t="s">
        <v>2014</v>
      </c>
      <c r="B3525" s="3" t="str">
        <f>IFERROR(__xludf.DUMMYFUNCTION("GOOGLETRANSLATE(A3525, ""ar"", ""bn"")"),"বন্দিদের রক্ষার")</f>
        <v>বন্দিদের রক্ষার</v>
      </c>
    </row>
    <row r="3526">
      <c r="A3526" s="2" t="s">
        <v>1948</v>
      </c>
      <c r="B3526" s="3" t="str">
        <f>IFERROR(__xludf.DUMMYFUNCTION("GOOGLETRANSLATE(A3526, ""ar"", ""bn"")"),"মানবাধিকার সুরক্ষা")</f>
        <v>মানবাধিকার সুরক্ষা</v>
      </c>
    </row>
    <row r="3527">
      <c r="A3527" s="2" t="s">
        <v>2018</v>
      </c>
      <c r="B3527" s="3" t="str">
        <f>IFERROR(__xludf.DUMMYFUNCTION("GOOGLETRANSLATE(A3527, ""ar"", ""bn"")"),"নারীদের অধিকার রক্ষার")</f>
        <v>নারীদের অধিকার রক্ষার</v>
      </c>
    </row>
    <row r="3528">
      <c r="A3528" s="2" t="s">
        <v>2696</v>
      </c>
      <c r="B3528" s="3" t="str">
        <f>IFERROR(__xludf.DUMMYFUNCTION("GOOGLETRANSLATE(A3528, ""ar"", ""bn"")"),"আন্তর্জাতিক সুরক্ষা")</f>
        <v>আন্তর্জাতিক সুরক্ষা</v>
      </c>
    </row>
    <row r="3529">
      <c r="A3529" s="2" t="s">
        <v>386</v>
      </c>
      <c r="B3529" s="3" t="str">
        <f>IFERROR(__xludf.DUMMYFUNCTION("GOOGLETRANSLATE(A3529, ""ar"", ""bn"")"),"এইচ প্রতিকূল ধর্ম")</f>
        <v>এইচ প্রতিকূল ধর্ম</v>
      </c>
    </row>
    <row r="3530">
      <c r="A3530" s="2" t="s">
        <v>1118</v>
      </c>
      <c r="B3530" s="3" t="str">
        <f>IFERROR(__xludf.DUMMYFUNCTION("GOOGLETRANSLATE(A3530, ""ar"", ""bn"")"),"এইচ সামরিক ধর্ম ম্রো আহ")</f>
        <v>এইচ সামরিক ধর্ম ম্রো আহ</v>
      </c>
    </row>
    <row r="3531">
      <c r="A3531" s="2" t="s">
        <v>1906</v>
      </c>
      <c r="B3531" s="3" t="str">
        <f>IFERROR(__xludf.DUMMYFUNCTION("GOOGLETRANSLATE(A3531, ""ar"", ""bn"")"),"এইচ রাজনৈতিক গেঁড়ি")</f>
        <v>এইচ রাজনৈতিক গেঁড়ি</v>
      </c>
    </row>
    <row r="3532">
      <c r="A3532" s="2" t="s">
        <v>2130</v>
      </c>
      <c r="B3532" s="3" t="str">
        <f>IFERROR(__xludf.DUMMYFUNCTION("GOOGLETRANSLATE(A3532, ""ar"", ""bn"")"),"এইচ লোয়ার ধর্ম")</f>
        <v>এইচ লোয়ার ধর্ম</v>
      </c>
    </row>
    <row r="3533">
      <c r="A3533" s="2" t="s">
        <v>1967</v>
      </c>
      <c r="B3533" s="3" t="str">
        <f>IFERROR(__xludf.DUMMYFUNCTION("GOOGLETRANSLATE(A3533, ""ar"", ""bn"")"),"এইচ নিম্নতর রাষ্ট্রপতি")</f>
        <v>এইচ নিম্নতর রাষ্ট্রপতি</v>
      </c>
    </row>
    <row r="3534">
      <c r="A3534" s="2" t="s">
        <v>738</v>
      </c>
      <c r="B3534" s="3" t="str">
        <f>IFERROR(__xludf.DUMMYFUNCTION("GOOGLETRANSLATE(A3534, ""ar"", ""bn"")"),"এইচ লোয়ার কূটনীতিক")</f>
        <v>এইচ লোয়ার কূটনীতিক</v>
      </c>
    </row>
    <row r="3535">
      <c r="A3535" s="2" t="s">
        <v>1827</v>
      </c>
      <c r="B3535" s="3" t="str">
        <f>IFERROR(__xludf.DUMMYFUNCTION("GOOGLETRANSLATE(A3535, ""ar"", ""bn"")"),"এইচ রাজনৈতিক লোয়ার")</f>
        <v>এইচ রাজনৈতিক লোয়ার</v>
      </c>
    </row>
    <row r="3536">
      <c r="A3536" s="2" t="s">
        <v>1616</v>
      </c>
      <c r="B3536" s="3" t="str">
        <f>IFERROR(__xludf.DUMMYFUNCTION("GOOGLETRANSLATE(A3536, ""ar"", ""bn"")"),"নিরপেক্ষতা")</f>
        <v>নিরপেক্ষতা</v>
      </c>
    </row>
    <row r="3537">
      <c r="A3537" s="2" t="s">
        <v>1927</v>
      </c>
      <c r="B3537" s="3" t="str">
        <f>IFERROR(__xludf.DUMMYFUNCTION("GOOGLETRANSLATE(A3537, ""ar"", ""bn"")"),"ইতিবাচক নিরপেক্ষতা")</f>
        <v>ইতিবাচক নিরপেক্ষতা</v>
      </c>
    </row>
    <row r="3538">
      <c r="A3538" s="2" t="s">
        <v>1039</v>
      </c>
      <c r="B3538" s="3" t="str">
        <f>IFERROR(__xludf.DUMMYFUNCTION("GOOGLETRANSLATE(A3538, ""ar"", ""bn"")"),"সম্পূর্ণ নিরপেক্ষতা")</f>
        <v>সম্পূর্ণ নিরপেক্ষতা</v>
      </c>
    </row>
    <row r="3539">
      <c r="A3539" s="2" t="s">
        <v>275</v>
      </c>
      <c r="B3539" s="3" t="str">
        <f>IFERROR(__xludf.DUMMYFUNCTION("GOOGLETRANSLATE(A3539, ""ar"", ""bn"")"),"মজার এইচ নিরপেক্ষতা")</f>
        <v>মজার এইচ নিরপেক্ষতা</v>
      </c>
    </row>
    <row r="3540">
      <c r="A3540" s="2" t="s">
        <v>522</v>
      </c>
      <c r="B3540" s="3" t="str">
        <f>IFERROR(__xludf.DUMMYFUNCTION("GOOGLETRANSLATE(A3540, ""ar"", ""bn"")"),"শর্তসাপেক্ষ নিরপেক্ষতা")</f>
        <v>শর্তসাপেক্ষ নিরপেক্ষতা</v>
      </c>
    </row>
    <row r="3541">
      <c r="A3541" s="2" t="s">
        <v>1608</v>
      </c>
      <c r="B3541" s="3" t="str">
        <f>IFERROR(__xludf.DUMMYFUNCTION("GOOGLETRANSLATE(A3541, ""ar"", ""bn"")"),"নিরপেক্ষ")</f>
        <v>নিরপেক্ষ</v>
      </c>
    </row>
    <row r="3542">
      <c r="A3542" s="2" t="s">
        <v>2489</v>
      </c>
      <c r="B3542" s="3" t="str">
        <f>IFERROR(__xludf.DUMMYFUNCTION("GOOGLETRANSLATE(A3542, ""ar"", ""bn"")"),"বিশ্বাসঘাতক")</f>
        <v>বিশ্বাসঘাতক</v>
      </c>
    </row>
    <row r="3543">
      <c r="A3543" s="2" t="s">
        <v>210</v>
      </c>
      <c r="B3543" s="3" t="str">
        <f>IFERROR(__xludf.DUMMYFUNCTION("GOOGLETRANSLATE(A3543, ""ar"", ""bn"")"),"বিমানের নিরাপত্তা বিশেষজ্ঞরা")</f>
        <v>বিমানের নিরাপত্তা বিশেষজ্ঞরা</v>
      </c>
    </row>
    <row r="3544">
      <c r="A3544" s="2" t="s">
        <v>744</v>
      </c>
      <c r="B3544" s="3" t="str">
        <f>IFERROR(__xludf.DUMMYFUNCTION("GOOGLETRANSLATE(A3544, ""ar"", ""bn"")"),"কূটনৈতিক বিশেষজ্ঞ")</f>
        <v>কূটনৈতিক বিশেষজ্ঞ</v>
      </c>
    </row>
    <row r="3545">
      <c r="A3545" s="2" t="s">
        <v>1236</v>
      </c>
      <c r="B3545" s="3" t="str">
        <f>IFERROR(__xludf.DUMMYFUNCTION("GOOGLETRANSLATE(A3545, ""ar"", ""bn"")"),"একটি আন্তর্জাতিক বিশেষজ্ঞ")</f>
        <v>একটি আন্তর্জাতিক বিশেষজ্ঞ</v>
      </c>
    </row>
    <row r="3546">
      <c r="A3546" s="2" t="s">
        <v>568</v>
      </c>
      <c r="B3546" s="3" t="str">
        <f>IFERROR(__xludf.DUMMYFUNCTION("GOOGLETRANSLATE(A3546, ""ar"", ""bn"")"),"কনসাল ইয়ে সার্ভিস")</f>
        <v>কনসাল ইয়ে সার্ভিস</v>
      </c>
    </row>
    <row r="3547">
      <c r="A3547" s="2" t="s">
        <v>2768</v>
      </c>
      <c r="B3547" s="3" t="str">
        <f>IFERROR(__xludf.DUMMYFUNCTION("GOOGLETRANSLATE(A3547, ""ar"", ""bn"")"),"কূটনৈতিক শিষ্টাচার আচরণ ভঙ্গ")</f>
        <v>কূটনৈতিক শিষ্টাচার আচরণ ভঙ্গ</v>
      </c>
    </row>
    <row r="3548">
      <c r="A3548" s="2" t="s">
        <v>369</v>
      </c>
      <c r="B3548" s="3" t="str">
        <f>IFERROR(__xludf.DUMMYFUNCTION("GOOGLETRANSLATE(A3548, ""ar"", ""bn"")"),"শান্তিভঙ্গ")</f>
        <v>শান্তিভঙ্গ</v>
      </c>
    </row>
    <row r="3549">
      <c r="A3549" s="2" t="s">
        <v>368</v>
      </c>
      <c r="B3549" s="3" t="str">
        <f>IFERROR(__xludf.DUMMYFUNCTION("GOOGLETRANSLATE(A3549, ""ar"", ""bn"")"),"আন্তর্জাতিক আইন লঙ্ঘন")</f>
        <v>আন্তর্জাতিক আইন লঙ্ঘন</v>
      </c>
    </row>
    <row r="3550">
      <c r="A3550" s="2" t="s">
        <v>2769</v>
      </c>
      <c r="B3550" s="3" t="str">
        <f>IFERROR(__xludf.DUMMYFUNCTION("GOOGLETRANSLATE(A3550, ""ar"", ""bn"")"),"আন্তর্জাতিক কূটনৈতিক নিয়ম লঙ্ঘন")</f>
        <v>আন্তর্জাতিক কূটনৈতিক নিয়ম লঙ্ঘন</v>
      </c>
    </row>
    <row r="3551">
      <c r="A3551" s="2" t="s">
        <v>2600</v>
      </c>
      <c r="B3551" s="3" t="str">
        <f>IFERROR(__xludf.DUMMYFUNCTION("GOOGLETRANSLATE(A3551, ""ar"", ""bn"")"),"নিরপেক্ষতা পদ ভঙ্গ")</f>
        <v>নিরপেক্ষতা পদ ভঙ্গ</v>
      </c>
    </row>
    <row r="3552">
      <c r="A3552" s="2" t="s">
        <v>2052</v>
      </c>
      <c r="B3552" s="3" t="str">
        <f>IFERROR(__xludf.DUMMYFUNCTION("GOOGLETRANSLATE(A3552, ""ar"", ""bn"")"),"এম জাতি শত্রুতা ইয়ে")</f>
        <v>এম জাতি শত্রুতা ইয়ে</v>
      </c>
    </row>
    <row r="3553">
      <c r="A3553" s="2" t="s">
        <v>2256</v>
      </c>
      <c r="B3553" s="3" t="str">
        <f>IFERROR(__xludf.DUMMYFUNCTION("GOOGLETRANSLATE(A3553, ""ar"", ""bn"")"),"একটি স্বেচ্ছাসেবী রাষ্ট্র ভুগা")</f>
        <v>একটি স্বেচ্ছাসেবী রাষ্ট্র ভুগা</v>
      </c>
    </row>
    <row r="3554">
      <c r="A3554" s="2" t="s">
        <v>2386</v>
      </c>
      <c r="B3554" s="3" t="str">
        <f>IFERROR(__xludf.DUMMYFUNCTION("GOOGLETRANSLATE(A3554, ""ar"", ""bn"")"),"বেন্ড রাজ্য")</f>
        <v>বেন্ড রাজ্য</v>
      </c>
    </row>
    <row r="3555">
      <c r="A3555" s="2" t="s">
        <v>2381</v>
      </c>
      <c r="B3555" s="3" t="str">
        <f>IFERROR(__xludf.DUMMYFUNCTION("GOOGLETRANSLATE(A3555, ""ar"", ""bn"")"),"আইন সাপেক্ষে")</f>
        <v>আইন সাপেক্ষে</v>
      </c>
    </row>
    <row r="3556">
      <c r="A3556" s="2" t="s">
        <v>2305</v>
      </c>
      <c r="B3556" s="3" t="str">
        <f>IFERROR(__xludf.DUMMYFUNCTION("GOOGLETRANSLATE(A3556, ""ar"", ""bn"")"),"বক্তৃতা")</f>
        <v>বক্তৃতা</v>
      </c>
    </row>
    <row r="3557">
      <c r="A3557" s="2" t="s">
        <v>2306</v>
      </c>
      <c r="B3557" s="3" t="str">
        <f>IFERROR(__xludf.DUMMYFUNCTION("GOOGLETRANSLATE(A3557, ""ar"", ""bn"")"),"পরিচয়পত্র জমা পত্র")</f>
        <v>পরিচয়পত্র জমা পত্র</v>
      </c>
    </row>
    <row r="3558">
      <c r="A3558" s="2" t="s">
        <v>1896</v>
      </c>
      <c r="B3558" s="3" t="str">
        <f>IFERROR(__xludf.DUMMYFUNCTION("GOOGLETRANSLATE(A3558, ""ar"", ""bn"")"),"রাজনৈতিক বক্তৃতা")</f>
        <v>রাজনৈতিক বক্তৃতা</v>
      </c>
    </row>
    <row r="3559">
      <c r="A3559" s="2" t="s">
        <v>1088</v>
      </c>
      <c r="B3559" s="3" t="str">
        <f>IFERROR(__xludf.DUMMYFUNCTION("GOOGLETRANSLATE(A3559, ""ar"", ""bn"")"),"রাজনৈতিক বক্তৃতা কঠোর ভাষায়")</f>
        <v>রাজনৈতিক বক্তৃতা কঠোর ভাষায়</v>
      </c>
    </row>
    <row r="3560">
      <c r="A3560" s="2" t="s">
        <v>2770</v>
      </c>
      <c r="B3560" s="3" t="str">
        <f>IFERROR(__xludf.DUMMYFUNCTION("GOOGLETRANSLATE(A3560, ""ar"", ""bn"")"),"ধর্মোপদেশ অথবা একটি সরকারী চিঠি")</f>
        <v>ধর্মোপদেশ অথবা একটি সরকারী চিঠি</v>
      </c>
    </row>
    <row r="3561">
      <c r="A3561" s="2" t="s">
        <v>2324</v>
      </c>
      <c r="B3561" s="3" t="str">
        <f>IFERROR(__xludf.DUMMYFUNCTION("GOOGLETRANSLATE(A3561, ""ar"", ""bn"")"),"রাজ্য কর্ম পরিকল্পনা")</f>
        <v>রাজ্য কর্ম পরিকল্পনা</v>
      </c>
    </row>
    <row r="3562">
      <c r="A3562" s="2" t="s">
        <v>2771</v>
      </c>
      <c r="B3562" s="3" t="str">
        <f>IFERROR(__xludf.DUMMYFUNCTION("GOOGLETRANSLATE(A3562, ""ar"", ""bn"")"),"কূটনৈতিক সম্পর্ক ছিন্ন ঝুঁকি")</f>
        <v>কূটনৈতিক সম্পর্ক ছিন্ন ঝুঁকি</v>
      </c>
    </row>
    <row r="3563">
      <c r="A3563" s="2" t="s">
        <v>1900</v>
      </c>
      <c r="B3563" s="3" t="str">
        <f>IFERROR(__xludf.DUMMYFUNCTION("GOOGLETRANSLATE(A3563, ""ar"", ""bn"")"),"রাজনৈতিক পরিকল্পনা")</f>
        <v>রাজনৈতিক পরিকল্পনা</v>
      </c>
    </row>
    <row r="3564">
      <c r="A3564" s="2" t="s">
        <v>2282</v>
      </c>
      <c r="B3564" s="3" t="str">
        <f>IFERROR(__xludf.DUMMYFUNCTION("GOOGLETRANSLATE(A3564, ""ar"", ""bn"")"),"গুরুত্বপূর্ণ কূটনৈতিক পদক্ষেপ")</f>
        <v>গুরুত্বপূর্ণ কূটনৈতিক পদক্ষেপ</v>
      </c>
    </row>
    <row r="3565">
      <c r="A3565" s="2" t="s">
        <v>1079</v>
      </c>
      <c r="B3565" s="3" t="str">
        <f>IFERROR(__xludf.DUMMYFUNCTION("GOOGLETRANSLATE(A3565, ""ar"", ""bn"")"),"রাজনৈতিক পরিস্থিতির গুরুত্ব")</f>
        <v>রাজনৈতিক পরিস্থিতির গুরুত্ব</v>
      </c>
    </row>
    <row r="3566">
      <c r="A3566" s="2" t="s">
        <v>1034</v>
      </c>
      <c r="B3566" s="3" t="str">
        <f>IFERROR(__xludf.DUMMYFUNCTION("GOOGLETRANSLATE(A3566, ""ar"", ""bn"")"),"সামনে লাইন সংগ্রাম")</f>
        <v>সামনে লাইন সংগ্রাম</v>
      </c>
    </row>
    <row r="3567">
      <c r="A3567" s="2" t="s">
        <v>653</v>
      </c>
      <c r="B3567" s="3" t="str">
        <f>IFERROR(__xludf.DUMMYFUNCTION("GOOGLETRANSLATE(A3567, ""ar"", ""bn"")"),"প্রতিরক্ষা লাইনস")</f>
        <v>প্রতিরক্ষা লাইনস</v>
      </c>
    </row>
    <row r="3568">
      <c r="A3568" s="2" t="s">
        <v>674</v>
      </c>
      <c r="B3568" s="3" t="str">
        <f>IFERROR(__xludf.DUMMYFUNCTION("GOOGLETRANSLATE(A3568, ""ar"", ""bn"")"),"যুদ্ধবিরতি লাইন")</f>
        <v>যুদ্ধবিরতি লাইন</v>
      </c>
    </row>
    <row r="3569">
      <c r="A3569" s="2" t="s">
        <v>739</v>
      </c>
      <c r="B3569" s="3" t="str">
        <f>IFERROR(__xludf.DUMMYFUNCTION("GOOGLETRANSLATE(A3569, ""ar"", ""bn"")"),"কূটনৈতিক সারি")</f>
        <v>কূটনৈতিক সারি</v>
      </c>
    </row>
    <row r="3570">
      <c r="A3570" s="2" t="s">
        <v>1829</v>
      </c>
      <c r="B3570" s="3" t="str">
        <f>IFERROR(__xludf.DUMMYFUNCTION("GOOGLETRANSLATE(A3570, ""ar"", ""bn"")"),"রাজনৈতিক ভিন্ন")</f>
        <v>রাজনৈতিক ভিন্ন</v>
      </c>
    </row>
    <row r="3571">
      <c r="A3571" s="2" t="s">
        <v>780</v>
      </c>
      <c r="B3571" s="3" t="str">
        <f>IFERROR(__xludf.DUMMYFUNCTION("GOOGLETRANSLATE(A3571, ""ar"", ""bn"")"),"দেশের মধ্যে পার্থক্য")</f>
        <v>দেশের মধ্যে পার্থক্য</v>
      </c>
    </row>
    <row r="3572">
      <c r="A3572" s="2" t="s">
        <v>1035</v>
      </c>
      <c r="B3572" s="3" t="str">
        <f>IFERROR(__xludf.DUMMYFUNCTION("GOOGLETRANSLATE(A3572, ""ar"", ""bn"")"),"সীমান্তে মতানৈক্যের")</f>
        <v>সীমান্তে মতানৈক্যের</v>
      </c>
    </row>
    <row r="3573">
      <c r="A3573" s="2" t="s">
        <v>336</v>
      </c>
      <c r="B3573" s="3" t="str">
        <f>IFERROR(__xludf.DUMMYFUNCTION("GOOGLETRANSLATE(A3573, ""ar"", ""bn"")"),"বার পিছনে")</f>
        <v>বার পিছনে</v>
      </c>
    </row>
    <row r="3574">
      <c r="A3574" s="2" t="s">
        <v>495</v>
      </c>
      <c r="B3574" s="3" t="str">
        <f>IFERROR(__xludf.DUMMYFUNCTION("GOOGLETRANSLATE(A3574, ""ar"", ""bn"")"),"কমিউনিস্ট সেল")</f>
        <v>কমিউনিস্ট সেল</v>
      </c>
    </row>
    <row r="3575">
      <c r="A3575" s="2" t="s">
        <v>2494</v>
      </c>
      <c r="B3575" s="3" t="str">
        <f>IFERROR(__xludf.DUMMYFUNCTION("GOOGLETRANSLATE(A3575, ""ar"", ""bn"")"),"বিশ্বাসঘাতকতা")</f>
        <v>বিশ্বাসঘাতকতা</v>
      </c>
    </row>
    <row r="3576">
      <c r="A3576" s="2" t="s">
        <v>1106</v>
      </c>
      <c r="B3576" s="3" t="str">
        <f>IFERROR(__xludf.DUMMYFUNCTION("GOOGLETRANSLATE(A3576, ""ar"", ""bn"")"),"বিশ্বাসঘাতকতা")</f>
        <v>বিশ্বাসঘাতকতা</v>
      </c>
    </row>
    <row r="3577">
      <c r="A3577" s="2" t="s">
        <v>718</v>
      </c>
      <c r="B3577" s="3" t="str">
        <f>IFERROR(__xludf.DUMMYFUNCTION("GOOGLETRANSLATE(A3577, ""ar"", ""bn"")"),"কূটনীতিজ্ঞ")</f>
        <v>কূটনীতিজ্ঞ</v>
      </c>
    </row>
    <row r="3578">
      <c r="A3578" s="2" t="s">
        <v>717</v>
      </c>
      <c r="B3578" s="3" t="str">
        <f>IFERROR(__xludf.DUMMYFUNCTION("GOOGLETRANSLATE(A3578, ""ar"", ""bn"")"),"কূটনীতি")</f>
        <v>কূটনীতি</v>
      </c>
    </row>
    <row r="3579">
      <c r="A3579" s="2" t="s">
        <v>1679</v>
      </c>
      <c r="B3579" s="3" t="str">
        <f>IFERROR(__xludf.DUMMYFUNCTION("GOOGLETRANSLATE(A3579, ""ar"", ""bn"")"),"ওপেন কূটনীতি")</f>
        <v>ওপেন কূটনীতি</v>
      </c>
    </row>
    <row r="3580">
      <c r="A3580" s="2" t="s">
        <v>1568</v>
      </c>
      <c r="B3580" s="3" t="str">
        <f>IFERROR(__xludf.DUMMYFUNCTION("GOOGLETRANSLATE(A3580, ""ar"", ""bn"")"),"জাতীয় আয়")</f>
        <v>জাতীয় আয়</v>
      </c>
    </row>
    <row r="3581">
      <c r="A3581" s="2" t="s">
        <v>1396</v>
      </c>
      <c r="B3581" s="3" t="str">
        <f>IFERROR(__xludf.DUMMYFUNCTION("GOOGLETRANSLATE(A3581, ""ar"", ""bn"")"),"মানব ঢাল")</f>
        <v>মানব ঢাল</v>
      </c>
    </row>
    <row r="3582">
      <c r="A3582" s="2" t="s">
        <v>2207</v>
      </c>
      <c r="B3582" s="3" t="str">
        <f>IFERROR(__xludf.DUMMYFUNCTION("GOOGLETRANSLATE(A3582, ""ar"", ""bn"")"),"কঠোর সংবিধান")</f>
        <v>কঠোর সংবিধান</v>
      </c>
    </row>
    <row r="3583">
      <c r="A3583" s="2" t="s">
        <v>631</v>
      </c>
      <c r="B3583" s="3" t="str">
        <f>IFERROR(__xludf.DUMMYFUNCTION("GOOGLETRANSLATE(A3583, ""ar"", ""bn"")"),"গতানুগতিক সংবিধান")</f>
        <v>গতানুগতিক সংবিধান</v>
      </c>
    </row>
    <row r="3584">
      <c r="A3584" s="2" t="s">
        <v>2573</v>
      </c>
      <c r="B3584" s="3" t="str">
        <f>IFERROR(__xludf.DUMMYFUNCTION("GOOGLETRANSLATE(A3584, ""ar"", ""bn"")"),"সংবিধান লেখা হয়")</f>
        <v>সংবিধান লেখা হয়</v>
      </c>
    </row>
    <row r="3585">
      <c r="A3585" s="2" t="s">
        <v>2702</v>
      </c>
      <c r="B3585" s="3" t="str">
        <f>IFERROR(__xludf.DUMMYFUNCTION("GOOGLETRANSLATE(A3585, ""ar"", ""bn"")"),"একটি লিখিত সংবিধান")</f>
        <v>একটি লিখিত সংবিধান</v>
      </c>
    </row>
    <row r="3586">
      <c r="A3586" s="2" t="s">
        <v>560</v>
      </c>
      <c r="B3586" s="3" t="str">
        <f>IFERROR(__xludf.DUMMYFUNCTION("GOOGLETRANSLATE(A3586, ""ar"", ""bn"")"),"সাংবিধানিক")</f>
        <v>সাংবিধানিক</v>
      </c>
    </row>
    <row r="3587">
      <c r="A3587" s="2" t="s">
        <v>1852</v>
      </c>
      <c r="B3587" s="3" t="str">
        <f>IFERROR(__xludf.DUMMYFUNCTION("GOOGLETRANSLATE(A3587, ""ar"", ""bn"")"),"রাজনৈতিক চক্রান্ত")</f>
        <v>রাজনৈতিক চক্রান্ত</v>
      </c>
    </row>
    <row r="3588">
      <c r="A3588" s="2" t="s">
        <v>841</v>
      </c>
      <c r="B3588" s="3" t="str">
        <f>IFERROR(__xludf.DUMMYFUNCTION("GOOGLETRANSLATE(A3588, ""ar"", ""bn"")"),"নির্বাচন বিজ্ঞাপন")</f>
        <v>নির্বাচন বিজ্ঞাপন</v>
      </c>
    </row>
    <row r="3589">
      <c r="A3589" s="2" t="s">
        <v>1011</v>
      </c>
      <c r="B3589" s="3" t="str">
        <f>IFERROR(__xludf.DUMMYFUNCTION("GOOGLETRANSLATE(A3589, ""ar"", ""bn"")"),"পররাষ্ট্র সমর্থন")</f>
        <v>পররাষ্ট্র সমর্থন</v>
      </c>
    </row>
    <row r="3590">
      <c r="A3590" s="2" t="s">
        <v>1277</v>
      </c>
      <c r="B3590" s="3" t="str">
        <f>IFERROR(__xludf.DUMMYFUNCTION("GOOGLETRANSLATE(A3590, ""ar"", ""bn"")"),"আন্তর্জাতিক সমর্থন")</f>
        <v>আন্তর্জাতিক সমর্থন</v>
      </c>
    </row>
    <row r="3591">
      <c r="A3591" s="2" t="s">
        <v>1668</v>
      </c>
      <c r="B3591" s="3" t="str">
        <f>IFERROR(__xludf.DUMMYFUNCTION("GOOGLETRANSLATE(A3591, ""ar"", ""bn"")"),"অফিসিয়াল সমর্থন")</f>
        <v>অফিসিয়াল সমর্থন</v>
      </c>
    </row>
    <row r="3592">
      <c r="A3592" s="2" t="s">
        <v>1471</v>
      </c>
      <c r="B3592" s="3" t="str">
        <f>IFERROR(__xludf.DUMMYFUNCTION("GOOGLETRANSLATE(A3592, ""ar"", ""bn"")"),"সেনাবাহিনী সমর্থন")</f>
        <v>সেনাবাহিনী সমর্থন</v>
      </c>
    </row>
    <row r="3593">
      <c r="A3593" s="2" t="s">
        <v>1438</v>
      </c>
      <c r="B3593" s="3" t="str">
        <f>IFERROR(__xludf.DUMMYFUNCTION("GOOGLETRANSLATE(A3593, ""ar"", ""bn"")"),"আর্থিক সহায়তা")</f>
        <v>আর্থিক সহায়তা</v>
      </c>
    </row>
    <row r="3594">
      <c r="A3594" s="2" t="s">
        <v>250</v>
      </c>
      <c r="B3594" s="3" t="str">
        <f>IFERROR(__xludf.DUMMYFUNCTION("GOOGLETRANSLATE(A3594, ""ar"", ""bn"")"),"একটি যুদ্ধবিরতি জন্য একটি কল")</f>
        <v>একটি যুদ্ধবিরতি জন্য একটি কল</v>
      </c>
    </row>
    <row r="3595">
      <c r="A3595" s="2" t="s">
        <v>1550</v>
      </c>
      <c r="B3595" s="3" t="str">
        <f>IFERROR(__xludf.DUMMYFUNCTION("GOOGLETRANSLATE(A3595, ""ar"", ""bn"")"),"মিউচুয়াল প্রতিরক্ষা")</f>
        <v>মিউচুয়াল প্রতিরক্ষা</v>
      </c>
    </row>
    <row r="3596">
      <c r="A3596" s="2" t="s">
        <v>441</v>
      </c>
      <c r="B3596" s="3" t="str">
        <f>IFERROR(__xludf.DUMMYFUNCTION("GOOGLETRANSLATE(A3596, ""ar"", ""bn"")"),"অসামরিক প্রতিরোধ ব্যবস্থা")</f>
        <v>অসামরিক প্রতিরোধ ব্যবস্থা</v>
      </c>
    </row>
    <row r="3597">
      <c r="A3597" s="2" t="s">
        <v>484</v>
      </c>
      <c r="B3597" s="3" t="str">
        <f>IFERROR(__xludf.DUMMYFUNCTION("GOOGLETRANSLATE(A3597, ""ar"", ""bn"")"),"যুগ্ম প্রতিরক্ষা")</f>
        <v>যুগ্ম প্রতিরক্ষা</v>
      </c>
    </row>
    <row r="3598">
      <c r="A3598" s="2" t="s">
        <v>1358</v>
      </c>
      <c r="B3598" s="3" t="str">
        <f>IFERROR(__xludf.DUMMYFUNCTION("GOOGLETRANSLATE(A3598, ""ar"", ""bn"")"),"বৈধ আত্মরক্ষা")</f>
        <v>বৈধ আত্মরক্ষা</v>
      </c>
    </row>
    <row r="3599">
      <c r="A3599" s="2" t="s">
        <v>1518</v>
      </c>
      <c r="B3599" s="3" t="str">
        <f>IFERROR(__xludf.DUMMYFUNCTION("GOOGLETRANSLATE(A3599, ""ar"", ""bn"")"),"নীরবতার মিনিট")</f>
        <v>নীরবতার মিনিট</v>
      </c>
    </row>
    <row r="3600">
      <c r="A3600" s="2" t="s">
        <v>1432</v>
      </c>
      <c r="B3600" s="3" t="str">
        <f>IFERROR(__xludf.DUMMYFUNCTION("GOOGLETRANSLATE(A3600, ""ar"", ""bn"")"),"ভর ধ্বংস")</f>
        <v>ভর ধ্বংস</v>
      </c>
    </row>
    <row r="3601">
      <c r="A3601" s="2" t="s">
        <v>2772</v>
      </c>
      <c r="B3601" s="3" t="str">
        <f>IFERROR(__xludf.DUMMYFUNCTION("GOOGLETRANSLATE(A3601, ""ar"", ""bn"")"),"সরকারে রাজনৈতিক দলের ভূমিকা")</f>
        <v>সরকারে রাজনৈতিক দলের ভূমিকা</v>
      </c>
    </row>
    <row r="3602">
      <c r="A3602" s="2" t="s">
        <v>1872</v>
      </c>
      <c r="B3602" s="3" t="str">
        <f>IFERROR(__xludf.DUMMYFUNCTION("GOOGLETRANSLATE(A3602, ""ar"", ""bn"")"),"পুলিশ রাজনৈতিক ভূমিকা")</f>
        <v>পুলিশ রাজনৈতিক ভূমিকা</v>
      </c>
    </row>
    <row r="3603">
      <c r="A3603" s="2" t="s">
        <v>1594</v>
      </c>
      <c r="B3603" s="3" t="str">
        <f>IFERROR(__xludf.DUMMYFUNCTION("GOOGLETRANSLATE(A3603, ""ar"", ""bn"")"),"নেতিবাচক রাজনৈতিক ভূমিকা")</f>
        <v>নেতিবাচক রাজনৈতিক ভূমিকা</v>
      </c>
    </row>
    <row r="3604">
      <c r="A3604" s="2" t="s">
        <v>1613</v>
      </c>
      <c r="B3604" s="3" t="str">
        <f>IFERROR(__xludf.DUMMYFUNCTION("GOOGLETRANSLATE(A3604, ""ar"", ""bn"")"),"নিরপেক্ষ রাজনৈতিক ভূমিকা")</f>
        <v>নিরপেক্ষ রাজনৈতিক ভূমিকা</v>
      </c>
    </row>
    <row r="3605">
      <c r="A3605" s="2" t="s">
        <v>1442</v>
      </c>
      <c r="B3605" s="3" t="str">
        <f>IFERROR(__xludf.DUMMYFUNCTION("GOOGLETRANSLATE(A3605, ""ar"", ""bn"")"),"মিডিয়ার ভূমিকা")</f>
        <v>মিডিয়ার ভূমিকা</v>
      </c>
    </row>
    <row r="3606">
      <c r="A3606" s="2" t="s">
        <v>320</v>
      </c>
      <c r="B3606" s="3" t="str">
        <f>IFERROR(__xludf.DUMMYFUNCTION("GOOGLETRANSLATE(A3606, ""ar"", ""bn"")"),"পোলার রাজ্যের")</f>
        <v>পোলার রাজ্যের</v>
      </c>
    </row>
    <row r="3607">
      <c r="A3607" s="2" t="s">
        <v>225</v>
      </c>
      <c r="B3607" s="3" t="str">
        <f>IFERROR(__xludf.DUMMYFUNCTION("GOOGLETRANSLATE(A3607, ""ar"", ""bn"")"),"কোয়ালিশন দেশ")</f>
        <v>কোয়ালিশন দেশ</v>
      </c>
    </row>
    <row r="3608">
      <c r="A3608" s="2" t="s">
        <v>2470</v>
      </c>
      <c r="B3608" s="3" t="str">
        <f>IFERROR(__xludf.DUMMYFUNCTION("GOOGLETRANSLATE(A3608, ""ar"", ""bn"")"),"তৃতীয় বিশ্বের দেশে")</f>
        <v>তৃতীয় বিশ্বের দেশে</v>
      </c>
    </row>
    <row r="3609">
      <c r="A3609" s="2" t="s">
        <v>1647</v>
      </c>
      <c r="B3609" s="3" t="str">
        <f>IFERROR(__xludf.DUMMYFUNCTION("GOOGLETRANSLATE(A3609, ""ar"", ""bn"")"),"পশ্চিমা দেশগুলো")</f>
        <v>পশ্চিমা দেশগুলো</v>
      </c>
    </row>
    <row r="3610">
      <c r="A3610" s="2" t="s">
        <v>2773</v>
      </c>
      <c r="B3610" s="3" t="str">
        <f>IFERROR(__xludf.DUMMYFUNCTION("GOOGLETRANSLATE(A3610, ""ar"", ""bn"")"),"ব্রিটিশ কমনওয়েলথ মানুষের")</f>
        <v>ব্রিটিশ কমনওয়েলথ মানুষের</v>
      </c>
    </row>
    <row r="3611">
      <c r="A3611" s="2" t="s">
        <v>2774</v>
      </c>
      <c r="B3611" s="3" t="str">
        <f>IFERROR(__xludf.DUMMYFUNCTION("GOOGLETRANSLATE(A3611, ""ar"", ""bn"")"),"প্রচলিত সম্পদ")</f>
        <v>প্রচলিত সম্পদ</v>
      </c>
    </row>
    <row r="3612">
      <c r="A3612" s="2" t="s">
        <v>321</v>
      </c>
      <c r="B3612" s="3" t="str">
        <f>IFERROR(__xludf.DUMMYFUNCTION("GOOGLETRANSLATE(A3612, ""ar"", ""bn"")"),"অক্ষ শক্তি")</f>
        <v>অক্ষ শক্তি</v>
      </c>
    </row>
    <row r="3613">
      <c r="A3613" s="2" t="s">
        <v>2532</v>
      </c>
      <c r="B3613" s="3" t="str">
        <f>IFERROR(__xludf.DUMMYFUNCTION("GOOGLETRANSLATE(A3613, ""ar"", ""bn"")"),"জনাদেশ অধীনে দেশ")</f>
        <v>জনাদেশ অধীনে দেশ</v>
      </c>
    </row>
    <row r="3614">
      <c r="A3614" s="2" t="s">
        <v>970</v>
      </c>
      <c r="B3614" s="3" t="str">
        <f>IFERROR(__xludf.DUMMYFUNCTION("GOOGLETRANSLATE(A3614, ""ar"", ""bn"")"),"বিশেষ সুবিধাপ্রাপ্ত জাতীয় পতাকার সঙ্গে")</f>
        <v>বিশেষ সুবিধাপ্রাপ্ত জাতীয় পতাকার সঙ্গে</v>
      </c>
    </row>
    <row r="3615">
      <c r="A3615" s="2" t="s">
        <v>1932</v>
      </c>
      <c r="B3615" s="3" t="str">
        <f>IFERROR(__xludf.DUMMYFUNCTION("GOOGLETRANSLATE(A3615, ""ar"", ""bn"")"),"সার্বভৌম রাষ্ট্র সমূহ")</f>
        <v>সার্বভৌম রাষ্ট্র সমূহ</v>
      </c>
    </row>
    <row r="3616">
      <c r="A3616" s="2" t="s">
        <v>2537</v>
      </c>
      <c r="B3616" s="3" t="str">
        <f>IFERROR(__xludf.DUMMYFUNCTION("GOOGLETRANSLATE(A3616, ""ar"", ""bn"")"),"বৃদ্ধির প্রক্রিয়ায় দেশ")</f>
        <v>বৃদ্ধির প্রক্রিয়ায় দেশ</v>
      </c>
    </row>
    <row r="3617">
      <c r="A3617" s="2" t="s">
        <v>2537</v>
      </c>
      <c r="B3617" s="3" t="str">
        <f>IFERROR(__xludf.DUMMYFUNCTION("GOOGLETRANSLATE(A3617, ""ar"", ""bn"")"),"বৃদ্ধির প্রক্রিয়ায় দেশ")</f>
        <v>বৃদ্ধির প্রক্রিয়ায় দেশ</v>
      </c>
    </row>
    <row r="3618">
      <c r="A3618" s="2" t="s">
        <v>446</v>
      </c>
      <c r="B3618" s="3" t="str">
        <f>IFERROR(__xludf.DUMMYFUNCTION("GOOGLETRANSLATE(A3618, ""ar"", ""bn"")"),"Mthoud রাজ্যগুলির")</f>
        <v>Mthoud রাজ্যগুলির</v>
      </c>
    </row>
    <row r="3619">
      <c r="A3619" s="2" t="s">
        <v>576</v>
      </c>
      <c r="B3619" s="3" t="str">
        <f>IFERROR(__xludf.DUMMYFUNCTION("GOOGLETRANSLATE(A3619, ""ar"", ""bn"")"),"সংক্রান্ত বিরোধ রয়েছে দেশ")</f>
        <v>সংক্রান্ত বিরোধ রয়েছে দেশ</v>
      </c>
    </row>
    <row r="3620">
      <c r="A3620" s="2" t="s">
        <v>575</v>
      </c>
      <c r="B3620" s="3" t="str">
        <f>IFERROR(__xludf.DUMMYFUNCTION("GOOGLETRANSLATE(A3620, ""ar"", ""bn"")"),"সাধারণ সীমান্ত দেশ")</f>
        <v>সাধারণ সীমান্ত দেশ</v>
      </c>
    </row>
    <row r="3621">
      <c r="A3621" s="2" t="s">
        <v>2564</v>
      </c>
      <c r="B3621" s="3" t="str">
        <f>IFERROR(__xludf.DUMMYFUNCTION("GOOGLETRANSLATE(A3621, ""ar"", ""bn"")"),"একটি সমন্বিত রাজ্যের")</f>
        <v>একটি সমন্বিত রাজ্যের</v>
      </c>
    </row>
    <row r="3622">
      <c r="A3622" s="2" t="s">
        <v>2354</v>
      </c>
      <c r="B3622" s="3" t="str">
        <f>IFERROR(__xludf.DUMMYFUNCTION("GOOGLETRANSLATE(A3622, ""ar"", ""bn"")"),"মার্কিন শান্তির যুক্তরাষ্ট্রের")</f>
        <v>মার্কিন শান্তির যুক্তরাষ্ট্রের</v>
      </c>
    </row>
    <row r="3623">
      <c r="A3623" s="2" t="s">
        <v>709</v>
      </c>
      <c r="B3623" s="3" t="str">
        <f>IFERROR(__xludf.DUMMYFUNCTION("GOOGLETRANSLATE(A3623, ""ar"", ""bn"")"),"উন্নয়নশীল দেশ")</f>
        <v>উন্নয়নশীল দেশ</v>
      </c>
    </row>
    <row r="3624">
      <c r="A3624" s="2" t="s">
        <v>2323</v>
      </c>
      <c r="B3624" s="3" t="str">
        <f>IFERROR(__xludf.DUMMYFUNCTION("GOOGLETRANSLATE(A3624, ""ar"", ""bn"")"),"দেশ")</f>
        <v>দেশ</v>
      </c>
    </row>
    <row r="3625">
      <c r="A3625" s="2" t="s">
        <v>2656</v>
      </c>
      <c r="B3625" s="3" t="str">
        <f>IFERROR(__xludf.DUMMYFUNCTION("GOOGLETRANSLATE(A3625, ""ar"", ""bn"")"),"কল্যাণ রাষ্ট্র")</f>
        <v>কল্যাণ রাষ্ট্র</v>
      </c>
    </row>
    <row r="3626">
      <c r="A3626" s="2" t="s">
        <v>2234</v>
      </c>
      <c r="B3626" s="3" t="str">
        <f>IFERROR(__xludf.DUMMYFUNCTION("GOOGLETRANSLATE(A3626, ""ar"", ""bn"")"),"একটি রাজনৈতিক রাষ্ট্র")</f>
        <v>একটি রাজনৈতিক রাষ্ট্র</v>
      </c>
    </row>
    <row r="3627">
      <c r="A3627" s="2" t="s">
        <v>1421</v>
      </c>
      <c r="B3627" s="3" t="str">
        <f>IFERROR(__xludf.DUMMYFUNCTION("GOOGLETRANSLATE(A3627, ""ar"", ""bn"")"),"জনাদেশ অধীনে রাজ্য")</f>
        <v>জনাদেশ অধীনে রাজ্য</v>
      </c>
    </row>
    <row r="3628">
      <c r="A3628" s="2" t="s">
        <v>685</v>
      </c>
      <c r="B3628" s="3" t="str">
        <f>IFERROR(__xludf.DUMMYFUNCTION("GOOGLETRANSLATE(A3628, ""ar"", ""bn"")"),"গণতন্ত্র")</f>
        <v>গণতন্ত্র</v>
      </c>
    </row>
    <row r="3629">
      <c r="A3629" s="2" t="s">
        <v>2302</v>
      </c>
      <c r="B3629" s="3" t="str">
        <f>IFERROR(__xludf.DUMMYFUNCTION("GOOGLETRANSLATE(A3629, ""ar"", ""bn"")"),"একটি সার্বভৌম রাষ্ট্রে")</f>
        <v>একটি সার্বভৌম রাষ্ট্রে</v>
      </c>
    </row>
    <row r="3630">
      <c r="A3630" s="2" t="s">
        <v>394</v>
      </c>
      <c r="B3630" s="3" t="str">
        <f>IFERROR(__xludf.DUMMYFUNCTION("GOOGLETRANSLATE(A3630, ""ar"", ""bn"")"),"একটি পুঁজিবাদী রাষ্ট্র")</f>
        <v>একটি পুঁজিবাদী রাষ্ট্র</v>
      </c>
    </row>
    <row r="3631">
      <c r="A3631" s="2" t="s">
        <v>2257</v>
      </c>
      <c r="B3631" s="3" t="str">
        <f>IFERROR(__xludf.DUMMYFUNCTION("GOOGLETRANSLATE(A3631, ""ar"", ""bn"")"),"আধা-স্বায়ত্তশাসিত রাষ্ট্র")</f>
        <v>আধা-স্বায়ত্তশাসিত রাষ্ট্র</v>
      </c>
    </row>
    <row r="3632">
      <c r="A3632" s="2" t="s">
        <v>2483</v>
      </c>
      <c r="B3632" s="3" t="str">
        <f>IFERROR(__xludf.DUMMYFUNCTION("GOOGLETRANSLATE(A3632, ""ar"", ""bn"")"),"একটি সর্বগ্রাসী রাষ্ট্র")</f>
        <v>একটি সর্বগ্রাসী রাষ্ট্র</v>
      </c>
    </row>
    <row r="3633">
      <c r="A3633" s="2" t="s">
        <v>2397</v>
      </c>
      <c r="B3633" s="3" t="str">
        <f>IFERROR(__xludf.DUMMYFUNCTION("GOOGLETRANSLATE(A3633, ""ar"", ""bn"")"),"প্রভাবশালী পরাশক্তি")</f>
        <v>প্রভাবশালী পরাশক্তি</v>
      </c>
    </row>
    <row r="3634">
      <c r="A3634" s="2" t="s">
        <v>973</v>
      </c>
      <c r="B3634" s="3" t="str">
        <f>IFERROR(__xludf.DUMMYFUNCTION("GOOGLETRANSLATE(A3634, ""ar"", ""bn"")"),"একটি ফেডারেল রাষ্ট্র")</f>
        <v>একটি ফেডারেল রাষ্ট্র</v>
      </c>
    </row>
    <row r="3635">
      <c r="A3635" s="2" t="s">
        <v>1364</v>
      </c>
      <c r="B3635" s="3" t="str">
        <f>IFERROR(__xludf.DUMMYFUNCTION("GOOGLETRANSLATE(A3635, ""ar"", ""bn"")"),"লিবারেল রাজ্য")</f>
        <v>লিবারেল রাজ্য</v>
      </c>
    </row>
    <row r="3636">
      <c r="A3636" s="2" t="s">
        <v>1614</v>
      </c>
      <c r="B3636" s="3" t="str">
        <f>IFERROR(__xludf.DUMMYFUNCTION("GOOGLETRANSLATE(A3636, ""ar"", ""bn"")"),"নিরপেক্ষ দেশ")</f>
        <v>নিরপেক্ষ দেশ</v>
      </c>
    </row>
    <row r="3637">
      <c r="A3637" s="2" t="s">
        <v>415</v>
      </c>
      <c r="B3637" s="3" t="str">
        <f>IFERROR(__xludf.DUMMYFUNCTION("GOOGLETRANSLATE(A3637, ""ar"", ""bn"")"),"কেন্দ্রীভূত রাষ্ট্র")</f>
        <v>কেন্দ্রীভূত রাষ্ট্র</v>
      </c>
    </row>
    <row r="3638">
      <c r="A3638" s="2" t="s">
        <v>1170</v>
      </c>
      <c r="B3638" s="3" t="str">
        <f>IFERROR(__xludf.DUMMYFUNCTION("GOOGLETRANSLATE(A3638, ""ar"", ""bn"")"),"স্বাধীন দেশ")</f>
        <v>স্বাধীন দেশ</v>
      </c>
    </row>
    <row r="3639">
      <c r="A3639" s="2" t="s">
        <v>161</v>
      </c>
      <c r="B3639" s="3" t="str">
        <f>IFERROR(__xludf.DUMMYFUNCTION("GOOGLETRANSLATE(A3639, ""ar"", ""bn"")"),"রাজ্য প্রত্যয়িত Mpho ডি এইচ")</f>
        <v>রাজ্য প্রত্যয়িত Mpho ডি এইচ</v>
      </c>
    </row>
    <row r="3640">
      <c r="A3640" s="2" t="s">
        <v>1295</v>
      </c>
      <c r="B3640" s="3" t="str">
        <f>IFERROR(__xludf.DUMMYFUNCTION("GOOGLETRANSLATE(A3640, ""ar"", ""bn"")"),"বিচ্ছিন্ন রাষ্ট্র")</f>
        <v>বিচ্ছিন্ন রাষ্ট্র</v>
      </c>
    </row>
    <row r="3641">
      <c r="A3641" s="2" t="s">
        <v>676</v>
      </c>
      <c r="B3641" s="3" t="str">
        <f>IFERROR(__xludf.DUMMYFUNCTION("GOOGLETRANSLATE(A3641, ""ar"", ""bn"")"),"গণতন্ত্র")</f>
        <v>গণতন্ত্র</v>
      </c>
    </row>
    <row r="3642">
      <c r="A3642" s="2" t="s">
        <v>684</v>
      </c>
      <c r="B3642" s="3" t="str">
        <f>IFERROR(__xludf.DUMMYFUNCTION("GOOGLETRANSLATE(A3642, ""ar"", ""bn"")"),"সমাজতান্ত্রিক গণতন্ত্র")</f>
        <v>সমাজতান্ত্রিক গণতন্ত্র</v>
      </c>
    </row>
    <row r="3643">
      <c r="A3643" s="2" t="s">
        <v>1823</v>
      </c>
      <c r="B3643" s="3" t="str">
        <f>IFERROR(__xludf.DUMMYFUNCTION("GOOGLETRANSLATE(A3643, ""ar"", ""bn"")"),"রাজনৈতিক গণতন্ত্র")</f>
        <v>রাজনৈতিক গণতন্ত্র</v>
      </c>
    </row>
    <row r="3644">
      <c r="A3644" s="2" t="s">
        <v>1954</v>
      </c>
      <c r="B3644" s="3" t="str">
        <f>IFERROR(__xludf.DUMMYFUNCTION("GOOGLETRANSLATE(A3644, ""ar"", ""bn"")"),"সভাপতিত্ব")</f>
        <v>সভাপতিত্ব</v>
      </c>
    </row>
    <row r="3645">
      <c r="A3645" s="2" t="s">
        <v>419</v>
      </c>
      <c r="B3645" s="3" t="str">
        <f>IFERROR(__xludf.DUMMYFUNCTION("GOOGLETRANSLATE(A3645, ""ar"", ""bn"")"),"চেয়ার")</f>
        <v>চেয়ার</v>
      </c>
    </row>
    <row r="3646">
      <c r="A3646" s="2" t="s">
        <v>2214</v>
      </c>
      <c r="B3646" s="3" t="str">
        <f>IFERROR(__xludf.DUMMYFUNCTION("GOOGLETRANSLATE(A3646, ""ar"", ""bn"")"),"আবর্তিত রাষ্ট্রপতি")</f>
        <v>আবর্তিত রাষ্ট্রপতি</v>
      </c>
    </row>
    <row r="3647">
      <c r="A3647" s="2" t="s">
        <v>1955</v>
      </c>
      <c r="B3647" s="3" t="str">
        <f>IFERROR(__xludf.DUMMYFUNCTION("GOOGLETRANSLATE(A3647, ""ar"", ""bn"")"),"বয়স প্রেসিডেন্সির অধীনে")</f>
        <v>বয়স প্রেসিডেন্সির অধীনে</v>
      </c>
    </row>
    <row r="3648">
      <c r="A3648" s="2" t="s">
        <v>1958</v>
      </c>
      <c r="B3648" s="3" t="str">
        <f>IFERROR(__xludf.DUMMYFUNCTION("GOOGLETRANSLATE(A3648, ""ar"", ""bn"")"),"প্রজাতন্ত্রের রাষ্ট্রপতি")</f>
        <v>প্রজাতন্ত্রের রাষ্ট্রপতি</v>
      </c>
    </row>
    <row r="3649">
      <c r="A3649" s="2" t="s">
        <v>1957</v>
      </c>
      <c r="B3649" s="3" t="str">
        <f>IFERROR(__xludf.DUMMYFUNCTION("GOOGLETRANSLATE(A3649, ""ar"", ""bn"")"),"রাষ্ট্র প্রধান")</f>
        <v>রাষ্ট্র প্রধান</v>
      </c>
    </row>
    <row r="3650">
      <c r="A3650" s="2" t="s">
        <v>2261</v>
      </c>
      <c r="B3650" s="3" t="str">
        <f>IFERROR(__xludf.DUMMYFUNCTION("GOOGLETRANSLATE(A3650, ""ar"", ""bn"")"),"চ্যান্সেলর ইয়েন হেড")</f>
        <v>চ্যান্সেলর ইয়েন হেড</v>
      </c>
    </row>
    <row r="3651">
      <c r="A3651" s="2" t="s">
        <v>2262</v>
      </c>
      <c r="B3651" s="3" t="str">
        <f>IFERROR(__xludf.DUMMYFUNCTION("GOOGLETRANSLATE(A3651, ""ar"", ""bn"")"),"উপদেষ্টা রাষ্ট্রপতি")</f>
        <v>উপদেষ্টা রাষ্ট্রপতি</v>
      </c>
    </row>
    <row r="3652">
      <c r="A3652" s="2" t="s">
        <v>1980</v>
      </c>
      <c r="B3652" s="3" t="str">
        <f>IFERROR(__xludf.DUMMYFUNCTION("GOOGLETRANSLATE(A3652, ""ar"", ""bn"")"),"প্রধানমন্ত্রী")</f>
        <v>প্রধানমন্ত্রী</v>
      </c>
    </row>
    <row r="3653">
      <c r="A3653" s="2" t="s">
        <v>1093</v>
      </c>
      <c r="B3653" s="3" t="str">
        <f>IFERROR(__xludf.DUMMYFUNCTION("GOOGLETRANSLATE(A3653, ""ar"", ""bn"")"),"প্রতিনিধি দলের প্রধান")</f>
        <v>প্রতিনিধি দলের প্রধান</v>
      </c>
    </row>
    <row r="3654">
      <c r="A3654" s="2" t="s">
        <v>430</v>
      </c>
      <c r="B3654" s="3" t="str">
        <f>IFERROR(__xludf.DUMMYFUNCTION("GOOGLETRANSLATE(A3654, ""ar"", ""bn"")"),"প্রতিনিধি দলের প্রধান, কূটনৈতিক")</f>
        <v>প্রতিনিধি দলের প্রধান, কূটনৈতিক</v>
      </c>
    </row>
    <row r="3655">
      <c r="A3655" s="2" t="s">
        <v>391</v>
      </c>
      <c r="B3655" s="3" t="str">
        <f>IFERROR(__xludf.DUMMYFUNCTION("GOOGLETRANSLATE(A3655, ""ar"", ""bn"")"),"পুঁজিবাদ")</f>
        <v>পুঁজিবাদ</v>
      </c>
    </row>
    <row r="3656">
      <c r="A3656" s="2" t="s">
        <v>186</v>
      </c>
      <c r="B3656" s="3" t="str">
        <f>IFERROR(__xludf.DUMMYFUNCTION("GOOGLETRANSLATE(A3656, ""ar"", ""bn"")"),"অ্যাডভাইসারির মতামত")</f>
        <v>অ্যাডভাইসারির মতামত</v>
      </c>
    </row>
    <row r="3657">
      <c r="A3657" s="2" t="s">
        <v>1414</v>
      </c>
      <c r="B3657" s="3" t="str">
        <f>IFERROR(__xludf.DUMMYFUNCTION("GOOGLETRANSLATE(A3657, ""ar"", ""bn"")"),"সংখ্যাগরিষ্ঠ মতামত")</f>
        <v>সংখ্যাগরিষ্ঠ মতামত</v>
      </c>
    </row>
    <row r="3658">
      <c r="A3658" s="2" t="s">
        <v>1864</v>
      </c>
      <c r="B3658" s="3" t="str">
        <f>IFERROR(__xludf.DUMMYFUNCTION("GOOGLETRANSLATE(A3658, ""ar"", ""bn"")"),"রাজনৈতিক মতামত")</f>
        <v>রাজনৈতিক মতামত</v>
      </c>
    </row>
    <row r="3659">
      <c r="A3659" s="2" t="s">
        <v>2038</v>
      </c>
      <c r="B3659" s="3" t="str">
        <f>IFERROR(__xludf.DUMMYFUNCTION("GOOGLETRANSLATE(A3659, ""ar"", ""bn"")"),"জন মতামত")</f>
        <v>জন মতামত</v>
      </c>
    </row>
    <row r="3660">
      <c r="A3660" s="2" t="s">
        <v>949</v>
      </c>
      <c r="B3660" s="3" t="str">
        <f>IFERROR(__xludf.DUMMYFUNCTION("GOOGLETRANSLATE(A3660, ""ar"", ""bn"")"),"মতামত Mmttr পি")</f>
        <v>মতামত Mmttr পি</v>
      </c>
    </row>
    <row r="3661">
      <c r="A3661" s="2" t="s">
        <v>2775</v>
      </c>
      <c r="B3661" s="3" t="str">
        <f>IFERROR(__xludf.DUMMYFUNCTION("GOOGLETRANSLATE(A3661, ""ar"", ""bn"")"),"মতামত Mmkhalv")</f>
        <v>মতামত Mmkhalv</v>
      </c>
    </row>
    <row r="3662">
      <c r="A3662" s="2" t="s">
        <v>669</v>
      </c>
      <c r="B3662" s="3" t="str">
        <f>IFERROR(__xludf.DUMMYFUNCTION("GOOGLETRANSLATE(A3662, ""ar"", ""bn"")"),"চিন্তাশীল মতামত")</f>
        <v>চিন্তাশীল মতামত</v>
      </c>
    </row>
    <row r="3663">
      <c r="A3663" s="2" t="s">
        <v>185</v>
      </c>
      <c r="B3663" s="3" t="str">
        <f>IFERROR(__xludf.DUMMYFUNCTION("GOOGLETRANSLATE(A3663, ""ar"", ""bn"")"),"মতামত বিপরীত কাউন্টার")</f>
        <v>মতামত বিপরীত কাউন্টার</v>
      </c>
    </row>
    <row r="3664">
      <c r="A3664" s="2" t="s">
        <v>2505</v>
      </c>
      <c r="B3664" s="3" t="str">
        <f>IFERROR(__xludf.DUMMYFUNCTION("GOOGLETRANSLATE(A3664, ""ar"", ""bn"")"),"যুদ্ধবিরতির ব্যানার")</f>
        <v>যুদ্ধবিরতির ব্যানার</v>
      </c>
    </row>
    <row r="3665">
      <c r="A3665" s="2" t="s">
        <v>2064</v>
      </c>
      <c r="B3665" s="3" t="str">
        <f>IFERROR(__xludf.DUMMYFUNCTION("GOOGLETRANSLATE(A3665, ""ar"", ""bn"")"),"প্রতিক্রিয়া")</f>
        <v>প্রতিক্রিয়া</v>
      </c>
    </row>
    <row r="3666">
      <c r="A3666" s="2" t="s">
        <v>2355</v>
      </c>
      <c r="B3666" s="3" t="str">
        <f>IFERROR(__xludf.DUMMYFUNCTION("GOOGLETRANSLATE(A3666, ""ar"", ""bn"")"),"কূটনীতিজ্ঞ ব্যক্তি")</f>
        <v>কূটনীতিজ্ঞ ব্যক্তি</v>
      </c>
    </row>
    <row r="3667">
      <c r="A3667" s="2" t="s">
        <v>2112</v>
      </c>
      <c r="B3667" s="3" t="str">
        <f>IFERROR(__xludf.DUMMYFUNCTION("GOOGLETRANSLATE(A3667, ""ar"", ""bn"")"),"পুনর্বাসন")</f>
        <v>পুনর্বাসন</v>
      </c>
    </row>
    <row r="3668">
      <c r="A3668" s="2" t="s">
        <v>1232</v>
      </c>
      <c r="B3668" s="3" t="str">
        <f>IFERROR(__xludf.DUMMYFUNCTION("GOOGLETRANSLATE(A3668, ""ar"", ""bn"")"),"আন্তর্জাতিক কূটনীতি প্রতিক্রিয়া")</f>
        <v>আন্তর্জাতিক কূটনীতি প্রতিক্রিয়া</v>
      </c>
    </row>
    <row r="3669">
      <c r="A3669" s="2" t="s">
        <v>591</v>
      </c>
      <c r="B3669" s="3" t="str">
        <f>IFERROR(__xludf.DUMMYFUNCTION("GOOGLETRANSLATE(A3669, ""ar"", ""bn"")"),"বার্তা তলব রাষ্ট্রদূত")</f>
        <v>বার্তা তলব রাষ্ট্রদূত</v>
      </c>
    </row>
    <row r="3670">
      <c r="A3670" s="2" t="s">
        <v>2776</v>
      </c>
      <c r="B3670" s="3" t="str">
        <f>IFERROR(__xludf.DUMMYFUNCTION("GOOGLETRANSLATE(A3670, ""ar"", ""bn"")"),"কঠোর ভাষায় কূটনৈতিক বার্তা")</f>
        <v>কঠোর ভাষায় কূটনৈতিক বার্তা</v>
      </c>
    </row>
    <row r="3671">
      <c r="A3671" s="2" t="s">
        <v>2428</v>
      </c>
      <c r="B3671" s="3" t="str">
        <f>IFERROR(__xludf.DUMMYFUNCTION("GOOGLETRANSLATE(A3671, ""ar"", ""bn"")"),"রেজা মৌন")</f>
        <v>রেজা মৌন</v>
      </c>
    </row>
    <row r="3672">
      <c r="A3672" s="2" t="s">
        <v>2353</v>
      </c>
      <c r="B3672" s="3" t="str">
        <f>IFERROR(__xludf.DUMMYFUNCTION("GOOGLETRANSLATE(A3672, ""ar"", ""bn"")"),"দেশের নাগরিকদের")</f>
        <v>দেশের নাগরিকদের</v>
      </c>
    </row>
    <row r="3673">
      <c r="A3673" s="2" t="s">
        <v>303</v>
      </c>
      <c r="B3673" s="3" t="str">
        <f>IFERROR(__xludf.DUMMYFUNCTION("GOOGLETRANSLATE(A3673, ""ar"", ""bn"")"),"যত্ন")</f>
        <v>যত্ন</v>
      </c>
    </row>
    <row r="3674">
      <c r="A3674" s="2" t="s">
        <v>1281</v>
      </c>
      <c r="B3674" s="3" t="str">
        <f>IFERROR(__xludf.DUMMYFUNCTION("GOOGLETRANSLATE(A3674, ""ar"", ""bn"")"),"আন্তর্জাতিক ইচ্ছা")</f>
        <v>আন্তর্জাতিক ইচ্ছা</v>
      </c>
    </row>
    <row r="3675">
      <c r="A3675" s="2" t="s">
        <v>2469</v>
      </c>
      <c r="B3675" s="3" t="str">
        <f>IFERROR(__xludf.DUMMYFUNCTION("GOOGLETRANSLATE(A3675, ""ar"", ""bn"")"),"নির্ধারক পরিণত প্রত্যাখ্যান")</f>
        <v>নির্ধারক পরিণত প্রত্যাখ্যান</v>
      </c>
    </row>
    <row r="3676">
      <c r="A3676" s="2" t="s">
        <v>1760</v>
      </c>
      <c r="B3676" s="3" t="str">
        <f>IFERROR(__xludf.DUMMYFUNCTION("GOOGLETRANSLATE(A3676, ""ar"", ""bn"")"),"জনপ্রিয় প্রত্যাখ্যান")</f>
        <v>জনপ্রিয় প্রত্যাখ্যান</v>
      </c>
    </row>
    <row r="3677">
      <c r="A3677" s="2" t="s">
        <v>553</v>
      </c>
      <c r="B3677" s="3" t="str">
        <f>IFERROR(__xludf.DUMMYFUNCTION("GOOGLETRANSLATE(A3677, ""ar"", ""bn"")"),"সাংবিধানিক নিয়ন্ত্রণ")</f>
        <v>সাংবিধানিক নিয়ন্ত্রণ</v>
      </c>
    </row>
    <row r="3678">
      <c r="A3678" s="2" t="s">
        <v>1899</v>
      </c>
      <c r="B3678" s="3" t="str">
        <f>IFERROR(__xludf.DUMMYFUNCTION("GOOGLETRANSLATE(A3678, ""ar"", ""bn"")"),"কন্ট্রোল নীতি")</f>
        <v>কন্ট্রোল নীতি</v>
      </c>
    </row>
    <row r="3679">
      <c r="A3679" s="2" t="s">
        <v>1913</v>
      </c>
      <c r="B3679" s="3" t="str">
        <f>IFERROR(__xludf.DUMMYFUNCTION("GOOGLETRANSLATE(A3679, ""ar"", ""bn"")"),"জনপ্রিয় নিয়ন্ত্রণ")</f>
        <v>জনপ্রিয় নিয়ন্ত্রণ</v>
      </c>
    </row>
    <row r="3680">
      <c r="A3680" s="2" t="s">
        <v>403</v>
      </c>
      <c r="B3680" s="3" t="str">
        <f>IFERROR(__xludf.DUMMYFUNCTION("GOOGLETRANSLATE(A3680, ""ar"", ""bn"")"),"বিবাচন")</f>
        <v>বিবাচন</v>
      </c>
    </row>
    <row r="3681">
      <c r="A3681" s="2" t="s">
        <v>1120</v>
      </c>
      <c r="B3681" s="3" t="str">
        <f>IFERROR(__xludf.DUMMYFUNCTION("GOOGLETRANSLATE(A3681, ""ar"", ""bn"")"),"বন্দীদের")</f>
        <v>বন্দীদের</v>
      </c>
    </row>
    <row r="3682">
      <c r="A3682" s="2" t="s">
        <v>2528</v>
      </c>
      <c r="B3682" s="3" t="str">
        <f>IFERROR(__xludf.DUMMYFUNCTION("GOOGLETRANSLATE(A3682, ""ar"", ""bn"")"),"আটক")</f>
        <v>আটক</v>
      </c>
    </row>
    <row r="3683">
      <c r="A3683" s="2" t="s">
        <v>1846</v>
      </c>
      <c r="B3683" s="3" t="str">
        <f>IFERROR(__xludf.DUMMYFUNCTION("GOOGLETRANSLATE(A3683, ""ar"", ""bn"")"),"রাজনৈতিক জিম্মি")</f>
        <v>রাজনৈতিক জিম্মি</v>
      </c>
    </row>
    <row r="3684">
      <c r="A3684" s="2" t="s">
        <v>2777</v>
      </c>
      <c r="B3684" s="3" t="str">
        <f>IFERROR(__xludf.DUMMYFUNCTION("GOOGLETRANSLATE(A3684, ""ar"", ""bn"")"),"রক্ত এবং মানুষের লিংক মধ্যে ঘাম")</f>
        <v>রক্ত এবং মানুষের লিংক মধ্যে ঘাম</v>
      </c>
    </row>
    <row r="3685">
      <c r="A3685" s="2" t="s">
        <v>1857</v>
      </c>
      <c r="B3685" s="3" t="str">
        <f>IFERROR(__xludf.DUMMYFUNCTION("GOOGLETRANSLATE(A3685, ""ar"", ""bn"")"),"রাজনৈতিক সংযোগগুলি")</f>
        <v>রাজনৈতিক সংযোগগুলি</v>
      </c>
    </row>
    <row r="3686">
      <c r="A3686" s="2" t="s">
        <v>2309</v>
      </c>
      <c r="B3686" s="3" t="str">
        <f>IFERROR(__xludf.DUMMYFUNCTION("GOOGLETRANSLATE(A3686, ""ar"", ""bn"")"),"দেশগুলির মধ্যে বুঝতে আত্মা")</f>
        <v>দেশগুলির মধ্যে বুঝতে আত্মা</v>
      </c>
    </row>
    <row r="3687">
      <c r="A3687" s="2" t="s">
        <v>778</v>
      </c>
      <c r="B3687" s="3" t="str">
        <f>IFERROR(__xludf.DUMMYFUNCTION("GOOGLETRANSLATE(A3687, ""ar"", ""bn"")"),"কূটনৈতিক দর্শন")</f>
        <v>কূটনৈতিক দর্শন</v>
      </c>
    </row>
    <row r="3688">
      <c r="A3688" s="2" t="s">
        <v>1670</v>
      </c>
      <c r="B3688" s="3" t="str">
        <f>IFERROR(__xludf.DUMMYFUNCTION("GOOGLETRANSLATE(A3688, ""ar"", ""bn"")"),"সরকারি সফরে")</f>
        <v>সরকারি সফরে</v>
      </c>
    </row>
    <row r="3689">
      <c r="A3689" s="2" t="s">
        <v>612</v>
      </c>
      <c r="B3689" s="3" t="str">
        <f>IFERROR(__xludf.DUMMYFUNCTION("GOOGLETRANSLATE(A3689, ""ar"", ""bn"")"),"সৌজন্য সাক্ষাত")</f>
        <v>সৌজন্য সাক্ষাত</v>
      </c>
    </row>
    <row r="3690">
      <c r="A3690" s="2" t="s">
        <v>272</v>
      </c>
      <c r="B3690" s="3" t="str">
        <f>IFERROR(__xludf.DUMMYFUNCTION("GOOGLETRANSLATE(A3690, ""ar"", ""bn"")"),"প্রশ্নঃ জ অর্পণ থাকবে")</f>
        <v>প্রশ্নঃ জ অর্পণ থাকবে</v>
      </c>
    </row>
    <row r="3691">
      <c r="A3691" s="2" t="s">
        <v>1956</v>
      </c>
      <c r="B3691" s="3" t="str">
        <f>IFERROR(__xludf.DUMMYFUNCTION("GOOGLETRANSLATE(A3691, ""ar"", ""bn"")"),"জাতি")</f>
        <v>জাতি</v>
      </c>
    </row>
    <row r="3692">
      <c r="A3692" s="2" t="s">
        <v>2023</v>
      </c>
      <c r="B3692" s="3" t="str">
        <f>IFERROR(__xludf.DUMMYFUNCTION("GOOGLETRANSLATE(A3692, ""ar"", ""bn"")"),"রেকর্ড প্রোটোকল")</f>
        <v>রেকর্ড প্রোটোকল</v>
      </c>
    </row>
    <row r="3693">
      <c r="A3693" s="2" t="s">
        <v>2605</v>
      </c>
      <c r="B3693" s="3" t="str">
        <f>IFERROR(__xludf.DUMMYFUNCTION("GOOGLETRANSLATE(A3693, ""ar"", ""bn"")"),"দর্শকরা নিবন্ধন")</f>
        <v>দর্শকরা নিবন্ধন</v>
      </c>
    </row>
    <row r="3694">
      <c r="A3694" s="2" t="s">
        <v>843</v>
      </c>
      <c r="B3694" s="3" t="str">
        <f>IFERROR(__xludf.DUMMYFUNCTION("GOOGLETRANSLATE(A3694, ""ar"", ""bn"")"),"নির্বাচনী রেকর্ড")</f>
        <v>নির্বাচনী রেকর্ড</v>
      </c>
    </row>
    <row r="3695">
      <c r="A3695" s="2" t="s">
        <v>2640</v>
      </c>
      <c r="B3695" s="3" t="str">
        <f>IFERROR(__xludf.DUMMYFUNCTION("GOOGLETRANSLATE(A3695, ""ar"", ""bn"")"),"যুদ্ধ বন্দী")</f>
        <v>যুদ্ধ বন্দী</v>
      </c>
    </row>
    <row r="3696">
      <c r="A3696" s="2" t="s">
        <v>2330</v>
      </c>
      <c r="B3696" s="3" t="str">
        <f>IFERROR(__xludf.DUMMYFUNCTION("GOOGLETRANSLATE(A3696, ""ar"", ""bn"")"),"রাজনৈতিক বন্দী")</f>
        <v>রাজনৈতিক বন্দী</v>
      </c>
    </row>
    <row r="3697">
      <c r="A3697" s="2" t="s">
        <v>2778</v>
      </c>
      <c r="B3697" s="3" t="str">
        <f>IFERROR(__xludf.DUMMYFUNCTION("GOOGLETRANSLATE(A3697, ""ar"", ""bn"")"),"নির্জন কারাবাস মধ্যে রাজনৈতিক বন্দী")</f>
        <v>নির্জন কারাবাস মধ্যে রাজনৈতিক বন্দী</v>
      </c>
    </row>
    <row r="3698">
      <c r="A3698" s="2" t="s">
        <v>1171</v>
      </c>
      <c r="B3698" s="3" t="str">
        <f>IFERROR(__xludf.DUMMYFUNCTION("GOOGLETRANSLATE(A3698, ""ar"", ""bn"")"),"জন অসন্তোষ")</f>
        <v>জন অসন্তোষ</v>
      </c>
    </row>
    <row r="3699">
      <c r="A3699" s="2" t="s">
        <v>2062</v>
      </c>
      <c r="B3699" s="3" t="str">
        <f>IFERROR(__xludf.DUMMYFUNCTION("GOOGLETRANSLATE(A3699, ""ar"", ""bn"")"),"আন্তর্জাতিক ত্রাণ গতি")</f>
        <v>আন্তর্জাতিক ত্রাণ গতি</v>
      </c>
    </row>
    <row r="3700">
      <c r="A3700" s="2" t="s">
        <v>2063</v>
      </c>
      <c r="B3700" s="3" t="str">
        <f>IFERROR(__xludf.DUMMYFUNCTION("GOOGLETRANSLATE(A3700, ""ar"", ""bn"")"),"আন্তর্জাতিক হস্তক্ষেপের গতি")</f>
        <v>আন্তর্জাতিক হস্তক্ষেপের গতি</v>
      </c>
    </row>
    <row r="3701">
      <c r="A3701" s="2" t="s">
        <v>853</v>
      </c>
      <c r="B3701" s="3" t="str">
        <f>IFERROR(__xludf.DUMMYFUNCTION("GOOGLETRANSLATE(A3701, ""ar"", ""bn"")"),"দূতাবাস")</f>
        <v>দূতাবাস</v>
      </c>
    </row>
    <row r="3702">
      <c r="A3702" s="2" t="s">
        <v>227</v>
      </c>
      <c r="B3702" s="3" t="str">
        <f>IFERROR(__xludf.DUMMYFUNCTION("GOOGLETRANSLATE(A3702, ""ar"", ""bn"")"),"রাষ্ট্রদূত")</f>
        <v>রাষ্ট্রদূত</v>
      </c>
    </row>
    <row r="3703">
      <c r="A3703" s="2" t="s">
        <v>1057</v>
      </c>
      <c r="B3703" s="3" t="str">
        <f>IFERROR(__xludf.DUMMYFUNCTION("GOOGLETRANSLATE(A3703, ""ar"", ""bn"")"),"শুভেচ্ছা দূত")</f>
        <v>শুভেচ্ছা দূত</v>
      </c>
    </row>
    <row r="3704">
      <c r="A3704" s="2" t="s">
        <v>947</v>
      </c>
      <c r="B3704" s="3" t="str">
        <f>IFERROR(__xludf.DUMMYFUNCTION("GOOGLETRANSLATE(A3704, ""ar"", ""bn"")"),"অভ রাষ্ট্রদূত")</f>
        <v>অভ রাষ্ট্রদূত</v>
      </c>
    </row>
    <row r="3705">
      <c r="A3705" s="2" t="s">
        <v>2216</v>
      </c>
      <c r="B3705" s="3" t="str">
        <f>IFERROR(__xludf.DUMMYFUNCTION("GOOGLETRANSLATE(A3705, ""ar"", ""bn"")"),"Mtjo রাষ্ট্রদূত")</f>
        <v>Mtjo রাষ্ট্রদূত</v>
      </c>
    </row>
    <row r="3706">
      <c r="A3706" s="2" t="s">
        <v>162</v>
      </c>
      <c r="B3706" s="3" t="str">
        <f>IFERROR(__xludf.DUMMYFUNCTION("GOOGLETRANSLATE(A3706, ""ar"", ""bn"")"),"রাষ্ট্রদূত সার্টিফাইড")</f>
        <v>রাষ্ট্রদূত সার্টিফাইড</v>
      </c>
    </row>
    <row r="3707">
      <c r="A3707" s="2" t="s">
        <v>700</v>
      </c>
      <c r="B3707" s="3" t="str">
        <f>IFERROR(__xludf.DUMMYFUNCTION("GOOGLETRANSLATE(A3707, ""ar"", ""bn"")"),"রাষ্ট্রদূত Mpho জেড")</f>
        <v>রাষ্ট্রদূত Mpho জেড</v>
      </c>
    </row>
    <row r="3708">
      <c r="A3708" s="2" t="s">
        <v>1922</v>
      </c>
      <c r="B3708" s="3" t="str">
        <f>IFERROR(__xludf.DUMMYFUNCTION("GOOGLETRANSLATE(A3708, ""ar"", ""bn"")"),"এম উপনিবেশ উদ্ভাবন")</f>
        <v>এম উপনিবেশ উদ্ভাবন</v>
      </c>
    </row>
    <row r="3709">
      <c r="A3709" s="2" t="s">
        <v>1741</v>
      </c>
      <c r="B3709" s="3" t="str">
        <f>IFERROR(__xludf.DUMMYFUNCTION("GOOGLETRANSLATE(A3709, ""ar"", ""bn"")"),"সাহসী শান্তি")</f>
        <v>সাহসী শান্তি</v>
      </c>
    </row>
    <row r="3710">
      <c r="A3710" s="2" t="s">
        <v>2691</v>
      </c>
      <c r="B3710" s="3" t="str">
        <f>IFERROR(__xludf.DUMMYFUNCTION("GOOGLETRANSLATE(A3710, ""ar"", ""bn"")"),"বিশ্ব শান্তি")</f>
        <v>বিশ্ব শান্তি</v>
      </c>
    </row>
    <row r="3711">
      <c r="A3711" s="2" t="s">
        <v>1327</v>
      </c>
      <c r="B3711" s="3" t="str">
        <f>IFERROR(__xludf.DUMMYFUNCTION("GOOGLETRANSLATE(A3711, ""ar"", ""bn"")"),"দীর্ঘস্থায়ী শান্তি")</f>
        <v>দীর্ঘস্থায়ী শান্তি</v>
      </c>
    </row>
    <row r="3712">
      <c r="A3712" s="2" t="s">
        <v>884</v>
      </c>
      <c r="B3712" s="3" t="str">
        <f>IFERROR(__xludf.DUMMYFUNCTION("GOOGLETRANSLATE(A3712, ""ar"", ""bn"")"),"শুধু শান্তি")</f>
        <v>শুধু শান্তি</v>
      </c>
    </row>
    <row r="3713">
      <c r="A3713" s="2" t="s">
        <v>2458</v>
      </c>
      <c r="B3713" s="3" t="str">
        <f>IFERROR(__xludf.DUMMYFUNCTION("GOOGLETRANSLATE(A3713, ""ar"", ""bn"")"),"হে জাতি জমি")</f>
        <v>হে জাতি জমি</v>
      </c>
    </row>
    <row r="3714">
      <c r="A3714" s="2" t="s">
        <v>1569</v>
      </c>
      <c r="B3714" s="3" t="str">
        <f>IFERROR(__xludf.DUMMYFUNCTION("GOOGLETRANSLATE(A3714, ""ar"", ""bn"")"),"আঞ্চলিক অখণ্ডতা")</f>
        <v>আঞ্চলিক অখণ্ডতা</v>
      </c>
    </row>
    <row r="3715">
      <c r="A3715" s="2" t="s">
        <v>2033</v>
      </c>
      <c r="B3715" s="3" t="str">
        <f>IFERROR(__xludf.DUMMYFUNCTION("GOOGLETRANSLATE(A3715, ""ar"", ""bn"")"),"জননিরাপত্তা")</f>
        <v>জননিরাপত্তা</v>
      </c>
    </row>
    <row r="3716">
      <c r="A3716" s="2" t="s">
        <v>2098</v>
      </c>
      <c r="B3716" s="3" t="str">
        <f>IFERROR(__xludf.DUMMYFUNCTION("GOOGLETRANSLATE(A3716, ""ar"", ""bn"")"),"উদ্বাস্তুদের নিরাপত্তা")</f>
        <v>উদ্বাস্তুদের নিরাপত্তা</v>
      </c>
    </row>
    <row r="3717">
      <c r="A3717" s="2" t="s">
        <v>445</v>
      </c>
      <c r="B3717" s="3" t="str">
        <f>IFERROR(__xludf.DUMMYFUNCTION("GOOGLETRANSLATE(A3717, ""ar"", ""bn"")"),"হে নাগরিক জাতি")</f>
        <v>হে নাগরিক জাতি</v>
      </c>
    </row>
    <row r="3718">
      <c r="A3718" s="2" t="s">
        <v>2779</v>
      </c>
      <c r="B3718" s="3" t="str">
        <f>IFERROR(__xludf.DUMMYFUNCTION("GOOGLETRANSLATE(A3718, ""ar"", ""bn"")"),"কূটনৈতিক প্রতিবেদনে কনস")</f>
        <v>কূটনৈতিক প্রতিবেদনে কনস</v>
      </c>
    </row>
    <row r="3719">
      <c r="A3719" s="2" t="s">
        <v>2780</v>
      </c>
      <c r="B3719" s="3" t="str">
        <f>IFERROR(__xludf.DUMMYFUNCTION("GOOGLETRANSLATE(A3719, ""ar"", ""bn"")"),"কূটনৈতিক পরিচিতি একটি শৃঙ্খলা")</f>
        <v>কূটনৈতিক পরিচিতি একটি শৃঙ্খলা</v>
      </c>
    </row>
    <row r="3720">
      <c r="A3720" s="2" t="s">
        <v>418</v>
      </c>
      <c r="B3720" s="3" t="str">
        <f>IFERROR(__xludf.DUMMYFUNCTION("GOOGLETRANSLATE(A3720, ""ar"", ""bn"")"),"রাজনৈতিক পরিচিতি একটি শৃঙ্খলা")</f>
        <v>রাজনৈতিক পরিচিতি একটি শৃঙ্খলা</v>
      </c>
    </row>
    <row r="3721">
      <c r="A3721" s="2" t="s">
        <v>2105</v>
      </c>
      <c r="B3721" s="3" t="str">
        <f>IFERROR(__xludf.DUMMYFUNCTION("GOOGLETRANSLATE(A3721, ""ar"", ""bn"")"),"আঞ্চলিক কর্তৃপক্ষ")</f>
        <v>আঞ্চলিক কর্তৃপক্ষ</v>
      </c>
    </row>
    <row r="3722">
      <c r="A3722" s="2" t="s">
        <v>2105</v>
      </c>
      <c r="B3722" s="3" t="str">
        <f>IFERROR(__xludf.DUMMYFUNCTION("GOOGLETRANSLATE(A3722, ""ar"", ""bn"")"),"আঞ্চলিক কর্তৃপক্ষ")</f>
        <v>আঞ্চলিক কর্তৃপক্ষ</v>
      </c>
    </row>
    <row r="3723">
      <c r="A3723" s="2" t="s">
        <v>704</v>
      </c>
      <c r="B3723" s="3" t="str">
        <f>IFERROR(__xludf.DUMMYFUNCTION("GOOGLETRANSLATE(A3723, ""ar"", ""bn"")"),"গ্রেফতারের কর্তৃপক্ষ")</f>
        <v>গ্রেফতারের কর্তৃপক্ষ</v>
      </c>
    </row>
    <row r="3724">
      <c r="A3724" s="2" t="s">
        <v>1415</v>
      </c>
      <c r="B3724" s="3" t="str">
        <f>IFERROR(__xludf.DUMMYFUNCTION("GOOGLETRANSLATE(A3724, ""ar"", ""bn"")"),"সংখ্যাগরিষ্ঠ কর্তৃপক্ষ")</f>
        <v>সংখ্যাগরিষ্ঠ কর্তৃপক্ষ</v>
      </c>
    </row>
    <row r="3725">
      <c r="A3725" s="2" t="s">
        <v>1355</v>
      </c>
      <c r="B3725" s="3" t="str">
        <f>IFERROR(__xludf.DUMMYFUNCTION("GOOGLETRANSLATE(A3725, ""ar"", ""bn"")"),"আইন কর্তৃপক্ষ")</f>
        <v>আইন কর্তৃপক্ষ</v>
      </c>
    </row>
    <row r="3726">
      <c r="A3726" s="2" t="s">
        <v>2408</v>
      </c>
      <c r="B3726" s="3" t="str">
        <f>IFERROR(__xludf.DUMMYFUNCTION("GOOGLETRANSLATE(A3726, ""ar"", ""bn"")"),"সুপ্রিম আইন প্রণয়নকারী কর্তৃপক্ষ")</f>
        <v>সুপ্রিম আইন প্রণয়নকারী কর্তৃপক্ষ</v>
      </c>
    </row>
    <row r="3727">
      <c r="A3727" s="2" t="s">
        <v>914</v>
      </c>
      <c r="B3727" s="3" t="str">
        <f>IFERROR(__xludf.DUMMYFUNCTION("GOOGLETRANSLATE(A3727, ""ar"", ""bn"")"),"নির্বাহী কর্তৃপক্ষ")</f>
        <v>নির্বাহী কর্তৃপক্ষ</v>
      </c>
    </row>
    <row r="3728">
      <c r="A3728" s="2" t="s">
        <v>1061</v>
      </c>
      <c r="B3728" s="3" t="str">
        <f>IFERROR(__xludf.DUMMYFUNCTION("GOOGLETRANSLATE(A3728, ""ar"", ""bn"")"),"বিধান কর্তৃপক্ষ")</f>
        <v>বিধান কর্তৃপক্ষ</v>
      </c>
    </row>
    <row r="3729">
      <c r="A3729" s="2" t="s">
        <v>2325</v>
      </c>
      <c r="B3729" s="3" t="str">
        <f>IFERROR(__xludf.DUMMYFUNCTION("GOOGLETRANSLATE(A3729, ""ar"", ""bn"")"),"রাজ্য কর্তৃপক্ষ")</f>
        <v>রাজ্য কর্তৃপক্ষ</v>
      </c>
    </row>
    <row r="3730">
      <c r="A3730" s="2" t="s">
        <v>2333</v>
      </c>
      <c r="B3730" s="3" t="str">
        <f>IFERROR(__xludf.DUMMYFUNCTION("GOOGLETRANSLATE(A3730, ""ar"", ""bn"")"),"রাজ্যের সর্বময় কর্তা")</f>
        <v>রাজ্যের সর্বময় কর্তা</v>
      </c>
    </row>
    <row r="3731">
      <c r="A3731" s="2" t="s">
        <v>1329</v>
      </c>
      <c r="B3731" s="3" t="str">
        <f>IFERROR(__xludf.DUMMYFUNCTION("GOOGLETRANSLATE(A3731, ""ar"", ""bn"")"),"Mushar আহ শক্তি")</f>
        <v>Mushar আহ শক্তি</v>
      </c>
    </row>
    <row r="3732">
      <c r="A3732" s="2" t="s">
        <v>1040</v>
      </c>
      <c r="B3732" s="3" t="str">
        <f>IFERROR(__xludf.DUMMYFUNCTION("GOOGLETRANSLATE(A3732, ""ar"", ""bn"")"),"স্বেচ্ছামত কাজ করিবার অধিকার")</f>
        <v>স্বেচ্ছামত কাজ করিবার অধিকার</v>
      </c>
    </row>
    <row r="3733">
      <c r="A3733" s="2" t="s">
        <v>1713</v>
      </c>
      <c r="B3733" s="3" t="str">
        <f>IFERROR(__xludf.DUMMYFUNCTION("GOOGLETRANSLATE(A3733, ""ar"", ""bn"")"),"সেমিটিক কর্তৃপক্ষ")</f>
        <v>সেমিটিক কর্তৃপক্ষ</v>
      </c>
    </row>
    <row r="3734">
      <c r="A3734" s="2" t="s">
        <v>1876</v>
      </c>
      <c r="B3734" s="3" t="str">
        <f>IFERROR(__xludf.DUMMYFUNCTION("GOOGLETRANSLATE(A3734, ""ar"", ""bn"")"),"রাজনৈতিক ক্ষমতা")</f>
        <v>রাজনৈতিক ক্ষমতা</v>
      </c>
    </row>
    <row r="3735">
      <c r="A3735" s="2" t="s">
        <v>1154</v>
      </c>
      <c r="B3735" s="3" t="str">
        <f>IFERROR(__xludf.DUMMYFUNCTION("GOOGLETRANSLATE(A3735, ""ar"", ""bn"")"),"উহ্য কর্তৃপক্ষ")</f>
        <v>উহ্য কর্তৃপক্ষ</v>
      </c>
    </row>
    <row r="3736">
      <c r="A3736" s="2" t="s">
        <v>2694</v>
      </c>
      <c r="B3736" s="3" t="str">
        <f>IFERROR(__xludf.DUMMYFUNCTION("GOOGLETRANSLATE(A3736, ""ar"", ""bn"")"),"গ্লোবাল কর্তৃপক্ষ")</f>
        <v>গ্লোবাল কর্তৃপক্ষ</v>
      </c>
    </row>
    <row r="3737">
      <c r="A3737" s="2" t="s">
        <v>2034</v>
      </c>
      <c r="B3737" s="3" t="str">
        <f>IFERROR(__xludf.DUMMYFUNCTION("GOOGLETRANSLATE(A3737, ""ar"", ""bn"")"),"সরকারি কর্তৃপক্ষ")</f>
        <v>সরকারি কর্তৃপক্ষ</v>
      </c>
    </row>
    <row r="3738">
      <c r="A3738" s="2" t="s">
        <v>1465</v>
      </c>
      <c r="B3738" s="3" t="str">
        <f>IFERROR(__xludf.DUMMYFUNCTION("GOOGLETRANSLATE(A3738, ""ar"", ""bn"")"),"সেনাবাহিনী কর্তৃপক্ষ")</f>
        <v>সেনাবাহিনী কর্তৃপক্ষ</v>
      </c>
    </row>
    <row r="3739">
      <c r="A3739" s="2" t="s">
        <v>2409</v>
      </c>
      <c r="B3739" s="3" t="str">
        <f>IFERROR(__xludf.DUMMYFUNCTION("GOOGLETRANSLATE(A3739, ""ar"", ""bn"")"),"উচ্চ কর্তৃপক্ষ")</f>
        <v>উচ্চ কর্তৃপক্ষ</v>
      </c>
    </row>
    <row r="3740">
      <c r="A3740" s="2" t="s">
        <v>465</v>
      </c>
      <c r="B3740" s="3" t="str">
        <f>IFERROR(__xludf.DUMMYFUNCTION("GOOGLETRANSLATE(A3740, ""ar"", ""bn"")"),"দমনমূলক কর্তৃপক্ষ")</f>
        <v>দমনমূলক কর্তৃপক্ষ</v>
      </c>
    </row>
    <row r="3741">
      <c r="A3741" s="2" t="s">
        <v>1397</v>
      </c>
      <c r="B3741" s="3" t="str">
        <f>IFERROR(__xludf.DUMMYFUNCTION("GOOGLETRANSLATE(A3741, ""ar"", ""bn"")"),"কর্তৃপক্ষ প্রতিস্থাপন ইয়ে")</f>
        <v>কর্তৃপক্ষ প্রতিস্থাপন ইয়ে</v>
      </c>
    </row>
    <row r="3742">
      <c r="A3742" s="2" t="s">
        <v>405</v>
      </c>
      <c r="B3742" s="3" t="str">
        <f>IFERROR(__xludf.DUMMYFUNCTION("GOOGLETRANSLATE(A3742, ""ar"", ""bn"")"),"কেন্দ্রীয় কর্তৃপক্ষ")</f>
        <v>কেন্দ্রীয় কর্তৃপক্ষ</v>
      </c>
    </row>
    <row r="3743">
      <c r="A3743" s="2" t="s">
        <v>1304</v>
      </c>
      <c r="B3743" s="3" t="str">
        <f>IFERROR(__xludf.DUMMYFUNCTION("GOOGLETRANSLATE(A3743, ""ar"", ""bn"")"),"যুগ্ম কর্তৃপক্ষ")</f>
        <v>যুগ্ম কর্তৃপক্ষ</v>
      </c>
    </row>
    <row r="3744">
      <c r="A3744" s="2" t="s">
        <v>1776</v>
      </c>
      <c r="B3744" s="3" t="str">
        <f>IFERROR(__xludf.DUMMYFUNCTION("GOOGLETRANSLATE(A3744, ""ar"", ""bn"")"),"Mmtalegh কর্তৃপক্ষ")</f>
        <v>Mmtalegh কর্তৃপক্ষ</v>
      </c>
    </row>
    <row r="3745">
      <c r="A3745" s="2" t="s">
        <v>567</v>
      </c>
      <c r="B3745" s="3" t="str">
        <f>IFERROR(__xludf.DUMMYFUNCTION("GOOGLETRANSLATE(A3745, ""ar"", ""bn"")"),"কনস্যুলার কর্পস")</f>
        <v>কনস্যুলার কর্পস</v>
      </c>
    </row>
    <row r="3746">
      <c r="A3746" s="2" t="s">
        <v>2236</v>
      </c>
      <c r="B3746" s="3" t="str">
        <f>IFERROR(__xludf.DUMMYFUNCTION("GOOGLETRANSLATE(A3746, ""ar"", ""bn"")"),"সভ্যতার সেলস")</f>
        <v>সভ্যতার সেলস</v>
      </c>
    </row>
    <row r="3747">
      <c r="A3747" s="2" t="s">
        <v>1520</v>
      </c>
      <c r="B3747" s="3" t="str">
        <f>IFERROR(__xludf.DUMMYFUNCTION("GOOGLETRANSLATE(A3747, ""ar"", ""bn"")"),"আন্তর্জাতিক আইনের দরিদ্র আবেদন")</f>
        <v>আন্তর্জাতিক আইনের দরিদ্র আবেদন</v>
      </c>
    </row>
    <row r="3748">
      <c r="A3748" s="2" t="s">
        <v>1254</v>
      </c>
      <c r="B3748" s="3" t="str">
        <f>IFERROR(__xludf.DUMMYFUNCTION("GOOGLETRANSLATE(A3748, ""ar"", ""bn"")"),"খারাপ টন আন্তর্জাতিক বুঝতে")</f>
        <v>খারাপ টন আন্তর্জাতিক বুঝতে</v>
      </c>
    </row>
    <row r="3749">
      <c r="A3749" s="2" t="s">
        <v>2538</v>
      </c>
      <c r="B3749" s="3" t="str">
        <f>IFERROR(__xludf.DUMMYFUNCTION("GOOGLETRANSLATE(A3749, ""ar"", ""bn"")"),"শত্রুর miscalculation")</f>
        <v>শত্রুর miscalculation</v>
      </c>
    </row>
    <row r="3750">
      <c r="A3750" s="2" t="s">
        <v>1522</v>
      </c>
      <c r="B3750" s="3" t="str">
        <f>IFERROR(__xludf.DUMMYFUNCTION("GOOGLETRANSLATE(A3750, ""ar"", ""bn"")"),"আন্তর্জাতিক রাজনীতির ভুল বোঝাবুঝি")</f>
        <v>আন্তর্জাতিক রাজনীতির ভুল বোঝাবুঝি</v>
      </c>
    </row>
    <row r="3751">
      <c r="A3751" s="2" t="s">
        <v>2328</v>
      </c>
      <c r="B3751" s="3" t="str">
        <f>IFERROR(__xludf.DUMMYFUNCTION("GOOGLETRANSLATE(A3751, ""ar"", ""bn"")"),"রাষ্ট্র সার্বভৌমত্ব")</f>
        <v>রাষ্ট্র সার্বভৌমত্ব</v>
      </c>
    </row>
    <row r="3752">
      <c r="A3752" s="2" t="s">
        <v>1919</v>
      </c>
      <c r="B3752" s="3" t="str">
        <f>IFERROR(__xludf.DUMMYFUNCTION("GOOGLETRANSLATE(A3752, ""ar"", ""bn"")"),"জনপ্রিয় সার্বভৌমত্ব")</f>
        <v>জনপ্রিয় সার্বভৌমত্ব</v>
      </c>
    </row>
    <row r="3753">
      <c r="A3753" s="2" t="s">
        <v>2407</v>
      </c>
      <c r="B3753" s="3" t="str">
        <f>IFERROR(__xludf.DUMMYFUNCTION("GOOGLETRANSLATE(A3753, ""ar"", ""bn"")"),"আইন এর নিয়ম")</f>
        <v>আইন এর নিয়ম</v>
      </c>
    </row>
    <row r="3754">
      <c r="A3754" s="2" t="s">
        <v>2406</v>
      </c>
      <c r="B3754" s="3" t="str">
        <f>IFERROR(__xludf.DUMMYFUNCTION("GOOGLETRANSLATE(A3754, ""ar"", ""bn"")"),"আইন আন্তর্জাতিক রুল")</f>
        <v>আইন আন্তর্জাতিক রুল</v>
      </c>
    </row>
    <row r="3755">
      <c r="A3755" s="2" t="s">
        <v>1577</v>
      </c>
      <c r="B3755" s="3" t="str">
        <f>IFERROR(__xludf.DUMMYFUNCTION("GOOGLETRANSLATE(A3755, ""ar"", ""bn"")"),"জাতীয় সার্বভৌমত্ব")</f>
        <v>জাতীয় সার্বভৌমত্ব</v>
      </c>
    </row>
    <row r="3756">
      <c r="A3756" s="2" t="s">
        <v>1195</v>
      </c>
      <c r="B3756" s="3" t="str">
        <f>IFERROR(__xludf.DUMMYFUNCTION("GOOGLETRANSLATE(A3756, ""ar"", ""bn"")"),"অভ্যন্তরীণ সার্বভৌমত্বের")</f>
        <v>অভ্যন্তরীণ সার্বভৌমত্বের</v>
      </c>
    </row>
    <row r="3757">
      <c r="A3757" s="2" t="s">
        <v>1275</v>
      </c>
      <c r="B3757" s="3" t="str">
        <f>IFERROR(__xludf.DUMMYFUNCTION("GOOGLETRANSLATE(A3757, ""ar"", ""bn"")"),"আন্তর্জাতিক সার্বভৌমত্ব")</f>
        <v>আন্তর্জাতিক সার্বভৌমত্ব</v>
      </c>
    </row>
    <row r="3758">
      <c r="A3758" s="2" t="s">
        <v>2069</v>
      </c>
      <c r="B3758" s="3" t="str">
        <f>IFERROR(__xludf.DUMMYFUNCTION("GOOGLETRANSLATE(A3758, ""ar"", ""bn"")"),"প্রতিক্রিয়াশীল নীতি")</f>
        <v>প্রতিক্রিয়াশীল নীতি</v>
      </c>
    </row>
    <row r="3759">
      <c r="A3759" s="2" t="s">
        <v>1784</v>
      </c>
      <c r="B3759" s="3" t="str">
        <f>IFERROR(__xludf.DUMMYFUNCTION("GOOGLETRANSLATE(A3759, ""ar"", ""bn"")"),"নীতি")</f>
        <v>নীতি</v>
      </c>
    </row>
    <row r="3760">
      <c r="A3760" s="2" t="s">
        <v>932</v>
      </c>
      <c r="B3760" s="3" t="str">
        <f>IFERROR(__xludf.DUMMYFUNCTION("GOOGLETRANSLATE(A3760, ""ar"", ""bn"")"),"অনুসন্ধানমূলক নীতি")</f>
        <v>অনুসন্ধানমূলক নীতি</v>
      </c>
    </row>
    <row r="3761">
      <c r="A3761" s="2" t="s">
        <v>378</v>
      </c>
      <c r="B3761" s="3" t="str">
        <f>IFERROR(__xludf.DUMMYFUNCTION("GOOGLETRANSLATE(A3761, ""ar"", ""bn"")"),"Scorched Earth- এর নীতি")</f>
        <v>Scorched Earth- এর নীতি</v>
      </c>
    </row>
    <row r="3762">
      <c r="A3762" s="2" t="s">
        <v>1681</v>
      </c>
      <c r="B3762" s="3" t="str">
        <f>IFERROR(__xludf.DUMMYFUNCTION("GOOGLETRANSLATE(A3762, ""ar"", ""bn"")"),"খোলা দরজা নীতি")</f>
        <v>খোলা দরজা নীতি</v>
      </c>
    </row>
    <row r="3763">
      <c r="A3763" s="2" t="s">
        <v>2414</v>
      </c>
      <c r="B3763" s="3" t="str">
        <f>IFERROR(__xludf.DUMMYFUNCTION("GOOGLETRANSLATE(A3763, ""ar"", ""bn"")"),"স্টে নীতি")</f>
        <v>স্টে নীতি</v>
      </c>
    </row>
    <row r="3764">
      <c r="A3764" s="2" t="s">
        <v>305</v>
      </c>
      <c r="B3764" s="3" t="str">
        <f>IFERROR(__xludf.DUMMYFUNCTION("GOOGLETRANSLATE(A3764, ""ar"", ""bn"")"),"কঠোরতা নীতি")</f>
        <v>কঠোরতা নীতি</v>
      </c>
    </row>
    <row r="3765">
      <c r="A3765" s="2" t="s">
        <v>982</v>
      </c>
      <c r="B3765" s="3" t="str">
        <f>IFERROR(__xludf.DUMMYFUNCTION("GOOGLETRANSLATE(A3765, ""ar"", ""bn"")"),"ছদ্মবেশ নীতি")</f>
        <v>ছদ্মবেশ নীতি</v>
      </c>
    </row>
    <row r="3766">
      <c r="A3766" s="2" t="s">
        <v>1785</v>
      </c>
      <c r="B3766" s="3" t="str">
        <f>IFERROR(__xludf.DUMMYFUNCTION("GOOGLETRANSLATE(A3766, ""ar"", ""bn"")"),"তোষণ নীতি")</f>
        <v>তোষণ নীতি</v>
      </c>
    </row>
    <row r="3767">
      <c r="A3767" s="2" t="s">
        <v>2327</v>
      </c>
      <c r="B3767" s="3" t="str">
        <f>IFERROR(__xludf.DUMMYFUNCTION("GOOGLETRANSLATE(A3767, ""ar"", ""bn"")"),"রাজ্য পররাষ্ট্রনীতির")</f>
        <v>রাজ্য পররাষ্ট্রনীতির</v>
      </c>
    </row>
    <row r="3768">
      <c r="A3768" s="2" t="s">
        <v>1096</v>
      </c>
      <c r="B3768" s="3" t="str">
        <f>IFERROR(__xludf.DUMMYFUNCTION("GOOGLETRANSLATE(A3768, ""ar"", ""bn"")"),"গ্রেট ক্ষমতা নীতি")</f>
        <v>গ্রেট ক্ষমতা নীতি</v>
      </c>
    </row>
    <row r="3769">
      <c r="A3769" s="2" t="s">
        <v>2358</v>
      </c>
      <c r="B3769" s="3" t="str">
        <f>IFERROR(__xludf.DUMMYFUNCTION("GOOGLETRANSLATE(A3769, ""ar"", ""bn"")"),"দৃঢ়তার সাথে নীতি")</f>
        <v>দৃঢ়তার সাথে নীতি</v>
      </c>
    </row>
    <row r="3770">
      <c r="A3770" s="2" t="s">
        <v>2692</v>
      </c>
      <c r="B3770" s="3" t="str">
        <f>IFERROR(__xludf.DUMMYFUNCTION("GOOGLETRANSLATE(A3770, ""ar"", ""bn"")"),"বিশ্ব রাজনীতিতে")</f>
        <v>বিশ্ব রাজনীতিতে</v>
      </c>
    </row>
    <row r="3771">
      <c r="A3771" s="2" t="s">
        <v>2331</v>
      </c>
      <c r="B3771" s="3" t="str">
        <f>IFERROR(__xludf.DUMMYFUNCTION("GOOGLETRANSLATE(A3771, ""ar"", ""bn"")"),"রাষ্ট্রের সাধারণ নীতি")</f>
        <v>রাষ্ট্রের সাধারণ নীতি</v>
      </c>
    </row>
    <row r="3772">
      <c r="A3772" s="2" t="s">
        <v>1691</v>
      </c>
      <c r="B3772" s="3" t="str">
        <f>IFERROR(__xludf.DUMMYFUNCTION("GOOGLETRANSLATE(A3772, ""ar"", ""bn"")"),"বিরোধী দলীয় নীতি")</f>
        <v>বিরোধী দলীয় নীতি</v>
      </c>
    </row>
    <row r="3773">
      <c r="A3773" s="2" t="s">
        <v>538</v>
      </c>
      <c r="B3773" s="3" t="str">
        <f>IFERROR(__xludf.DUMMYFUNCTION("GOOGLETRANSLATE(A3773, ""ar"", ""bn"")"),"সংঘর্ষের একটি নীতি")</f>
        <v>সংঘর্ষের একটি নীতি</v>
      </c>
    </row>
    <row r="3774">
      <c r="A3774" s="2" t="s">
        <v>1404</v>
      </c>
      <c r="B3774" s="3" t="str">
        <f>IFERROR(__xludf.DUMMYFUNCTION("GOOGLETRANSLATE(A3774, ""ar"", ""bn"")"),"দীর্ঘমেয়াদী নীতি")</f>
        <v>দীর্ঘমেয়াদী নীতি</v>
      </c>
    </row>
    <row r="3775">
      <c r="A3775" s="2" t="s">
        <v>1786</v>
      </c>
      <c r="B3775" s="3" t="str">
        <f>IFERROR(__xludf.DUMMYFUNCTION("GOOGLETRANSLATE(A3775, ""ar"", ""bn"")"),"নীতি এইচ-বয়স আশপাশ")</f>
        <v>নীতি এইচ-বয়স আশপাশ</v>
      </c>
    </row>
    <row r="3776">
      <c r="A3776" s="2" t="s">
        <v>2668</v>
      </c>
      <c r="B3776" s="3" t="str">
        <f>IFERROR(__xludf.DUMMYFUNCTION("GOOGLETRANSLATE(A3776, ""ar"", ""bn"")"),"বিজ্ঞ নীতি")</f>
        <v>বিজ্ঞ নীতি</v>
      </c>
    </row>
    <row r="3777">
      <c r="A3777" s="2" t="s">
        <v>1733</v>
      </c>
      <c r="B3777" s="3" t="str">
        <f>IFERROR(__xludf.DUMMYFUNCTION("GOOGLETRANSLATE(A3777, ""ar"", ""bn"")"),"নেতিবাচক নীতি")</f>
        <v>নেতিবাচক নীতি</v>
      </c>
    </row>
    <row r="3778">
      <c r="A3778" s="2" t="s">
        <v>1622</v>
      </c>
      <c r="B3778" s="3" t="str">
        <f>IFERROR(__xludf.DUMMYFUNCTION("GOOGLETRANSLATE(A3778, ""ar"", ""bn"")"),"ডি কঠোর না নীতি")</f>
        <v>ডি কঠোর না নীতি</v>
      </c>
    </row>
    <row r="3779">
      <c r="A3779" s="2" t="s">
        <v>507</v>
      </c>
      <c r="B3779" s="3" t="str">
        <f>IFERROR(__xludf.DUMMYFUNCTION("GOOGLETRANSLATE(A3779, ""ar"", ""bn"")"),"Dah নীতি মিলেছে")</f>
        <v>Dah নীতি মিলেছে</v>
      </c>
    </row>
    <row r="3780">
      <c r="A3780" s="2" t="s">
        <v>1610</v>
      </c>
      <c r="B3780" s="3" t="str">
        <f>IFERROR(__xludf.DUMMYFUNCTION("GOOGLETRANSLATE(A3780, ""ar"", ""bn"")"),"নিরপেক্ষ নীতি")</f>
        <v>নিরপেক্ষ নীতি</v>
      </c>
    </row>
    <row r="3781">
      <c r="A3781" s="2" t="s">
        <v>2109</v>
      </c>
      <c r="B3781" s="3" t="str">
        <f>IFERROR(__xludf.DUMMYFUNCTION("GOOGLETRANSLATE(A3781, ""ar"", ""bn"")"),"ইয়ে নীতি প্রতিস্থাপিত")</f>
        <v>ইয়ে নীতি প্রতিস্থাপিত</v>
      </c>
    </row>
    <row r="3782">
      <c r="A3782" s="2" t="s">
        <v>1526</v>
      </c>
      <c r="B3782" s="3" t="str">
        <f>IFERROR(__xludf.DUMMYFUNCTION("GOOGLETRANSLATE(A3782, ""ar"", ""bn"")"),"মডারেট নীতি")</f>
        <v>মডারেট নীতি</v>
      </c>
    </row>
    <row r="3783">
      <c r="A3783" s="2" t="s">
        <v>1908</v>
      </c>
      <c r="B3783" s="3" t="str">
        <f>IFERROR(__xludf.DUMMYFUNCTION("GOOGLETRANSLATE(A3783, ""ar"", ""bn"")"),"অভিজ্ঞ রাজনীতিবিদ")</f>
        <v>অভিজ্ঞ রাজনীতিবিদ</v>
      </c>
    </row>
    <row r="3784">
      <c r="A3784" s="2" t="s">
        <v>2206</v>
      </c>
      <c r="B3784" s="3" t="str">
        <f>IFERROR(__xludf.DUMMYFUNCTION("GOOGLETRANSLATE(A3784, ""ar"", ""bn"")"),"ডানপন্থী রাজনীতিক")</f>
        <v>ডানপন্থী রাজনীতিক</v>
      </c>
    </row>
    <row r="3785">
      <c r="A3785" s="2" t="s">
        <v>922</v>
      </c>
      <c r="B3785" s="3" t="str">
        <f>IFERROR(__xludf.DUMMYFUNCTION("GOOGLETRANSLATE(A3785, ""ar"", ""bn"")"),"অকপট রাজনৈতিক")</f>
        <v>অকপট রাজনৈতিক</v>
      </c>
    </row>
    <row r="3786">
      <c r="A3786" s="2" t="s">
        <v>1124</v>
      </c>
      <c r="B3786" s="3" t="str">
        <f>IFERROR(__xludf.DUMMYFUNCTION("GOOGLETRANSLATE(A3786, ""ar"", ""bn"")"),"প্রতিকূল রাজনৈতিক")</f>
        <v>প্রতিকূল রাজনৈতিক</v>
      </c>
    </row>
    <row r="3787">
      <c r="A3787" s="2" t="s">
        <v>819</v>
      </c>
      <c r="B3787" s="3" t="str">
        <f>IFERROR(__xludf.DUMMYFUNCTION("GOOGLETRANSLATE(A3787, ""ar"", ""bn"")"),"নিয়ন্ত্রণ")</f>
        <v>নিয়ন্ত্রণ</v>
      </c>
    </row>
    <row r="3788">
      <c r="A3788" s="2" t="s">
        <v>1000</v>
      </c>
      <c r="B3788" s="3" t="str">
        <f>IFERROR(__xludf.DUMMYFUNCTION("GOOGLETRANSLATE(A3788, ""ar"", ""bn"")"),"পররাষ্ট্র আধিপত্য")</f>
        <v>পররাষ্ট্র আধিপত্য</v>
      </c>
    </row>
    <row r="3789">
      <c r="A3789" s="2" t="s">
        <v>1149</v>
      </c>
      <c r="B3789" s="3" t="str">
        <f>IFERROR(__xludf.DUMMYFUNCTION("GOOGLETRANSLATE(A3789, ""ar"", ""bn"")"),"ঔপনিবেশিক আধিপত্য")</f>
        <v>ঔপনিবেশিক আধিপত্য</v>
      </c>
    </row>
    <row r="3790">
      <c r="A3790" s="2" t="s">
        <v>2396</v>
      </c>
      <c r="B3790" s="3" t="str">
        <f>IFERROR(__xludf.DUMMYFUNCTION("GOOGLETRANSLATE(A3790, ""ar"", ""bn"")"),"মেরু দেশের কন্ট্রোল")</f>
        <v>মেরু দেশের কন্ট্রোল</v>
      </c>
    </row>
    <row r="3791">
      <c r="A3791" s="2" t="s">
        <v>1790</v>
      </c>
      <c r="B3791" s="3" t="str">
        <f>IFERROR(__xludf.DUMMYFUNCTION("GOOGLETRANSLATE(A3791, ""ar"", ""bn"")"),"রাজনৈতিক নিয়ন্ত্রণ")</f>
        <v>রাজনৈতিক নিয়ন্ত্রণ</v>
      </c>
    </row>
    <row r="3792">
      <c r="A3792" s="2" t="s">
        <v>2427</v>
      </c>
      <c r="B3792" s="3" t="str">
        <f>IFERROR(__xludf.DUMMYFUNCTION("GOOGLETRANSLATE(A3792, ""ar"", ""bn"")"),"সাইফ বিচারপতি")</f>
        <v>সাইফ বিচারপতি</v>
      </c>
    </row>
    <row r="3793">
      <c r="A3793" s="2" t="s">
        <v>1197</v>
      </c>
      <c r="B3793" s="3" t="str">
        <f>IFERROR(__xludf.DUMMYFUNCTION("GOOGLETRANSLATE(A3793, ""ar"", ""bn"")"),"আন্তর্জাতিক বিষয়াবলি")</f>
        <v>আন্তর্জাতিক বিষয়াবলি</v>
      </c>
    </row>
    <row r="3794">
      <c r="A3794" s="2" t="s">
        <v>1067</v>
      </c>
      <c r="B3794" s="3" t="str">
        <f>IFERROR(__xludf.DUMMYFUNCTION("GOOGLETRANSLATE(A3794, ""ar"", ""bn"")"),"একটি সরকার দেখুন")</f>
        <v>একটি সরকার দেখুন</v>
      </c>
    </row>
    <row r="3795">
      <c r="A3795" s="2" t="s">
        <v>2643</v>
      </c>
      <c r="B3795" s="3" t="str">
        <f>IFERROR(__xludf.DUMMYFUNCTION("GOOGLETRANSLATE(A3795, ""ar"", ""bn"")"),"যুদ্ধ দেখুন")</f>
        <v>যুদ্ধ দেখুন</v>
      </c>
    </row>
    <row r="3796">
      <c r="A3796" s="2" t="s">
        <v>2279</v>
      </c>
      <c r="B3796" s="3" t="str">
        <f>IFERROR(__xludf.DUMMYFUNCTION("GOOGLETRANSLATE(A3796, ""ar"", ""bn"")"),"যুদ্ধের ভূত")</f>
        <v>যুদ্ধের ভূত</v>
      </c>
    </row>
    <row r="3797">
      <c r="A3797" s="2" t="s">
        <v>1243</v>
      </c>
      <c r="B3797" s="3" t="str">
        <f>IFERROR(__xludf.DUMMYFUNCTION("GOOGLETRANSLATE(A3797, ""ar"", ""bn"")"),"আন্তর্জাতিক নেটওয়ার্ক ইন্টেলিজেন্স")</f>
        <v>আন্তর্জাতিক নেটওয়ার্ক ইন্টেলিজেন্স</v>
      </c>
    </row>
    <row r="3798">
      <c r="A3798" s="2" t="s">
        <v>834</v>
      </c>
      <c r="B3798" s="3" t="str">
        <f>IFERROR(__xludf.DUMMYFUNCTION("GOOGLETRANSLATE(A3798, ""ar"", ""bn"")"),"যিনি প্রার্থী সুবিধার জন্য কাজ করে")</f>
        <v>যিনি প্রার্থী সুবিধার জন্য কাজ করে</v>
      </c>
    </row>
    <row r="3799">
      <c r="A3799" s="2" t="s">
        <v>835</v>
      </c>
      <c r="B3799" s="3" t="str">
        <f>IFERROR(__xludf.DUMMYFUNCTION("GOOGLETRANSLATE(A3799, ""ar"", ""bn"")"),"নির্বাচন")</f>
        <v>নির্বাচন</v>
      </c>
    </row>
    <row r="3800">
      <c r="A3800" s="2" t="s">
        <v>2006</v>
      </c>
      <c r="B3800" s="3" t="str">
        <f>IFERROR(__xludf.DUMMYFUNCTION("GOOGLETRANSLATE(A3800, ""ar"", ""bn"")"),"বিশিষ্ট কূটনৈতিক ব্যক্তিত্ব")</f>
        <v>বিশিষ্ট কূটনৈতিক ব্যক্তিত্ব</v>
      </c>
    </row>
    <row r="3801">
      <c r="A3801" s="2" t="s">
        <v>864</v>
      </c>
      <c r="B3801" s="3" t="str">
        <f>IFERROR(__xludf.DUMMYFUNCTION("GOOGLETRANSLATE(A3801, ""ar"", ""bn"")"),"বিশিষ্ট রাজনৈতিক ব্যক্তিত্ব")</f>
        <v>বিশিষ্ট রাজনৈতিক ব্যক্তিত্ব</v>
      </c>
    </row>
    <row r="3802">
      <c r="A3802" s="2" t="s">
        <v>1259</v>
      </c>
      <c r="B3802" s="3" t="str">
        <f>IFERROR(__xludf.DUMMYFUNCTION("GOOGLETRANSLATE(A3802, ""ar"", ""bn"")"),"আন্তর্জাতিক পুলিশ")</f>
        <v>আন্তর্জাতিক পুলিশ</v>
      </c>
    </row>
    <row r="3803">
      <c r="A3803" s="2" t="s">
        <v>1464</v>
      </c>
      <c r="B3803" s="3" t="str">
        <f>IFERROR(__xludf.DUMMYFUNCTION("GOOGLETRANSLATE(A3803, ""ar"", ""bn"")"),"সামরিক পুলিশ")</f>
        <v>সামরিক পুলিশ</v>
      </c>
    </row>
    <row r="3804">
      <c r="A3804" s="2" t="s">
        <v>1356</v>
      </c>
      <c r="B3804" s="3" t="str">
        <f>IFERROR(__xludf.DUMMYFUNCTION("GOOGLETRANSLATE(A3804, ""ar"", ""bn"")"),"আন্তর্জাতিক আইনের বৈধতা")</f>
        <v>আন্তর্জাতিক আইনের বৈধতা</v>
      </c>
    </row>
    <row r="3805">
      <c r="A3805" s="2" t="s">
        <v>1251</v>
      </c>
      <c r="B3805" s="3" t="str">
        <f>IFERROR(__xludf.DUMMYFUNCTION("GOOGLETRANSLATE(A3805, ""ar"", ""bn"")"),"আন্তর্জাতিক বৈধতা")</f>
        <v>আন্তর্জাতিক বৈধতা</v>
      </c>
    </row>
    <row r="3806">
      <c r="A3806" s="2" t="s">
        <v>1589</v>
      </c>
      <c r="B3806" s="3" t="str">
        <f>IFERROR(__xludf.DUMMYFUNCTION("GOOGLETRANSLATE(A3806, ""ar"", ""bn"")"),"পূর্ব কাছাকাছি")</f>
        <v>পূর্ব কাছাকাছি</v>
      </c>
    </row>
    <row r="3807">
      <c r="A3807" s="2" t="s">
        <v>1453</v>
      </c>
      <c r="B3807" s="3" t="str">
        <f>IFERROR(__xludf.DUMMYFUNCTION("GOOGLETRANSLATE(A3807, ""ar"", ""bn"")"),"মধ্যপ্রাচ্য")</f>
        <v>মধ্যপ্রাচ্য</v>
      </c>
    </row>
    <row r="3808">
      <c r="A3808" s="2" t="s">
        <v>1080</v>
      </c>
      <c r="B3808" s="3" t="str">
        <f>IFERROR(__xludf.DUMMYFUNCTION("GOOGLETRANSLATE(A3808, ""ar"", ""bn"")"),"বৃহত্তর মধ্যপ্রাচ্যে")</f>
        <v>বৃহত্তর মধ্যপ্রাচ্যে</v>
      </c>
    </row>
    <row r="3809">
      <c r="A3809" s="2" t="s">
        <v>2648</v>
      </c>
      <c r="B3809" s="3" t="str">
        <f>IFERROR(__xludf.DUMMYFUNCTION("GOOGLETRANSLATE(A3809, ""ar"", ""bn"")"),"যুদ্ধের খারাপ")</f>
        <v>যুদ্ধের খারাপ</v>
      </c>
    </row>
    <row r="3810">
      <c r="A3810" s="2" t="s">
        <v>1316</v>
      </c>
      <c r="B3810" s="3" t="str">
        <f>IFERROR(__xludf.DUMMYFUNCTION("GOOGLETRANSLATE(A3810, ""ar"", ""bn"")"),"জঙ্গল আইন")</f>
        <v>জঙ্গল আইন</v>
      </c>
    </row>
    <row r="3811">
      <c r="A3811" s="2" t="s">
        <v>1924</v>
      </c>
      <c r="B3811" s="3" t="str">
        <f>IFERROR(__xludf.DUMMYFUNCTION("GOOGLETRANSLATE(A3811, ""ar"", ""bn"")"),"অথবা যে মানুষ রাজধানী চাইতে")</f>
        <v>অথবা যে মানুষ রাজধানী চাইতে</v>
      </c>
    </row>
    <row r="3812">
      <c r="A3812" s="2" t="s">
        <v>1923</v>
      </c>
      <c r="B3812" s="3" t="str">
        <f>IFERROR(__xludf.DUMMYFUNCTION("GOOGLETRANSLATE(A3812, ""ar"", ""bn"")"),"উপনিবেশ মানুষদের")</f>
        <v>উপনিবেশ মানুষদের</v>
      </c>
    </row>
    <row r="3813">
      <c r="A3813" s="2" t="s">
        <v>1921</v>
      </c>
      <c r="B3813" s="3" t="str">
        <f>IFERROR(__xludf.DUMMYFUNCTION("GOOGLETRANSLATE(A3813, ""ar"", ""bn"")"),"অথবা মানুষের চেষ্টা")</f>
        <v>অথবা মানুষের চেষ্টা</v>
      </c>
    </row>
    <row r="3814">
      <c r="A3814" s="2" t="s">
        <v>1696</v>
      </c>
      <c r="B3814" s="3" t="str">
        <f>IFERROR(__xludf.DUMMYFUNCTION("GOOGLETRANSLATE(A3814, ""ar"", ""bn"")"),"অত্যাচারিত মানুষদের")</f>
        <v>অত্যাচারিত মানুষদের</v>
      </c>
    </row>
    <row r="3815">
      <c r="A3815" s="2" t="s">
        <v>2586</v>
      </c>
      <c r="B3815" s="3" t="str">
        <f>IFERROR(__xludf.DUMMYFUNCTION("GOOGLETRANSLATE(A3815, ""ar"", ""bn"")"),"পিপলস Qhorh")</f>
        <v>পিপলস Qhorh</v>
      </c>
    </row>
    <row r="3816">
      <c r="A3816" s="2" t="s">
        <v>1903</v>
      </c>
      <c r="B3816" s="3" t="str">
        <f>IFERROR(__xludf.DUMMYFUNCTION("GOOGLETRANSLATE(A3816, ""ar"", ""bn"")"),"রাজনৈতিক দাঙ্গা")</f>
        <v>রাজনৈতিক দাঙ্গা</v>
      </c>
    </row>
    <row r="3817">
      <c r="A3817" s="2" t="s">
        <v>2035</v>
      </c>
      <c r="B3817" s="3" t="str">
        <f>IFERROR(__xludf.DUMMYFUNCTION("GOOGLETRANSLATE(A3817, ""ar"", ""bn"")"),"দাঙ্গা")</f>
        <v>দাঙ্গা</v>
      </c>
    </row>
    <row r="3818">
      <c r="A3818" s="2" t="s">
        <v>2493</v>
      </c>
      <c r="B3818" s="3" t="str">
        <f>IFERROR(__xludf.DUMMYFUNCTION("GOOGLETRANSLATE(A3818, ""ar"", ""bn"")"),"রাষ্ট্র নীতির ট্রান্সপারেন্সি")</f>
        <v>রাষ্ট্র নীতির ট্রান্সপারেন্সি</v>
      </c>
    </row>
    <row r="3819">
      <c r="A3819" s="2" t="s">
        <v>2337</v>
      </c>
      <c r="B3819" s="3" t="str">
        <f>IFERROR(__xludf.DUMMYFUNCTION("GOOGLETRANSLATE(A3819, ""ar"", ""bn"")"),"রাজ্য অভিযোগ")</f>
        <v>রাজ্য অভিযোগ</v>
      </c>
    </row>
    <row r="3820">
      <c r="A3820" s="2" t="s">
        <v>1015</v>
      </c>
      <c r="B3820" s="3" t="str">
        <f>IFERROR(__xludf.DUMMYFUNCTION("GOOGLETRANSLATE(A3820, ""ar"", ""bn"")"),"রাজ্য ফর্ম")</f>
        <v>রাজ্য ফর্ম</v>
      </c>
    </row>
    <row r="3821">
      <c r="A3821" s="2" t="s">
        <v>711</v>
      </c>
      <c r="B3821" s="3" t="str">
        <f>IFERROR(__xludf.DUMMYFUNCTION("GOOGLETRANSLATE(A3821, ""ar"", ""bn"")"),"স্বেচ্ছাচারি আকারে")</f>
        <v>স্বেচ্ছাচারি আকারে</v>
      </c>
    </row>
    <row r="3822">
      <c r="A3822" s="2" t="s">
        <v>1652</v>
      </c>
      <c r="B3822" s="3" t="str">
        <f>IFERROR(__xludf.DUMMYFUNCTION("GOOGLETRANSLATE(A3822, ""ar"", ""bn"")"),"প্রত্যক্ষদর্শীর সাক্ষ্য")</f>
        <v>প্রত্যক্ষদর্শীর সাক্ষ্য</v>
      </c>
    </row>
    <row r="3823">
      <c r="A3823" s="2" t="s">
        <v>2781</v>
      </c>
      <c r="B3823" s="3" t="str">
        <f>IFERROR(__xludf.DUMMYFUNCTION("GOOGLETRANSLATE(A3823, ""ar"", ""bn"")"),"শুনানি উপর ভিত্তি করে সার্টিফিকেট")</f>
        <v>শুনানি উপর ভিত্তি করে সার্টিফিকেট</v>
      </c>
    </row>
    <row r="3824">
      <c r="A3824" s="2" t="s">
        <v>1431</v>
      </c>
      <c r="B3824" s="3" t="str">
        <f>IFERROR(__xludf.DUMMYFUNCTION("GOOGLETRANSLATE(A3824, ""ar"", ""bn"")"),"শহীদ")</f>
        <v>শহীদ</v>
      </c>
    </row>
    <row r="3825">
      <c r="A3825" s="2" t="s">
        <v>493</v>
      </c>
      <c r="B3825" s="3" t="str">
        <f>IFERROR(__xludf.DUMMYFUNCTION("GOOGLETRANSLATE(A3825, ""ar"", ""bn"")"),"সাম্যবাদী")</f>
        <v>সাম্যবাদী</v>
      </c>
    </row>
    <row r="3826">
      <c r="A3826" s="2" t="s">
        <v>492</v>
      </c>
      <c r="B3826" s="3" t="str">
        <f>IFERROR(__xludf.DUMMYFUNCTION("GOOGLETRANSLATE(A3826, ""ar"", ""bn"")"),"সাম্যবাদ")</f>
        <v>সাম্যবাদ</v>
      </c>
    </row>
    <row r="3827">
      <c r="A3827" s="2" t="s">
        <v>2210</v>
      </c>
      <c r="B3827" s="3" t="str">
        <f>IFERROR(__xludf.DUMMYFUNCTION("GOOGLETRANSLATE(A3827, ""ar"", ""bn"")"),"রকেট")</f>
        <v>রকেট</v>
      </c>
    </row>
    <row r="3828">
      <c r="A3828" s="2" t="s">
        <v>2036</v>
      </c>
      <c r="B3828" s="3" t="str">
        <f>IFERROR(__xludf.DUMMYFUNCTION("GOOGLETRANSLATE(A3828, ""ar"", ""bn"")"),"জন ভাল")</f>
        <v>জন ভাল</v>
      </c>
    </row>
    <row r="3829">
      <c r="A3829" s="2" t="s">
        <v>1315</v>
      </c>
      <c r="B3829" s="3" t="str">
        <f>IFERROR(__xludf.DUMMYFUNCTION("GOOGLETRANSLATE(A3829, ""ar"", ""bn"")"),"সাংবাদিক")</f>
        <v>সাংবাদিক</v>
      </c>
    </row>
    <row r="3830">
      <c r="A3830" s="2" t="s">
        <v>163</v>
      </c>
      <c r="B3830" s="3" t="str">
        <f>IFERROR(__xludf.DUMMYFUNCTION("GOOGLETRANSLATE(A3830, ""ar"", ""bn"")"),"Mmatmd খবর")</f>
        <v>Mmatmd খবর</v>
      </c>
    </row>
    <row r="3831">
      <c r="A3831" s="2" t="s">
        <v>358</v>
      </c>
      <c r="B3831" s="3" t="str">
        <f>IFERROR(__xludf.DUMMYFUNCTION("GOOGLETRANSLATE(A3831, ""ar"", ""bn"")"),"পি Damat সীমান্ত")</f>
        <v>পি Damat সীমান্ত</v>
      </c>
    </row>
    <row r="3832">
      <c r="A3832" s="2" t="s">
        <v>1272</v>
      </c>
      <c r="B3832" s="3" t="str">
        <f>IFERROR(__xludf.DUMMYFUNCTION("GOOGLETRANSLATE(A3832, ""ar"", ""bn"")"),"গ্লোবাল শক")</f>
        <v>গ্লোবাল শক</v>
      </c>
    </row>
    <row r="3833">
      <c r="A3833" s="2" t="s">
        <v>1051</v>
      </c>
      <c r="B3833" s="3" t="str">
        <f>IFERROR(__xludf.DUMMYFUNCTION("GOOGLETRANSLATE(A3833, ""ar"", ""bn"")"),"উত্পাদনশীল দ্বন্দ্ব")</f>
        <v>উত্পাদনশীল দ্বন্দ্ব</v>
      </c>
    </row>
    <row r="3834">
      <c r="A3834" s="2" t="s">
        <v>438</v>
      </c>
      <c r="B3834" s="3" t="str">
        <f>IFERROR(__xludf.DUMMYFUNCTION("GOOGLETRANSLATE(A3834, ""ar"", ""bn"")"),"নাগরিকত্ত অবস্থা")</f>
        <v>নাগরিকত্ত অবস্থা</v>
      </c>
    </row>
    <row r="3835">
      <c r="A3835" s="2" t="s">
        <v>2782</v>
      </c>
      <c r="B3835" s="3" t="str">
        <f>IFERROR(__xludf.DUMMYFUNCTION("GOOGLETRANSLATE(A3835, ""ar"", ""bn"")"),"রাজনৈতিক আলোচনার জন্য বিশ্বব্যাপী রেসিপি")</f>
        <v>রাজনৈতিক আলোচনার জন্য বিশ্বব্যাপী রেসিপি</v>
      </c>
    </row>
    <row r="3836">
      <c r="A3836" s="2" t="s">
        <v>2783</v>
      </c>
      <c r="B3836" s="3" t="str">
        <f>IFERROR(__xludf.DUMMYFUNCTION("GOOGLETRANSLATE(A3836, ""ar"", ""bn"")"),"কূটনৈতিক আলোচনার জন্য বিশ্বব্যাপী রেসিপি")</f>
        <v>কূটনৈতিক আলোচনার জন্য বিশ্বব্যাপী রেসিপি</v>
      </c>
    </row>
    <row r="3837">
      <c r="A3837" s="2" t="s">
        <v>614</v>
      </c>
      <c r="B3837" s="3" t="str">
        <f>IFERROR(__xludf.DUMMYFUNCTION("GOOGLETRANSLATE(A3837, ""ar"", ""bn"")"),"নেশনস লীগের যন্ত্র")</f>
        <v>নেশনস লীগের যন্ত্র</v>
      </c>
    </row>
    <row r="3838">
      <c r="A3838" s="2" t="s">
        <v>728</v>
      </c>
      <c r="B3838" s="3" t="str">
        <f>IFERROR(__xludf.DUMMYFUNCTION("GOOGLETRANSLATE(A3838, ""ar"", ""bn"")"),"আর কূটনৈতিক লাট")</f>
        <v>আর কূটনৈতিক লাট</v>
      </c>
    </row>
    <row r="3839">
      <c r="A3839" s="2" t="s">
        <v>539</v>
      </c>
      <c r="B3839" s="3" t="str">
        <f>IFERROR(__xludf.DUMMYFUNCTION("GOOGLETRANSLATE(A3839, ""ar"", ""bn"")"),"আইন এবং কাস্টম মধ্যে সংযোগ")</f>
        <v>আইন এবং কাস্টম মধ্যে সংযোগ</v>
      </c>
    </row>
    <row r="3840">
      <c r="A3840" s="2" t="s">
        <v>1740</v>
      </c>
      <c r="B3840" s="3" t="str">
        <f>IFERROR(__xludf.DUMMYFUNCTION("GOOGLETRANSLATE(A3840, ""ar"", ""bn"")"),"এম সূর্যের শান্তি খাতের")</f>
        <v>এম সূর্যের শান্তি খাতের</v>
      </c>
    </row>
    <row r="3841">
      <c r="A3841" s="2" t="s">
        <v>331</v>
      </c>
      <c r="B3841" s="3" t="str">
        <f>IFERROR(__xludf.DUMMYFUNCTION("GOOGLETRANSLATE(A3841, ""ar"", ""bn"")"),"ভোটগ্রহণ")</f>
        <v>ভোটগ্রহণ</v>
      </c>
    </row>
    <row r="3842">
      <c r="A3842" s="2" t="s">
        <v>2784</v>
      </c>
      <c r="B3842" s="3" t="str">
        <f>IFERROR(__xludf.DUMMYFUNCTION("GOOGLETRANSLATE(A3842, ""ar"", ""bn"")"),"জাতিসংঘের শিশু তহবিল")</f>
        <v>জাতিসংঘের শিশু তহবিল</v>
      </c>
    </row>
    <row r="3843">
      <c r="A3843" s="2" t="s">
        <v>2561</v>
      </c>
      <c r="B3843" s="3" t="str">
        <f>IFERROR(__xludf.DUMMYFUNCTION("GOOGLETRANSLATE(A3843, ""ar"", ""bn"")"),"জাতিসংঘ উন্নয়ন তহবিলের")</f>
        <v>জাতিসংঘ উন্নয়ন তহবিলের</v>
      </c>
    </row>
    <row r="3844">
      <c r="A3844" s="2" t="s">
        <v>2233</v>
      </c>
      <c r="B3844" s="3" t="str">
        <f>IFERROR(__xludf.DUMMYFUNCTION("GOOGLETRANSLATE(A3844, ""ar"", ""bn"")"),"শিল্প")</f>
        <v>শিল্প</v>
      </c>
    </row>
    <row r="3845">
      <c r="A3845" s="2" t="s">
        <v>2707</v>
      </c>
      <c r="B3845" s="3" t="str">
        <f>IFERROR(__xludf.DUMMYFUNCTION("GOOGLETRANSLATE(A3845, ""ar"", ""bn"")"),"ইহুদিবাদের")</f>
        <v>ইহুদিবাদের</v>
      </c>
    </row>
    <row r="3846">
      <c r="A3846" s="2" t="s">
        <v>796</v>
      </c>
      <c r="B3846" s="3" t="str">
        <f>IFERROR(__xludf.DUMMYFUNCTION("GOOGLETRANSLATE(A3846, ""ar"", ""bn"")"),"নির্বাচনের বিপরীত রবে")</f>
        <v>নির্বাচনের বিপরীত রবে</v>
      </c>
    </row>
    <row r="3847">
      <c r="A3847" s="2" t="s">
        <v>1943</v>
      </c>
      <c r="B3847" s="3" t="str">
        <f>IFERROR(__xludf.DUMMYFUNCTION("GOOGLETRANSLATE(A3847, ""ar"", ""bn"")"),"সাউন্ড নির্বাচন তৃণভূমি জ")</f>
        <v>সাউন্ড নির্বাচন তৃণভূমি জ</v>
      </c>
    </row>
    <row r="3848">
      <c r="A3848" s="2" t="s">
        <v>1023</v>
      </c>
      <c r="B3848" s="3" t="str">
        <f>IFERROR(__xludf.DUMMYFUNCTION("GOOGLETRANSLATE(A3848, ""ar"", ""bn"")"),"রাজনৈতিক সিদ্ধান্তের সূত্র")</f>
        <v>রাজনৈতিক সিদ্ধান্তের সূত্র</v>
      </c>
    </row>
    <row r="3849">
      <c r="A3849" s="2" t="s">
        <v>1362</v>
      </c>
      <c r="B3849" s="3" t="str">
        <f>IFERROR(__xludf.DUMMYFUNCTION("GOOGLETRANSLATE(A3849, ""ar"", ""bn"")"),"সংযোগাধিকারিক")</f>
        <v>সংযোগাধিকারিক</v>
      </c>
    </row>
    <row r="3850">
      <c r="A3850" s="2" t="s">
        <v>582</v>
      </c>
      <c r="B3850" s="3" t="str">
        <f>IFERROR(__xludf.DUMMYFUNCTION("GOOGLETRANSLATE(A3850, ""ar"", ""bn"")"),"রাজ্যের মধ্যে সীমারেখা সামঞ্জস্যবিধান")</f>
        <v>রাজ্যের মধ্যে সীমারেখা সামঞ্জস্যবিধান</v>
      </c>
    </row>
    <row r="3851">
      <c r="A3851" s="2" t="s">
        <v>155</v>
      </c>
      <c r="B3851" s="3" t="str">
        <f>IFERROR(__xludf.DUMMYFUNCTION("GOOGLETRANSLATE(A3851, ""ar"", ""bn"")"),"নির্যাতনের শিকার")</f>
        <v>নির্যাতনের শিকার</v>
      </c>
    </row>
    <row r="3852">
      <c r="A3852" s="2" t="s">
        <v>2603</v>
      </c>
      <c r="B3852" s="3" t="str">
        <f>IFERROR(__xludf.DUMMYFUNCTION("GOOGLETRANSLATE(A3852, ""ar"", ""bn"")"),"নির্যাতনের শিকার")</f>
        <v>নির্যাতনের শিকার</v>
      </c>
    </row>
    <row r="3853">
      <c r="A3853" s="2" t="s">
        <v>2785</v>
      </c>
      <c r="B3853" s="3" t="str">
        <f>IFERROR(__xludf.DUMMYFUNCTION("GOOGLETRANSLATE(A3853, ""ar"", ""bn"")"),"জাতিগত বৈষম্য ঞ শিকার")</f>
        <v>জাতিগত বৈষম্য ঞ শিকার</v>
      </c>
    </row>
    <row r="3854">
      <c r="A3854" s="2" t="s">
        <v>2652</v>
      </c>
      <c r="B3854" s="3" t="str">
        <f>IFERROR(__xludf.DUMMYFUNCTION("GOOGLETRANSLATE(A3854, ""ar"", ""bn"")"),"যুদ্ধের শিকার")</f>
        <v>যুদ্ধের শিকার</v>
      </c>
    </row>
    <row r="3855">
      <c r="A3855" s="2" t="s">
        <v>2592</v>
      </c>
      <c r="B3855" s="3" t="str">
        <f>IFERROR(__xludf.DUMMYFUNCTION("GOOGLETRANSLATE(A3855, ""ar"", ""bn"")"),"শিকার")</f>
        <v>শিকার</v>
      </c>
    </row>
    <row r="3856">
      <c r="A3856" s="2" t="s">
        <v>247</v>
      </c>
      <c r="B3856" s="3" t="str">
        <f>IFERROR(__xludf.DUMMYFUNCTION("GOOGLETRANSLATE(A3856, ""ar"", ""bn"")"),"ইহুদিবিদ্বেষ")</f>
        <v>ইহুদিবিদ্বেষ</v>
      </c>
    </row>
    <row r="3857">
      <c r="A3857" s="2" t="s">
        <v>212</v>
      </c>
      <c r="B3857" s="3" t="str">
        <f>IFERROR(__xludf.DUMMYFUNCTION("GOOGLETRANSLATE(A3857, ""ar"", ""bn"")"),"বিমান হামলার")</f>
        <v>বিমান হামলার</v>
      </c>
    </row>
    <row r="3858">
      <c r="A3858" s="2" t="s">
        <v>978</v>
      </c>
      <c r="B3858" s="3" t="str">
        <f>IFERROR(__xludf.DUMMYFUNCTION("GOOGLETRANSLATE(A3858, ""ar"", ""bn"")"),"ক্ষমতার দুর্বলতা")</f>
        <v>ক্ষমতার দুর্বলতা</v>
      </c>
    </row>
    <row r="3859">
      <c r="A3859" s="2" t="s">
        <v>1008</v>
      </c>
      <c r="B3859" s="3" t="str">
        <f>IFERROR(__xludf.DUMMYFUNCTION("GOOGLETRANSLATE(A3859, ""ar"", ""bn"")"),"পররাষ্ট্র চাপ")</f>
        <v>পররাষ্ট্র চাপ</v>
      </c>
    </row>
    <row r="3860">
      <c r="A3860" s="2" t="s">
        <v>940</v>
      </c>
      <c r="B3860" s="3" t="str">
        <f>IFERROR(__xludf.DUMMYFUNCTION("GOOGLETRANSLATE(A3860, ""ar"", ""bn"")"),"বাহ্যিক চাপ")</f>
        <v>বাহ্যিক চাপ</v>
      </c>
    </row>
    <row r="3861">
      <c r="A3861" s="2" t="s">
        <v>766</v>
      </c>
      <c r="B3861" s="3" t="str">
        <f>IFERROR(__xludf.DUMMYFUNCTION("GOOGLETRANSLATE(A3861, ""ar"", ""bn"")"),"কূটনৈতিক চাপ")</f>
        <v>কূটনৈতিক চাপ</v>
      </c>
    </row>
    <row r="3862">
      <c r="A3862" s="2" t="s">
        <v>1262</v>
      </c>
      <c r="B3862" s="3" t="str">
        <f>IFERROR(__xludf.DUMMYFUNCTION("GOOGLETRANSLATE(A3862, ""ar"", ""bn"")"),"আন্তর্জাতিক চাপ")</f>
        <v>আন্তর্জাতিক চাপ</v>
      </c>
    </row>
    <row r="3863">
      <c r="A3863" s="2" t="s">
        <v>1877</v>
      </c>
      <c r="B3863" s="3" t="str">
        <f>IFERROR(__xludf.DUMMYFUNCTION("GOOGLETRANSLATE(A3863, ""ar"", ""bn"")"),"রাজনৈতিক চাপে")</f>
        <v>রাজনৈতিক চাপে</v>
      </c>
    </row>
    <row r="3864">
      <c r="A3864" s="2" t="s">
        <v>1007</v>
      </c>
      <c r="B3864" s="3" t="str">
        <f>IFERROR(__xludf.DUMMYFUNCTION("GOOGLETRANSLATE(A3864, ""ar"", ""bn"")"),"পররাষ্ট্র রাজনৈতিক চাপ")</f>
        <v>পররাষ্ট্র রাজনৈতিক চাপ</v>
      </c>
    </row>
    <row r="3865">
      <c r="A3865" s="2" t="s">
        <v>2661</v>
      </c>
      <c r="B3865" s="3" t="str">
        <f>IFERROR(__xludf.DUMMYFUNCTION("GOOGLETRANSLATE(A3865, ""ar"", ""bn"")"),"পশ্চিম তীর")</f>
        <v>পশ্চিম তীর</v>
      </c>
    </row>
    <row r="3866">
      <c r="A3866" s="2" t="s">
        <v>1083</v>
      </c>
      <c r="B3866" s="3" t="str">
        <f>IFERROR(__xludf.DUMMYFUNCTION("GOOGLETRANSLATE(A3866, ""ar"", ""bn"")"),"নিশ্চিত স্বাধীনতা")</f>
        <v>নিশ্চিত স্বাধীনতা</v>
      </c>
    </row>
    <row r="3867">
      <c r="A3867" s="2" t="s">
        <v>2683</v>
      </c>
      <c r="B3867" s="3" t="str">
        <f>IFERROR(__xludf.DUMMYFUNCTION("GOOGLETRANSLATE(A3867, ""ar"", ""bn"")"),"গ্লোবাল বিবেক")</f>
        <v>গ্লোবাল বিবেক</v>
      </c>
    </row>
    <row r="3868">
      <c r="A3868" s="2" t="s">
        <v>425</v>
      </c>
      <c r="B3868" s="3" t="str">
        <f>IFERROR(__xludf.DUMMYFUNCTION("GOOGLETRANSLATE(A3868, ""ar"", ""bn"")"),"কূটনৈতিক আলোচনা প্রকৃতি")</f>
        <v>কূটনৈতিক আলোচনা প্রকৃতি</v>
      </c>
    </row>
    <row r="3869">
      <c r="A3869" s="2" t="s">
        <v>981</v>
      </c>
      <c r="B3869" s="3" t="str">
        <f>IFERROR(__xludf.DUMMYFUNCTION("GOOGLETRANSLATE(A3869, ""ar"", ""bn"")"),"পঞ্চম কলাম")</f>
        <v>পঞ্চম কলাম</v>
      </c>
    </row>
    <row r="3870">
      <c r="A3870" s="2" t="s">
        <v>1732</v>
      </c>
      <c r="B3870" s="3" t="str">
        <f>IFERROR(__xludf.DUMMYFUNCTION("GOOGLETRANSLATE(A3870, ""ar"", ""bn"")"),"নেতিবাচক আনুগত্য")</f>
        <v>নেতিবাচক আনুগত্য</v>
      </c>
    </row>
    <row r="3871">
      <c r="A3871" s="2" t="s">
        <v>1808</v>
      </c>
      <c r="B3871" s="3" t="str">
        <f>IFERROR(__xludf.DUMMYFUNCTION("GOOGLETRANSLATE(A3871, ""ar"", ""bn"")"),"রাজনৈতিক শ্রেণী")</f>
        <v>রাজনৈতিক শ্রেণী</v>
      </c>
    </row>
    <row r="3872">
      <c r="A3872" s="2" t="s">
        <v>702</v>
      </c>
      <c r="B3872" s="3" t="str">
        <f>IFERROR(__xludf.DUMMYFUNCTION("GOOGLETRANSLATE(A3872, ""ar"", ""bn"")"),"অত্যাচারী স্তর")</f>
        <v>অত্যাচারী স্তর</v>
      </c>
    </row>
    <row r="3873">
      <c r="A3873" s="2" t="s">
        <v>817</v>
      </c>
      <c r="B3873" s="3" t="str">
        <f>IFERROR(__xludf.DUMMYFUNCTION("GOOGLETRANSLATE(A3873, ""ar"", ""bn"")"),"নিয়ন্ত্রণ স্তর")</f>
        <v>নিয়ন্ত্রণ স্তর</v>
      </c>
    </row>
    <row r="3874">
      <c r="A3874" s="2" t="s">
        <v>1693</v>
      </c>
      <c r="B3874" s="3" t="str">
        <f>IFERROR(__xludf.DUMMYFUNCTION("GOOGLETRANSLATE(A3874, ""ar"", ""bn"")"),"লেয়ার অত্যাচারিত")</f>
        <v>লেয়ার অত্যাচারিত</v>
      </c>
    </row>
    <row r="3875">
      <c r="A3875" s="2" t="s">
        <v>723</v>
      </c>
      <c r="B3875" s="3" t="str">
        <f>IFERROR(__xludf.DUMMYFUNCTION("GOOGLETRANSLATE(A3875, ""ar"", ""bn"")"),"রাস্তা বা কূটনৈতিক চ্যানেল")</f>
        <v>রাস্তা বা কূটনৈতিক চ্যানেল</v>
      </c>
    </row>
    <row r="3876">
      <c r="A3876" s="2" t="s">
        <v>1324</v>
      </c>
      <c r="B3876" s="3" t="str">
        <f>IFERROR(__xludf.DUMMYFUNCTION("GOOGLETRANSLATE(A3876, ""ar"", ""bn"")"),"ভূমি যাত্রাপথ")</f>
        <v>ভূমি যাত্রাপথ</v>
      </c>
    </row>
    <row r="3877">
      <c r="A3877" s="2" t="s">
        <v>1656</v>
      </c>
      <c r="B3877" s="3" t="str">
        <f>IFERROR(__xludf.DUMMYFUNCTION("GOOGLETRANSLATE(A3877, ""ar"", ""bn"")"),"অফিসিয়াল উপায়ে")</f>
        <v>অফিসিয়াল উপায়ে</v>
      </c>
    </row>
    <row r="3878">
      <c r="A3878" s="2" t="s">
        <v>703</v>
      </c>
      <c r="B3878" s="3" t="str">
        <f>IFERROR(__xludf.DUMMYFUNCTION("GOOGLETRANSLATE(A3878, ""ar"", ""bn"")"),"স্বৈরশাসন")</f>
        <v>স্বৈরশাসন</v>
      </c>
    </row>
    <row r="3879">
      <c r="A3879" s="2" t="s">
        <v>1868</v>
      </c>
      <c r="B3879" s="3" t="str">
        <f>IFERROR(__xludf.DUMMYFUNCTION("GOOGLETRANSLATE(A3879, ""ar"", ""bn"")"),"রাজনৈতিক প্রপঞ্চ")</f>
        <v>রাজনৈতিক প্রপঞ্চ</v>
      </c>
    </row>
    <row r="3880">
      <c r="A3880" s="2" t="s">
        <v>1077</v>
      </c>
      <c r="B3880" s="3" t="str">
        <f>IFERROR(__xludf.DUMMYFUNCTION("GOOGLETRANSLATE(A3880, ""ar"", ""bn"")"),"কূটনৈতিক অবস্থার বিপজ্জনক")</f>
        <v>কূটনৈতিক অবস্থার বিপজ্জনক</v>
      </c>
    </row>
    <row r="3881">
      <c r="A3881" s="2" t="s">
        <v>625</v>
      </c>
      <c r="B3881" s="3" t="str">
        <f>IFERROR(__xludf.DUMMYFUNCTION("GOOGLETRANSLATE(A3881, ""ar"", ""bn"")"),"ক্রিটিক্যাল রাজনৈতিক পরিস্থিতি")</f>
        <v>ক্রিটিক্যাল রাজনৈতিক পরিস্থিতি</v>
      </c>
    </row>
    <row r="3882">
      <c r="A3882" s="2" t="s">
        <v>2541</v>
      </c>
      <c r="B3882" s="3" t="str">
        <f>IFERROR(__xludf.DUMMYFUNCTION("GOOGLETRANSLATE(A3882, ""ar"", ""bn"")"),"অপ্রত্যাশিত রাজনৈতিক পরিস্থিতি")</f>
        <v>অপ্রত্যাশিত রাজনৈতিক পরিস্থিতি</v>
      </c>
    </row>
    <row r="3883">
      <c r="A3883" s="2" t="s">
        <v>287</v>
      </c>
      <c r="B3883" s="3" t="str">
        <f>IFERROR(__xludf.DUMMYFUNCTION("GOOGLETRANSLATE(A3883, ""ar"", ""bn"")"),"মাউন্ট অবস্থার")</f>
        <v>মাউন্ট অবস্থার</v>
      </c>
    </row>
    <row r="3884">
      <c r="A3884" s="2" t="s">
        <v>390</v>
      </c>
      <c r="B3884" s="3" t="str">
        <f>IFERROR(__xludf.DUMMYFUNCTION("GOOGLETRANSLATE(A3884, ""ar"", ""bn"")"),"রাজধানী")</f>
        <v>রাজধানী</v>
      </c>
    </row>
    <row r="3885">
      <c r="A3885" s="2" t="s">
        <v>2690</v>
      </c>
      <c r="B3885" s="3" t="str">
        <f>IFERROR(__xludf.DUMMYFUNCTION("GOOGLETRANSLATE(A3885, ""ar"", ""bn"")"),"সংহতি একজন বিশ্ব")</f>
        <v>সংহতি একজন বিশ্ব</v>
      </c>
    </row>
    <row r="3886">
      <c r="A3886" s="2" t="s">
        <v>2569</v>
      </c>
      <c r="B3886" s="3" t="str">
        <f>IFERROR(__xludf.DUMMYFUNCTION("GOOGLETRANSLATE(A3886, ""ar"", ""bn"")"),"আন্তর্জাতিক")</f>
        <v>আন্তর্জাতিক</v>
      </c>
    </row>
    <row r="3887">
      <c r="A3887" s="2" t="s">
        <v>2700</v>
      </c>
      <c r="B3887" s="3" t="str">
        <f>IFERROR(__xludf.DUMMYFUNCTION("GOOGLETRANSLATE(A3887, ""ar"", ""bn"")"),"আন্তর্জাতিক মানবাধিকার বছর")</f>
        <v>আন্তর্জাতিক মানবাধিকার বছর</v>
      </c>
    </row>
    <row r="3888">
      <c r="A3888" s="2" t="s">
        <v>2701</v>
      </c>
      <c r="B3888" s="3" t="str">
        <f>IFERROR(__xludf.DUMMYFUNCTION("GOOGLETRANSLATE(A3888, ""ar"", ""bn"")"),"নারী অধিকার জন্য আন্তর্জাতিক বছর")</f>
        <v>নারী অধিকার জন্য আন্তর্জাতিক বছর</v>
      </c>
    </row>
    <row r="3889">
      <c r="A3889" s="2" t="s">
        <v>2699</v>
      </c>
      <c r="B3889" s="3" t="str">
        <f>IFERROR(__xludf.DUMMYFUNCTION("GOOGLETRANSLATE(A3889, ""ar"", ""bn"")"),"আন্তর্জাতিক শিশু সাধারণ")</f>
        <v>আন্তর্জাতিক শিশু সাধারণ</v>
      </c>
    </row>
    <row r="3890">
      <c r="A3890" s="2" t="s">
        <v>1410</v>
      </c>
      <c r="B3890" s="3" t="str">
        <f>IFERROR(__xludf.DUMMYFUNCTION("GOOGLETRANSLATE(A3890, ""ar"", ""bn"")"),"স্থায়িত্ব প্রধান কারণ")</f>
        <v>স্থায়িত্ব প্রধান কারণ</v>
      </c>
    </row>
    <row r="3891">
      <c r="A3891" s="2" t="s">
        <v>1849</v>
      </c>
      <c r="B3891" s="3" t="str">
        <f>IFERROR(__xludf.DUMMYFUNCTION("GOOGLETRANSLATE(A3891, ""ar"", ""bn"")"),"রাজনৈতিক অস্থিরতা")</f>
        <v>রাজনৈতিক অস্থিরতা</v>
      </c>
    </row>
    <row r="3892">
      <c r="A3892" s="2" t="s">
        <v>1480</v>
      </c>
      <c r="B3892" s="3" t="str">
        <f>IFERROR(__xludf.DUMMYFUNCTION("GOOGLETRANSLATE(A3892, ""ar"", ""bn"")"),"অ মন্ত্রী স্থায়িত্ব")</f>
        <v>অ মন্ত্রী স্থায়িত্ব</v>
      </c>
    </row>
    <row r="3893">
      <c r="A3893" s="2" t="s">
        <v>1621</v>
      </c>
      <c r="B3893" s="3" t="str">
        <f>IFERROR(__xludf.DUMMYFUNCTION("GOOGLETRANSLATE(A3893, ""ar"", ""bn"")"),"অপক্ষপাতী")</f>
        <v>অপক্ষপাতী</v>
      </c>
    </row>
    <row r="3894">
      <c r="A3894" s="2" t="s">
        <v>148</v>
      </c>
      <c r="B3894" s="3" t="str">
        <f>IFERROR(__xludf.DUMMYFUNCTION("GOOGLETRANSLATE(A3894, ""ar"", ""bn"")"),"কূটনীতি নেই Altbes")</f>
        <v>কূটনীতি নেই Altbes</v>
      </c>
    </row>
    <row r="3895">
      <c r="A3895" s="2" t="s">
        <v>1146</v>
      </c>
      <c r="B3895" s="3" t="str">
        <f>IFERROR(__xludf.DUMMYFUNCTION("GOOGLETRANSLATE(A3895, ""ar"", ""bn"")"),"অ পক্ষপাত মতামত")</f>
        <v>অ পক্ষপাত মতামত</v>
      </c>
    </row>
    <row r="3896">
      <c r="A3896" s="2" t="s">
        <v>1628</v>
      </c>
      <c r="B3896" s="3" t="str">
        <f>IFERROR(__xludf.DUMMYFUNCTION("GOOGLETRANSLATE(A3896, ""ar"", ""bn"")"),"কোন হস্তক্ষেপ")</f>
        <v>কোন হস্তক্ষেপ</v>
      </c>
    </row>
    <row r="3897">
      <c r="A3897" s="2" t="s">
        <v>2786</v>
      </c>
      <c r="B3897" s="3" t="str">
        <f>IFERROR(__xludf.DUMMYFUNCTION("GOOGLETRANSLATE(A3897, ""ar"", ""bn"")"),"কূটনৈতিক আচরণ সঙ্গে অ সম্মতি")</f>
        <v>কূটনৈতিক আচরণ সঙ্গে অ সম্মতি</v>
      </c>
    </row>
    <row r="3898">
      <c r="A3898" s="2" t="s">
        <v>1625</v>
      </c>
      <c r="B3898" s="3" t="str">
        <f>IFERROR(__xludf.DUMMYFUNCTION("GOOGLETRANSLATE(A3898, ""ar"", ""bn"")"),"অ জাতিগত বৈষম্য ঞ")</f>
        <v>অ জাতিগত বৈষম্য ঞ</v>
      </c>
    </row>
    <row r="3899">
      <c r="A3899" s="2" t="s">
        <v>1623</v>
      </c>
      <c r="B3899" s="3" t="str">
        <f>IFERROR(__xludf.DUMMYFUNCTION("GOOGLETRANSLATE(A3899, ""ar"", ""bn"")"),"আইন অ সম্মতি")</f>
        <v>আইন অ সম্মতি</v>
      </c>
    </row>
    <row r="3900">
      <c r="A3900" s="2" t="s">
        <v>1632</v>
      </c>
      <c r="B3900" s="3" t="str">
        <f>IFERROR(__xludf.DUMMYFUNCTION("GOOGLETRANSLATE(A3900, ""ar"", ""bn"")"),"প্রতিরোধহীন নীতি")</f>
        <v>প্রতিরোধহীন নীতি</v>
      </c>
    </row>
    <row r="3901">
      <c r="A3901" s="2" t="s">
        <v>1293</v>
      </c>
      <c r="B3901" s="3" t="str">
        <f>IFERROR(__xludf.DUMMYFUNCTION("GOOGLETRANSLATE(A3901, ""ar"", ""bn"")"),"তথ্য স্বাধীনতা লঙ্ঘন অভাব")</f>
        <v>তথ্য স্বাধীনতা লঙ্ঘন অভাব</v>
      </c>
    </row>
    <row r="3902">
      <c r="A3902" s="2" t="s">
        <v>1633</v>
      </c>
      <c r="B3902" s="3" t="str">
        <f>IFERROR(__xludf.DUMMYFUNCTION("GOOGLETRANSLATE(A3902, ""ar"", ""bn"")"),"রাজনৈতিক ঐক্যমত্য অভাব")</f>
        <v>রাজনৈতিক ঐক্যমত্য অভাব</v>
      </c>
    </row>
    <row r="3903">
      <c r="A3903" s="2" t="s">
        <v>2526</v>
      </c>
      <c r="B3903" s="3" t="str">
        <f>IFERROR(__xludf.DUMMYFUNCTION("GOOGLETRANSLATE(A3903, ""ar"", ""bn"")"),"আইন অ সাংবিধানিক")</f>
        <v>আইন অ সাংবিধানিক</v>
      </c>
    </row>
    <row r="3904">
      <c r="A3904" s="2" t="s">
        <v>1630</v>
      </c>
      <c r="B3904" s="3" t="str">
        <f>IFERROR(__xludf.DUMMYFUNCTION("GOOGLETRANSLATE(A3904, ""ar"", ""bn"")"),"আন্তর্জাতিক আইনের অনিষ্ঠা")</f>
        <v>আন্তর্জাতিক আইনের অনিষ্ঠা</v>
      </c>
    </row>
    <row r="3905">
      <c r="A3905" s="2" t="s">
        <v>197</v>
      </c>
      <c r="B3905" s="3" t="str">
        <f>IFERROR(__xludf.DUMMYFUNCTION("GOOGLETRANSLATE(A3905, ""ar"", ""bn"")"),"আক্রমণ")</f>
        <v>আক্রমণ</v>
      </c>
    </row>
    <row r="3906">
      <c r="A3906" s="2" t="s">
        <v>2028</v>
      </c>
      <c r="B3906" s="3" t="str">
        <f>IFERROR(__xludf.DUMMYFUNCTION("GOOGLETRANSLATE(A3906, ""ar"", ""bn"")"),"উত্তেজক আগ্রাসন")</f>
        <v>উত্তেজক আগ্রাসন</v>
      </c>
    </row>
    <row r="3907">
      <c r="A3907" s="2" t="s">
        <v>1461</v>
      </c>
      <c r="B3907" s="3" t="str">
        <f>IFERROR(__xludf.DUMMYFUNCTION("GOOGLETRANSLATE(A3907, ""ar"", ""bn"")"),"সেনাবাহিনী আগ্রাসন")</f>
        <v>সেনাবাহিনী আগ্রাসন</v>
      </c>
    </row>
    <row r="3908">
      <c r="A3908" s="2" t="s">
        <v>2412</v>
      </c>
      <c r="B3908" s="3" t="str">
        <f>IFERROR(__xludf.DUMMYFUNCTION("GOOGLETRANSLATE(A3908, ""ar"", ""bn"")"),"রাজনৈতিক ইভেন্টগুলি দেখুন")</f>
        <v>রাজনৈতিক ইভেন্টগুলি দেখুন</v>
      </c>
    </row>
    <row r="3909">
      <c r="A3909" s="2" t="s">
        <v>1742</v>
      </c>
      <c r="B3909" s="3" t="str">
        <f>IFERROR(__xludf.DUMMYFUNCTION("GOOGLETRANSLATE(A3909, ""ar"", ""bn"")"),"দেখুন পিস")</f>
        <v>দেখুন পিস</v>
      </c>
    </row>
    <row r="3910">
      <c r="A3910" s="2" t="s">
        <v>2082</v>
      </c>
      <c r="B3910" s="3" t="str">
        <f>IFERROR(__xludf.DUMMYFUNCTION("GOOGLETRANSLATE(A3910, ""ar"", ""bn"")"),"শান্তির দেখুন")</f>
        <v>শান্তির দেখুন</v>
      </c>
    </row>
    <row r="3911">
      <c r="A3911" s="2" t="s">
        <v>2413</v>
      </c>
      <c r="B3911" s="3" t="str">
        <f>IFERROR(__xludf.DUMMYFUNCTION("GOOGLETRANSLATE(A3911, ""ar"", ""bn"")"),"রাজনৈতিক বাস্তবতার দেখুন")</f>
        <v>রাজনৈতিক বাস্তবতার দেখুন</v>
      </c>
    </row>
    <row r="3912">
      <c r="A3912" s="2" t="s">
        <v>1231</v>
      </c>
      <c r="B3912" s="3" t="str">
        <f>IFERROR(__xludf.DUMMYFUNCTION("GOOGLETRANSLATE(A3912, ""ar"", ""bn"")"),"আন্তর্জাতিক জ্ঞাত")</f>
        <v>আন্তর্জাতিক জ্ঞাত</v>
      </c>
    </row>
    <row r="3913">
      <c r="A3913" s="2" t="s">
        <v>2060</v>
      </c>
      <c r="B3913" s="3" t="str">
        <f>IFERROR(__xludf.DUMMYFUNCTION("GOOGLETRANSLATE(A3913, ""ar"", ""bn"")"),"জাতিগত বা অপরিহার্য উপাদান ইয়ে")</f>
        <v>জাতিগত বা অপরিহার্য উপাদান ইয়ে</v>
      </c>
    </row>
    <row r="3914">
      <c r="A3914" s="2" t="s">
        <v>1296</v>
      </c>
      <c r="B3914" s="3" t="str">
        <f>IFERROR(__xludf.DUMMYFUNCTION("GOOGLETRANSLATE(A3914, ""ar"", ""bn"")"),"রাজনৈতিক বন্দীদের বিচ্ছিন্নতা")</f>
        <v>রাজনৈতিক বন্দীদের বিচ্ছিন্নতা</v>
      </c>
    </row>
    <row r="3915">
      <c r="A3915" s="2" t="s">
        <v>2787</v>
      </c>
      <c r="B3915" s="3" t="str">
        <f>IFERROR(__xludf.DUMMYFUNCTION("GOOGLETRANSLATE(A3915, ""ar"", ""bn"")"),"পি কূটনৈতিক স্লিপ")</f>
        <v>পি কূটনৈতিক স্লিপ</v>
      </c>
    </row>
    <row r="3916">
      <c r="A3916" s="2" t="s">
        <v>1249</v>
      </c>
      <c r="B3916" s="3" t="str">
        <f>IFERROR(__xludf.DUMMYFUNCTION("GOOGLETRANSLATE(A3916, ""ar"", ""bn"")"),"পি আন্তর্জাতিক স্লিপ")</f>
        <v>পি আন্তর্জাতিক স্লিপ</v>
      </c>
    </row>
    <row r="3917">
      <c r="A3917" s="2" t="s">
        <v>1337</v>
      </c>
      <c r="B3917" s="3" t="str">
        <f>IFERROR(__xludf.DUMMYFUNCTION("GOOGLETRANSLATE(A3917, ""ar"", ""bn"")"),"নেশনস লীগ")</f>
        <v>নেশনস লীগ</v>
      </c>
    </row>
    <row r="3918">
      <c r="A3918" s="2" t="s">
        <v>2460</v>
      </c>
      <c r="B3918" s="3" t="str">
        <f>IFERROR(__xludf.DUMMYFUNCTION("GOOGLETRANSLATE(A3918, ""ar"", ""bn"")"),"সন্ত্রাসবাদ হিসেবে")</f>
        <v>সন্ত্রাসবাদ হিসেবে</v>
      </c>
    </row>
    <row r="3919">
      <c r="A3919" s="2" t="s">
        <v>2071</v>
      </c>
      <c r="B3919" s="3" t="str">
        <f>IFERROR(__xludf.DUMMYFUNCTION("GOOGLETRANSLATE(A3919, ""ar"", ""bn"")"),"অবাধ্যতা পাস ঘ")</f>
        <v>অবাধ্যতা পাস ঘ</v>
      </c>
    </row>
    <row r="3920">
      <c r="A3920" s="2" t="s">
        <v>1467</v>
      </c>
      <c r="B3920" s="3" t="str">
        <f>IFERROR(__xludf.DUMMYFUNCTION("GOOGLETRANSLATE(A3920, ""ar"", ""bn"")"),"সামরিক বাহিনীর অবাধ্যতা")</f>
        <v>সামরিক বাহিনীর অবাধ্যতা</v>
      </c>
    </row>
    <row r="3921">
      <c r="A3921" s="2" t="s">
        <v>318</v>
      </c>
      <c r="B3921" s="3" t="str">
        <f>IFERROR(__xludf.DUMMYFUNCTION("GOOGLETRANSLATE(A3921, ""ar"", ""bn"")"),"রিজার্ভ সদস্য")</f>
        <v>রিজার্ভ সদস্য</v>
      </c>
    </row>
    <row r="3922">
      <c r="A3922" s="2" t="s">
        <v>2788</v>
      </c>
      <c r="B3922" s="3" t="str">
        <f>IFERROR(__xludf.DUMMYFUNCTION("GOOGLETRANSLATE(A3922, ""ar"", ""bn"")"),"সংসদে সর্বাধিক বয়স সদস্য")</f>
        <v>সংসদে সর্বাধিক বয়স সদস্য</v>
      </c>
    </row>
    <row r="3923">
      <c r="A3923" s="2" t="s">
        <v>2388</v>
      </c>
      <c r="B3923" s="3" t="str">
        <f>IFERROR(__xludf.DUMMYFUNCTION("GOOGLETRANSLATE(A3923, ""ar"", ""bn"")"),"সংসদের বিকল্প সদস্য")</f>
        <v>সংসদের বিকল্প সদস্য</v>
      </c>
    </row>
    <row r="3924">
      <c r="A3924" s="2" t="s">
        <v>1115</v>
      </c>
      <c r="B3924" s="3" t="str">
        <f>IFERROR(__xludf.DUMMYFUNCTION("GOOGLETRANSLATE(A3924, ""ar"", ""bn"")"),"অবৈতনিক সদস্য")</f>
        <v>অবৈতনিক সদস্য</v>
      </c>
    </row>
    <row r="3925">
      <c r="A3925" s="2" t="s">
        <v>1631</v>
      </c>
      <c r="B3925" s="3" t="str">
        <f>IFERROR(__xludf.DUMMYFUNCTION("GOOGLETRANSLATE(A3925, ""ar"", ""bn"")"),"অ স্থায়ী সদস্য")</f>
        <v>অ স্থায়ী সদস্য</v>
      </c>
    </row>
    <row r="3926">
      <c r="A3926" s="2" t="s">
        <v>1716</v>
      </c>
      <c r="B3926" s="3" t="str">
        <f>IFERROR(__xludf.DUMMYFUNCTION("GOOGLETRANSLATE(A3926, ""ar"", ""bn"")"),"সংসদ সদস্য")</f>
        <v>সংসদ সদস্য</v>
      </c>
    </row>
    <row r="3927">
      <c r="A3927" s="2" t="s">
        <v>599</v>
      </c>
      <c r="B3927" s="3" t="str">
        <f>IFERROR(__xludf.DUMMYFUNCTION("GOOGLETRANSLATE(A3927, ""ar"", ""bn"")"),"বোর্ডের সদস্য")</f>
        <v>বোর্ডের সদস্য</v>
      </c>
    </row>
    <row r="3928">
      <c r="A3928" s="2" t="s">
        <v>289</v>
      </c>
      <c r="B3928" s="3" t="str">
        <f>IFERROR(__xludf.DUMMYFUNCTION("GOOGLETRANSLATE(A3928, ""ar"", ""bn"")"),"সহকারী সদস্য")</f>
        <v>সহকারী সদস্য</v>
      </c>
    </row>
    <row r="3929">
      <c r="A3929" s="2" t="s">
        <v>2789</v>
      </c>
      <c r="B3929" s="3" t="str">
        <f>IFERROR(__xludf.DUMMYFUNCTION("GOOGLETRANSLATE(A3929, ""ar"", ""bn"")"),"রাজনৈতিক নির্যাতনকারীদের জন্য সাধারণ ক্ষমা")</f>
        <v>রাজনৈতিক নির্যাতনকারীদের জন্য সাধারণ ক্ষমা</v>
      </c>
    </row>
    <row r="3930">
      <c r="A3930" s="2" t="s">
        <v>231</v>
      </c>
      <c r="B3930" s="3" t="str">
        <f>IFERROR(__xludf.DUMMYFUNCTION("GOOGLETRANSLATE(A3930, ""ar"", ""bn"")"),"রাজক্ষমা")</f>
        <v>রাজক্ষমা</v>
      </c>
    </row>
    <row r="3931">
      <c r="A3931" s="2" t="s">
        <v>1993</v>
      </c>
      <c r="B3931" s="3" t="str">
        <f>IFERROR(__xludf.DUMMYFUNCTION("GOOGLETRANSLATE(A3931, ""ar"", ""bn"")"),"বন্দীদের জন্য একটি সাধারণ ক্ষমা")</f>
        <v>বন্দীদের জন্য একটি সাধারণ ক্ষমা</v>
      </c>
    </row>
    <row r="3932">
      <c r="A3932" s="2" t="s">
        <v>1642</v>
      </c>
      <c r="B3932" s="3" t="str">
        <f>IFERROR(__xludf.DUMMYFUNCTION("GOOGLETRANSLATE(A3932, ""ar"", ""bn"")"),"শান্তি প্রক্রিয়া পি রূপ বাধা")</f>
        <v>শান্তি প্রক্রিয়া পি রূপ বাধা</v>
      </c>
    </row>
    <row r="3933">
      <c r="A3933" s="2" t="s">
        <v>2790</v>
      </c>
      <c r="B3933" s="3" t="str">
        <f>IFERROR(__xludf.DUMMYFUNCTION("GOOGLETRANSLATE(A3933, ""ar"", ""bn"")"),"পি কূটনৈতিক গম্বুজ")</f>
        <v>পি কূটনৈতিক গম্বুজ</v>
      </c>
    </row>
    <row r="3934">
      <c r="A3934" s="2" t="s">
        <v>1862</v>
      </c>
      <c r="B3934" s="3" t="str">
        <f>IFERROR(__xludf.DUMMYFUNCTION("GOOGLETRANSLATE(A3934, ""ar"", ""bn"")"),"পি রাজনৈতিক গম্বুজ")</f>
        <v>পি রাজনৈতিক গম্বুজ</v>
      </c>
    </row>
    <row r="3935">
      <c r="A3935" s="2" t="s">
        <v>1151</v>
      </c>
      <c r="B3935" s="3" t="str">
        <f>IFERROR(__xludf.DUMMYFUNCTION("GOOGLETRANSLATE(A3935, ""ar"", ""bn"")"),"পি Kulaih ঔপনিবেশিক")</f>
        <v>পি Kulaih ঔপনিবেশিক</v>
      </c>
    </row>
    <row r="3936">
      <c r="A3936" s="2" t="s">
        <v>393</v>
      </c>
      <c r="B3936" s="3" t="str">
        <f>IFERROR(__xludf.DUMMYFUNCTION("GOOGLETRANSLATE(A3936, ""ar"", ""bn"")"),"পি Kulaih পুঁজিবাদ")</f>
        <v>পি Kulaih পুঁজিবাদ</v>
      </c>
    </row>
    <row r="3937">
      <c r="A3937" s="2" t="s">
        <v>1587</v>
      </c>
      <c r="B3937" s="3" t="str">
        <f>IFERROR(__xludf.DUMMYFUNCTION("GOOGLETRANSLATE(A3937, ""ar"", ""bn"")"),"পি Kulaih নাৎসি")</f>
        <v>পি Kulaih নাৎসি</v>
      </c>
    </row>
    <row r="3938">
      <c r="A3938" s="2" t="s">
        <v>1469</v>
      </c>
      <c r="B3938" s="3" t="str">
        <f>IFERROR(__xludf.DUMMYFUNCTION("GOOGLETRANSLATE(A3938, ""ar"", ""bn"")"),"সেনাবাহিনী নিষেধাজ্ঞার")</f>
        <v>সেনাবাহিনী নিষেধাজ্ঞার</v>
      </c>
    </row>
    <row r="3939">
      <c r="A3939" s="2" t="s">
        <v>1816</v>
      </c>
      <c r="B3939" s="3" t="str">
        <f>IFERROR(__xludf.DUMMYFUNCTION("GOOGLETRANSLATE(A3939, ""ar"", ""bn"")"),"রাজনৈতিক মতাদর্শের")</f>
        <v>রাজনৈতিক মতাদর্শের</v>
      </c>
    </row>
    <row r="3940">
      <c r="A3940" s="2" t="s">
        <v>1274</v>
      </c>
      <c r="B3940" s="3" t="str">
        <f>IFERROR(__xludf.DUMMYFUNCTION("GOOGLETRANSLATE(A3940, ""ar"", ""bn"")"),"আন্তর্জাতিক সংহতি সম্পর্ক")</f>
        <v>আন্তর্জাতিক সংহতি সম্পর্ক</v>
      </c>
    </row>
    <row r="3941">
      <c r="A3941" s="2" t="s">
        <v>1607</v>
      </c>
      <c r="B3941" s="3" t="str">
        <f>IFERROR(__xludf.DUMMYFUNCTION("GOOGLETRANSLATE(A3941, ""ar"", ""bn"")"),"সুপ্রতিবেশীসুলভ সম্পর্কের")</f>
        <v>সুপ্রতিবেশীসুলভ সম্পর্কের</v>
      </c>
    </row>
    <row r="3942">
      <c r="A3942" s="2" t="s">
        <v>1127</v>
      </c>
      <c r="B3942" s="3" t="str">
        <f>IFERROR(__xludf.DUMMYFUNCTION("GOOGLETRANSLATE(A3942, ""ar"", ""bn"")"),"যুক্তরাষ্ট্র মধ্যে মানুষের সম্পর্ক")</f>
        <v>যুক্তরাষ্ট্র মধ্যে মানুষের সম্পর্ক</v>
      </c>
    </row>
    <row r="3943">
      <c r="A3943" s="2" t="s">
        <v>941</v>
      </c>
      <c r="B3943" s="3" t="str">
        <f>IFERROR(__xludf.DUMMYFUNCTION("GOOGLETRANSLATE(A3943, ""ar"", ""bn"")"),"বিদেশী সম্পর্ক")</f>
        <v>বিদেশী সম্পর্ক</v>
      </c>
    </row>
    <row r="3944">
      <c r="A3944" s="2" t="s">
        <v>1267</v>
      </c>
      <c r="B3944" s="3" t="str">
        <f>IFERROR(__xludf.DUMMYFUNCTION("GOOGLETRANSLATE(A3944, ""ar"", ""bn"")"),"আন্তর্জাতিক সম্পর্ক")</f>
        <v>আন্তর্জাতিক সম্পর্ক</v>
      </c>
    </row>
    <row r="3945">
      <c r="A3945" s="2" t="s">
        <v>1665</v>
      </c>
      <c r="B3945" s="3" t="str">
        <f>IFERROR(__xludf.DUMMYFUNCTION("GOOGLETRANSLATE(A3945, ""ar"", ""bn"")"),"আনুষ্ঠানিক সম্পর্ক")</f>
        <v>আনুষ্ঠানিক সম্পর্ক</v>
      </c>
    </row>
    <row r="3946">
      <c r="A3946" s="2" t="s">
        <v>1751</v>
      </c>
      <c r="B3946" s="3" t="str">
        <f>IFERROR(__xludf.DUMMYFUNCTION("GOOGLETRANSLATE(A3946, ""ar"", ""bn"")"),"শান্তি সম্পর্ক")</f>
        <v>শান্তি সম্পর্ক</v>
      </c>
    </row>
    <row r="3947">
      <c r="A3947" s="2" t="s">
        <v>2040</v>
      </c>
      <c r="B3947" s="3" t="str">
        <f>IFERROR(__xludf.DUMMYFUNCTION("GOOGLETRANSLATE(A3947, ""ar"", ""bn"")"),"জনসম্পর্ক")</f>
        <v>জনসম্পর্ক</v>
      </c>
    </row>
    <row r="3948">
      <c r="A3948" s="2" t="s">
        <v>1468</v>
      </c>
      <c r="B3948" s="3" t="str">
        <f>IFERROR(__xludf.DUMMYFUNCTION("GOOGLETRANSLATE(A3948, ""ar"", ""bn"")"),"সেনাবাহিনী সম্পর্ক")</f>
        <v>সেনাবাহিনী সম্পর্ক</v>
      </c>
    </row>
    <row r="3949">
      <c r="A3949" s="2" t="s">
        <v>2791</v>
      </c>
      <c r="B3949" s="3" t="str">
        <f>IFERROR(__xludf.DUMMYFUNCTION("GOOGLETRANSLATE(A3949, ""ar"", ""bn"")"),"ক্রিয়া-প্রতিক্রিয়া ভিত্তিতে সম্পর্ক")</f>
        <v>ক্রিয়া-প্রতিক্রিয়া ভিত্তিতে সম্পর্ক</v>
      </c>
    </row>
    <row r="3950">
      <c r="A3950" s="2" t="s">
        <v>2123</v>
      </c>
      <c r="B3950" s="3" t="str">
        <f>IFERROR(__xludf.DUMMYFUNCTION("GOOGLETRANSLATE(A3950, ""ar"", ""bn"")"),"রাষ্ট্রদূতসংক্রান্ত পর্যায়ে সম্পর্ক")</f>
        <v>রাষ্ট্রদূতসংক্রান্ত পর্যায়ে সম্পর্ক</v>
      </c>
    </row>
    <row r="3951">
      <c r="A3951" s="2" t="s">
        <v>596</v>
      </c>
      <c r="B3951" s="3" t="str">
        <f>IFERROR(__xludf.DUMMYFUNCTION("GOOGLETRANSLATE(A3951, ""ar"", ""bn"")"),"দেশগুলির মধ্যে বন্ধুত্বপূর্ণ সম্পর্ক")</f>
        <v>দেশগুলির মধ্যে বন্ধুত্বপূর্ণ সম্পর্ক</v>
      </c>
    </row>
    <row r="3952">
      <c r="A3952" s="2" t="s">
        <v>2120</v>
      </c>
      <c r="B3952" s="3" t="str">
        <f>IFERROR(__xludf.DUMMYFUNCTION("GOOGLETRANSLATE(A3952, ""ar"", ""bn"")"),"ক্ষমতা ও পক্ষের মধ্যে সম্পর্ক")</f>
        <v>ক্ষমতা ও পক্ষের মধ্যে সম্পর্ক</v>
      </c>
    </row>
    <row r="3953">
      <c r="A3953" s="2" t="s">
        <v>468</v>
      </c>
      <c r="B3953" s="3" t="str">
        <f>IFERROR(__xludf.DUMMYFUNCTION("GOOGLETRANSLATE(A3953, ""ar"", ""bn"")"),"রাজনৈতিক")</f>
        <v>রাজনৈতিক</v>
      </c>
    </row>
    <row r="3954">
      <c r="A3954" s="2" t="s">
        <v>1565</v>
      </c>
      <c r="B3954" s="3" t="str">
        <f>IFERROR(__xludf.DUMMYFUNCTION("GOOGLETRANSLATE(A3954, ""ar"", ""bn"")"),"জাতীয় পতাকা")</f>
        <v>জাতীয় পতাকা</v>
      </c>
    </row>
    <row r="3955">
      <c r="A3955" s="2" t="s">
        <v>1910</v>
      </c>
      <c r="B3955" s="3" t="str">
        <f>IFERROR(__xludf.DUMMYFUNCTION("GOOGLETRANSLATE(A3955, ""ar"", ""bn"")"),"রাষ্ট্রবিজ্ঞান")</f>
        <v>রাষ্ট্রবিজ্ঞান</v>
      </c>
    </row>
    <row r="3956">
      <c r="A3956" s="2" t="s">
        <v>2027</v>
      </c>
      <c r="B3956" s="3" t="str">
        <f>IFERROR(__xludf.DUMMYFUNCTION("GOOGLETRANSLATE(A3956, ""ar"", ""bn"")"),"উত্তেজক আইন")</f>
        <v>উত্তেজক আইন</v>
      </c>
    </row>
    <row r="3957">
      <c r="A3957" s="2" t="s">
        <v>722</v>
      </c>
      <c r="B3957" s="3" t="str">
        <f>IFERROR(__xludf.DUMMYFUNCTION("GOOGLETRANSLATE(A3957, ""ar"", ""bn"")"),"কূটনৈতিক কোরের কাজ")</f>
        <v>কূটনৈতিক কোরের কাজ</v>
      </c>
    </row>
    <row r="3958">
      <c r="A3958" s="2" t="s">
        <v>2129</v>
      </c>
      <c r="B3958" s="3" t="str">
        <f>IFERROR(__xludf.DUMMYFUNCTION("GOOGLETRANSLATE(A3958, ""ar"", ""bn"")"),"ত্রাণ অপারেশন")</f>
        <v>ত্রাণ অপারেশন</v>
      </c>
    </row>
    <row r="3959">
      <c r="A3959" s="2" t="s">
        <v>208</v>
      </c>
      <c r="B3959" s="3" t="str">
        <f>IFERROR(__xludf.DUMMYFUNCTION("GOOGLETRANSLATE(A3959, ""ar"", ""bn"")"),"এয়ার অপারেশন")</f>
        <v>এয়ার অপারেশন</v>
      </c>
    </row>
    <row r="3960">
      <c r="A3960" s="2" t="s">
        <v>1462</v>
      </c>
      <c r="B3960" s="3" t="str">
        <f>IFERROR(__xludf.DUMMYFUNCTION("GOOGLETRANSLATE(A3960, ""ar"", ""bn"")"),"সামরিক অভিযানের")</f>
        <v>সামরিক অভিযানের</v>
      </c>
    </row>
    <row r="3961">
      <c r="A3961" s="2" t="s">
        <v>1743</v>
      </c>
      <c r="B3961" s="3" t="str">
        <f>IFERROR(__xludf.DUMMYFUNCTION("GOOGLETRANSLATE(A3961, ""ar"", ""bn"")"),"শান্তি প্রক্রিয়া")</f>
        <v>শান্তি প্রক্রিয়া</v>
      </c>
    </row>
    <row r="3962">
      <c r="A3962" s="2" t="s">
        <v>2237</v>
      </c>
      <c r="B3962" s="3" t="str">
        <f>IFERROR(__xludf.DUMMYFUNCTION("GOOGLETRANSLATE(A3962, ""ar"", ""bn"")"),"গুপ্তচর")</f>
        <v>গুপ্তচর</v>
      </c>
    </row>
    <row r="3963">
      <c r="A3963" s="2" t="s">
        <v>380</v>
      </c>
      <c r="B3963" s="3" t="str">
        <f>IFERROR(__xludf.DUMMYFUNCTION("GOOGLETRANSLATE(A3963, ""ar"", ""bn"")"),"ক্রম ব্যবহার")</f>
        <v>ক্রম ব্যবহার</v>
      </c>
    </row>
    <row r="3964">
      <c r="A3964" s="2" t="s">
        <v>2792</v>
      </c>
      <c r="B3964" s="3" t="str">
        <f>IFERROR(__xludf.DUMMYFUNCTION("GOOGLETRANSLATE(A3964, ""ar"", ""bn"")"),"কূটনৈতিক চ্যানেলের মাধ্যমে")</f>
        <v>কূটনৈতিক চ্যানেলের মাধ্যমে</v>
      </c>
    </row>
    <row r="3965">
      <c r="A3965" s="2" t="s">
        <v>562</v>
      </c>
      <c r="B3965" s="3" t="str">
        <f>IFERROR(__xludf.DUMMYFUNCTION("GOOGLETRANSLATE(A3965, ""ar"", ""bn"")"),"যুক্তরাষ্ট্রের গঠনকারী মৌলিক উপাদানসমূহের ধর্ম")</f>
        <v>যুক্তরাষ্ট্রের গঠনকারী মৌলিক উপাদানসমূহের ধর্ম</v>
      </c>
    </row>
    <row r="3966">
      <c r="A3966" s="2" t="s">
        <v>2319</v>
      </c>
      <c r="B3966" s="3" t="str">
        <f>IFERROR(__xludf.DUMMYFUNCTION("GOOGLETRANSLATE(A3966, ""ar"", ""bn"")"),"সহকারী স্থায়িত্ব অপরিহার্য উপাদান")</f>
        <v>সহকারী স্থায়িত্ব অপরিহার্য উপাদান</v>
      </c>
    </row>
    <row r="3967">
      <c r="A3967" s="2" t="s">
        <v>1905</v>
      </c>
      <c r="B3967" s="3" t="str">
        <f>IFERROR(__xludf.DUMMYFUNCTION("GOOGLETRANSLATE(A3967, ""ar"", ""bn"")"),"রাজনৈতিক সহিংসতা")</f>
        <v>রাজনৈতিক সহিংসতা</v>
      </c>
    </row>
    <row r="3968">
      <c r="A3968" s="2" t="s">
        <v>613</v>
      </c>
      <c r="B3968" s="3" t="str">
        <f>IFERROR(__xludf.DUMMYFUNCTION("GOOGLETRANSLATE(A3968, ""ar"", ""bn"")"),"চার্টার যুগ")</f>
        <v>চার্টার যুগ</v>
      </c>
    </row>
    <row r="3969">
      <c r="A3969" s="2" t="s">
        <v>2273</v>
      </c>
      <c r="B3969" s="3" t="str">
        <f>IFERROR(__xludf.DUMMYFUNCTION("GOOGLETRANSLATE(A3969, ""ar"", ""bn"")"),"যুদ্ধের পরিণতি")</f>
        <v>যুদ্ধের পরিণতি</v>
      </c>
    </row>
    <row r="3970">
      <c r="A3970" s="2" t="s">
        <v>2793</v>
      </c>
      <c r="B3970" s="3" t="str">
        <f>IFERROR(__xludf.DUMMYFUNCTION("GOOGLETRANSLATE(A3970, ""ar"", ""bn"")"),"উপাদানগুলোও কূটনৈতিক পার্থক্য নেতৃস্থানীয়")</f>
        <v>উপাদানগুলোও কূটনৈতিক পার্থক্য নেতৃস্থানীয়</v>
      </c>
    </row>
    <row r="3971">
      <c r="A3971" s="2" t="s">
        <v>1839</v>
      </c>
      <c r="B3971" s="3" t="str">
        <f>IFERROR(__xludf.DUMMYFUNCTION("GOOGLETRANSLATE(A3971, ""ar"", ""bn"")"),"রাজনৈতিক কারণের")</f>
        <v>রাজনৈতিক কারণের</v>
      </c>
    </row>
    <row r="3972">
      <c r="A3972" s="2" t="s">
        <v>209</v>
      </c>
      <c r="B3972" s="3" t="str">
        <f>IFERROR(__xludf.DUMMYFUNCTION("GOOGLETRANSLATE(A3972, ""ar"", ""bn"")"),"এয়ার স্ট্রাইক")</f>
        <v>এয়ার স্ট্রাইক</v>
      </c>
    </row>
    <row r="3973">
      <c r="A3973" s="2" t="s">
        <v>1717</v>
      </c>
      <c r="B3973" s="3" t="str">
        <f>IFERROR(__xludf.DUMMYFUNCTION("GOOGLETRANSLATE(A3973, ""ar"", ""bn"")"),"সংসদীয় কক্ষ")</f>
        <v>সংসদীয় কক্ষ</v>
      </c>
    </row>
    <row r="3974">
      <c r="A3974" s="2" t="s">
        <v>213</v>
      </c>
      <c r="B3974" s="3" t="str">
        <f>IFERROR(__xludf.DUMMYFUNCTION("GOOGLETRANSLATE(A3974, ""ar"", ""bn"")"),"স্ট্রেঞ্জ দেশ")</f>
        <v>স্ট্রেঞ্জ দেশ</v>
      </c>
    </row>
    <row r="3975">
      <c r="A3975" s="2" t="s">
        <v>213</v>
      </c>
      <c r="B3975" s="3" t="str">
        <f>IFERROR(__xludf.DUMMYFUNCTION("GOOGLETRANSLATE(A3975, ""ar"", ""bn"")"),"স্ট্রেঞ্জ দেশ")</f>
        <v>স্ট্রেঞ্জ দেশ</v>
      </c>
    </row>
    <row r="3976">
      <c r="A3976" s="2" t="s">
        <v>365</v>
      </c>
      <c r="B3976" s="3" t="str">
        <f>IFERROR(__xludf.DUMMYFUNCTION("GOOGLETRANSLATE(A3976, ""ar"", ""bn"")"),"ওয়াশ ড্রেন")</f>
        <v>ওয়াশ ড্রেন</v>
      </c>
    </row>
    <row r="3977">
      <c r="A3977" s="2" t="s">
        <v>2583</v>
      </c>
      <c r="B3977" s="3" t="str">
        <f>IFERROR(__xludf.DUMMYFUNCTION("GOOGLETRANSLATE(A3977, ""ar"", ""bn"")"),"রাজনৈতিক সিদ্ধান্তে অস্পষ্টতা")</f>
        <v>রাজনৈতিক সিদ্ধান্তে অস্পষ্টতা</v>
      </c>
    </row>
    <row r="3978">
      <c r="A3978" s="2" t="s">
        <v>673</v>
      </c>
      <c r="B3978" s="3" t="str">
        <f>IFERROR(__xludf.DUMMYFUNCTION("GOOGLETRANSLATE(A3978, ""ar"", ""bn"")"),"জননেতৃত্ব")</f>
        <v>জননেতৃত্ব</v>
      </c>
    </row>
    <row r="3979">
      <c r="A3979" s="2" t="s">
        <v>1097</v>
      </c>
      <c r="B3979" s="3" t="str">
        <f>IFERROR(__xludf.DUMMYFUNCTION("GOOGLETRANSLATE(A3979, ""ar"", ""bn"")"),"রাজ্য একাত্মতার না")</f>
        <v>রাজ্য একাত্মতার না</v>
      </c>
    </row>
    <row r="3980">
      <c r="A3980" s="2" t="s">
        <v>2794</v>
      </c>
      <c r="B3980" s="3" t="str">
        <f>IFERROR(__xludf.DUMMYFUNCTION("GOOGLETRANSLATE(A3980, ""ar"", ""bn"")"),"কূটনৈতিক আলোচনার জন্য খুব দেরি")</f>
        <v>কূটনৈতিক আলোচনার জন্য খুব দেরি</v>
      </c>
    </row>
    <row r="3981">
      <c r="A3981" s="2" t="s">
        <v>969</v>
      </c>
      <c r="B3981" s="3" t="str">
        <f>IFERROR(__xludf.DUMMYFUNCTION("GOOGLETRANSLATE(A3981, ""ar"", ""bn"")"),"ফ্যাসিবাদ")</f>
        <v>ফ্যাসিবাদ</v>
      </c>
    </row>
    <row r="3982">
      <c r="A3982" s="2" t="s">
        <v>490</v>
      </c>
      <c r="B3982" s="3" t="str">
        <f>IFERROR(__xludf.DUMMYFUNCTION("GOOGLETRANSLATE(A3982, ""ar"", ""bn"")"),"বুদ্ধিসম্পন্নতা")</f>
        <v>বুদ্ধিসম্পন্নতা</v>
      </c>
    </row>
    <row r="3983">
      <c r="A3983" s="2" t="s">
        <v>439</v>
      </c>
      <c r="B3983" s="3" t="str">
        <f>IFERROR(__xludf.DUMMYFUNCTION("GOOGLETRANSLATE(A3983, ""ar"", ""bn"")"),"অভ্যন্তরীণ শত্রুতা")</f>
        <v>অভ্যন্তরীণ শত্রুতা</v>
      </c>
    </row>
    <row r="3984">
      <c r="A3984" s="2" t="s">
        <v>2247</v>
      </c>
      <c r="B3984" s="3" t="str">
        <f>IFERROR(__xludf.DUMMYFUNCTION("GOOGLETRANSLATE(A3984, ""ar"", ""bn"")"),"প্রশ্নঃ শেষ সাম্প্রদায়িক")</f>
        <v>প্রশ্নঃ শেষ সাম্প্রদায়িক</v>
      </c>
    </row>
    <row r="3985">
      <c r="A3985" s="2" t="s">
        <v>1201</v>
      </c>
      <c r="B3985" s="3" t="str">
        <f>IFERROR(__xludf.DUMMYFUNCTION("GOOGLETRANSLATE(A3985, ""ar"", ""bn"")"),"আন্তর্জাতিক শীতলতা")</f>
        <v>আন্তর্জাতিক শীতলতা</v>
      </c>
    </row>
    <row r="3986">
      <c r="A3986" s="2" t="s">
        <v>476</v>
      </c>
      <c r="B3986" s="3" t="str">
        <f>IFERROR(__xludf.DUMMYFUNCTION("GOOGLETRANSLATE(A3986, ""ar"", ""bn"")"),"সম্ভাব্য")</f>
        <v>সম্ভাব্য</v>
      </c>
    </row>
    <row r="3987">
      <c r="A3987" s="2" t="s">
        <v>871</v>
      </c>
      <c r="B3987" s="3" t="str">
        <f>IFERROR(__xludf.DUMMYFUNCTION("GOOGLETRANSLATE(A3987, ""ar"", ""bn"")"),"জোর করে আইন জোরদার")</f>
        <v>জোর করে আইন জোরদার</v>
      </c>
    </row>
    <row r="3988">
      <c r="A3988" s="2" t="s">
        <v>1245</v>
      </c>
      <c r="B3988" s="3" t="str">
        <f>IFERROR(__xludf.DUMMYFUNCTION("GOOGLETRANSLATE(A3988, ""ar"", ""bn"")"),"আন্তর্জাতিক হস্তক্ষেপের দল")</f>
        <v>আন্তর্জাতিক হস্তক্ষেপের দল</v>
      </c>
    </row>
    <row r="3989">
      <c r="A3989" s="2" t="s">
        <v>1253</v>
      </c>
      <c r="B3989" s="3" t="str">
        <f>IFERROR(__xludf.DUMMYFUNCTION("GOOGLETRANSLATE(A3989, ""ar"", ""bn"")"),"আন্তর্জাতিক মধ্যস্থতা দল")</f>
        <v>আন্তর্জাতিক মধ্যস্থতা দল</v>
      </c>
    </row>
    <row r="3990">
      <c r="A3990" s="2" t="s">
        <v>1065</v>
      </c>
      <c r="B3990" s="3" t="str">
        <f>IFERROR(__xludf.DUMMYFUNCTION("GOOGLETRANSLATE(A3990, ""ar"", ""bn"")"),"দুর্নীতি ক্ষমতাসীন")</f>
        <v>দুর্নীতি ক্ষমতাসীন</v>
      </c>
    </row>
    <row r="3991">
      <c r="A3991" s="2" t="s">
        <v>731</v>
      </c>
      <c r="B3991" s="3" t="str">
        <f>IFERROR(__xludf.DUMMYFUNCTION("GOOGLETRANSLATE(A3991, ""ar"", ""bn"")"),"দুর্নীতি কূটনীতিক")</f>
        <v>দুর্নীতি কূটনীতিক</v>
      </c>
    </row>
    <row r="3992">
      <c r="A3992" s="2" t="s">
        <v>1227</v>
      </c>
      <c r="B3992" s="3" t="str">
        <f>IFERROR(__xludf.DUMMYFUNCTION("GOOGLETRANSLATE(A3992, ""ar"", ""bn"")"),"আন্তর্জাতিক দুর্নীতি")</f>
        <v>আন্তর্জাতিক দুর্নীতি</v>
      </c>
    </row>
    <row r="3993">
      <c r="A3993" s="2" t="s">
        <v>1815</v>
      </c>
      <c r="B3993" s="3" t="str">
        <f>IFERROR(__xludf.DUMMYFUNCTION("GOOGLETRANSLATE(A3993, ""ar"", ""bn"")"),"Squalor")</f>
        <v>Squalor</v>
      </c>
    </row>
    <row r="3994">
      <c r="A3994" s="2" t="s">
        <v>2795</v>
      </c>
      <c r="B3994" s="3" t="str">
        <f>IFERROR(__xludf.DUMMYFUNCTION("GOOGLETRANSLATE(A3994, ""ar"", ""bn"")"),"আন্তর্জাতিক ন্যায়বিচার প্রয়োগ করতে ব্যর্থ হয়েছে")</f>
        <v>আন্তর্জাতিক ন্যায়বিচার প্রয়োগ করতে ব্যর্থ হয়েছে</v>
      </c>
    </row>
    <row r="3995">
      <c r="A3995" s="2" t="s">
        <v>2270</v>
      </c>
      <c r="B3995" s="3" t="str">
        <f>IFERROR(__xludf.DUMMYFUNCTION("GOOGLETRANSLATE(A3995, ""ar"", ""bn"")"),"ক্ষমতা বিচ্ছেদ")</f>
        <v>ক্ষমতা বিচ্ছেদ</v>
      </c>
    </row>
    <row r="3996">
      <c r="A3996" s="2" t="s">
        <v>2269</v>
      </c>
      <c r="B3996" s="3" t="str">
        <f>IFERROR(__xludf.DUMMYFUNCTION("GOOGLETRANSLATE(A3996, ""ar"", ""bn"")"),"ফোর্সেস ডেটার বিচ্ছেদ")</f>
        <v>ফোর্সেস ডেটার বিচ্ছেদ</v>
      </c>
    </row>
    <row r="3997">
      <c r="A3997" s="2" t="s">
        <v>2796</v>
      </c>
      <c r="B3997" s="3" t="str">
        <f>IFERROR(__xludf.DUMMYFUNCTION("GOOGLETRANSLATE(A3997, ""ar"", ""bn"")"),"সরকার কর্তৃপক্ষ মধ্যে বিচ্ছেদ")</f>
        <v>সরকার কর্তৃপক্ষ মধ্যে বিচ্ছেদ</v>
      </c>
    </row>
    <row r="3998">
      <c r="A3998" s="2" t="s">
        <v>2268</v>
      </c>
      <c r="B3998" s="3" t="str">
        <f>IFERROR(__xludf.DUMMYFUNCTION("GOOGLETRANSLATE(A3998, ""ar"", ""bn"")"),"পক্ষের মধ্যে ক্ষমতার বিচ্ছেদ")</f>
        <v>পক্ষের মধ্যে ক্ষমতার বিচ্ছেদ</v>
      </c>
    </row>
    <row r="3999">
      <c r="A3999" s="2" t="s">
        <v>468</v>
      </c>
      <c r="B3999" s="3" t="str">
        <f>IFERROR(__xludf.DUMMYFUNCTION("GOOGLETRANSLATE(A3999, ""ar"", ""bn"")"),"রাজনৈতিক")</f>
        <v>রাজনৈতিক</v>
      </c>
    </row>
    <row r="4000">
      <c r="A4000" s="2" t="s">
        <v>2059</v>
      </c>
      <c r="B4000" s="3" t="str">
        <f>IFERROR(__xludf.DUMMYFUNCTION("GOOGLETRANSLATE(A4000, ""ar"", ""bn"")"),"অপরিহার্য উপাদান পৃথক করা")</f>
        <v>অপরিহার্য উপাদান পৃথক করা</v>
      </c>
    </row>
    <row r="4001">
      <c r="A4001" s="2" t="s">
        <v>719</v>
      </c>
      <c r="B4001" s="3" t="str">
        <f>IFERROR(__xludf.DUMMYFUNCTION("GOOGLETRANSLATE(A4001, ""ar"", ""bn"")"),"কূটনৈতিক ঘটনা")</f>
        <v>কূটনৈতিক ঘটনা</v>
      </c>
    </row>
    <row r="4002">
      <c r="A4002" s="2" t="s">
        <v>828</v>
      </c>
      <c r="B4002" s="3" t="str">
        <f>IFERROR(__xludf.DUMMYFUNCTION("GOOGLETRANSLATE(A4002, ""ar"", ""bn"")"),"কূটনৈতিক মিশন কার্যকারিতা")</f>
        <v>কূটনৈতিক মিশন কার্যকারিতা</v>
      </c>
    </row>
    <row r="4003">
      <c r="A4003" s="2" t="s">
        <v>829</v>
      </c>
      <c r="B4003" s="3" t="str">
        <f>IFERROR(__xludf.DUMMYFUNCTION("GOOGLETRANSLATE(A4003, ""ar"", ""bn"")"),"রাজনৈতিক কাজের কার্যকারিতা")</f>
        <v>রাজনৈতিক কাজের কার্যকারিতা</v>
      </c>
    </row>
    <row r="4004">
      <c r="A4004" s="2" t="s">
        <v>1869</v>
      </c>
      <c r="B4004" s="3" t="str">
        <f>IFERROR(__xludf.DUMMYFUNCTION("GOOGLETRANSLATE(A4004, ""ar"", ""bn"")"),"রাজনীতি দর্শনশাস্ত্র")</f>
        <v>রাজনীতি দর্শনশাস্ত্র</v>
      </c>
    </row>
    <row r="4005">
      <c r="A4005" s="2" t="s">
        <v>2356</v>
      </c>
      <c r="B4005" s="3" t="str">
        <f>IFERROR(__xludf.DUMMYFUNCTION("GOOGLETRANSLATE(A4005, ""ar"", ""bn"")"),"রাষ্টীয় বিষয়াবলি পরিচালনার শিল্প")</f>
        <v>রাষ্টীয় বিষয়াবলি পরিচালনার শিল্প</v>
      </c>
    </row>
    <row r="4006">
      <c r="A4006" s="2" t="s">
        <v>2642</v>
      </c>
      <c r="B4006" s="3" t="str">
        <f>IFERROR(__xludf.DUMMYFUNCTION("GOOGLETRANSLATE(A4006, ""ar"", ""bn"")"),"যুদ্ধ অপারেশনের শিল্প")</f>
        <v>যুদ্ধ অপারেশনের শিল্প</v>
      </c>
    </row>
    <row r="4007">
      <c r="A4007" s="2" t="s">
        <v>1738</v>
      </c>
      <c r="B4007" s="3" t="str">
        <f>IFERROR(__xludf.DUMMYFUNCTION("GOOGLETRANSLATE(A4007, ""ar"", ""bn"")"),"শান্তি উপকারিতা")</f>
        <v>শান্তি উপকারিতা</v>
      </c>
    </row>
    <row r="4008">
      <c r="A4008" s="2" t="s">
        <v>237</v>
      </c>
      <c r="B4008" s="3" t="str">
        <f>IFERROR(__xludf.DUMMYFUNCTION("GOOGLETRANSLATE(A4008, ""ar"", ""bn"")"),"বিশৃঙ্খল")</f>
        <v>বিশৃঙ্খল</v>
      </c>
    </row>
    <row r="4009">
      <c r="A4009" s="2" t="s">
        <v>239</v>
      </c>
      <c r="B4009" s="3" t="str">
        <f>IFERROR(__xludf.DUMMYFUNCTION("GOOGLETRANSLATE(A4009, ""ar"", ""bn"")"),"বিশৃঙ্খলা")</f>
        <v>বিশৃঙ্খলা</v>
      </c>
    </row>
    <row r="4010">
      <c r="A4010" s="2" t="s">
        <v>1796</v>
      </c>
      <c r="B4010" s="3" t="str">
        <f>IFERROR(__xludf.DUMMYFUNCTION("GOOGLETRANSLATE(A4010, ""ar"", ""bn"")"),"অরাজকতা")</f>
        <v>অরাজকতা</v>
      </c>
    </row>
    <row r="4011">
      <c r="A4011" s="2" t="s">
        <v>284</v>
      </c>
      <c r="B4011" s="3" t="str">
        <f>IFERROR(__xludf.DUMMYFUNCTION("GOOGLETRANSLATE(A4011, ""ar"", ""bn"")"),"সেনাবাহিনী কর্পস")</f>
        <v>সেনাবাহিনী কর্পস</v>
      </c>
    </row>
    <row r="4012">
      <c r="A4012" s="2" t="s">
        <v>1332</v>
      </c>
      <c r="B4012" s="3" t="str">
        <f>IFERROR(__xludf.DUMMYFUNCTION("GOOGLETRANSLATE(A4012, ""ar"", ""bn"")"),"SPLM কমান্ডার")</f>
        <v>SPLM কমান্ডার</v>
      </c>
    </row>
    <row r="4013">
      <c r="A4013" s="2" t="s">
        <v>426</v>
      </c>
      <c r="B4013" s="3" t="str">
        <f>IFERROR(__xludf.DUMMYFUNCTION("GOOGLETRANSLATE(A4013, ""ar"", ""bn"")"),"রাষ্ট্রনিযুক্তক")</f>
        <v>রাষ্ট্রনিযুক্তক</v>
      </c>
    </row>
    <row r="4014">
      <c r="A4014" s="2" t="s">
        <v>1711</v>
      </c>
      <c r="B4014" s="3" t="str">
        <f>IFERROR(__xludf.DUMMYFUNCTION("GOOGLETRANSLATE(A4014, ""ar"", ""bn"")"),"প্রার্থীদের তালিকা")</f>
        <v>প্রার্থীদের তালিকা</v>
      </c>
    </row>
    <row r="4015">
      <c r="A4015" s="2" t="s">
        <v>1395</v>
      </c>
      <c r="B4015" s="3" t="str">
        <f>IFERROR(__xludf.DUMMYFUNCTION("GOOGLETRANSLATE(A4015, ""ar"", ""bn"")"),"ভোটার তালিকা")</f>
        <v>ভোটার তালিকা</v>
      </c>
    </row>
    <row r="4016">
      <c r="A4016" s="2" t="s">
        <v>2066</v>
      </c>
      <c r="B4016" s="3" t="str">
        <f>IFERROR(__xludf.DUMMYFUNCTION("GOOGLETRANSLATE(A4016, ""ar"", ""bn"")"),"সঙ্কোচনীয় পুনঃনির্বাচনের")</f>
        <v>সঙ্কোচনীয় পুনঃনির্বাচনের</v>
      </c>
    </row>
    <row r="4017">
      <c r="A4017" s="2" t="s">
        <v>288</v>
      </c>
      <c r="B4017" s="3" t="str">
        <f>IFERROR(__xludf.DUMMYFUNCTION("GOOGLETRANSLATE(A4017, ""ar"", ""bn"")"),"সভা কক্ষ")</f>
        <v>সভা কক্ষ</v>
      </c>
    </row>
    <row r="4018">
      <c r="A4018" s="2" t="s">
        <v>302</v>
      </c>
      <c r="B4018" s="3" t="str">
        <f>IFERROR(__xludf.DUMMYFUNCTION("GOOGLETRANSLATE(A4018, ""ar"", ""bn"")"),"সরকারী মিটিং হল")</f>
        <v>সরকারী মিটিং হল</v>
      </c>
    </row>
    <row r="4019">
      <c r="A4019" s="2" t="s">
        <v>1959</v>
      </c>
      <c r="B4019" s="3" t="str">
        <f>IFERROR(__xludf.DUMMYFUNCTION("GOOGLETRANSLATE(A4019, ""ar"", ""bn"")"),"অনার হল")</f>
        <v>অনার হল</v>
      </c>
    </row>
    <row r="4020">
      <c r="A4020" s="2" t="s">
        <v>557</v>
      </c>
      <c r="B4020" s="3" t="str">
        <f>IFERROR(__xludf.DUMMYFUNCTION("GOOGLETRANSLATE(A4020, ""ar"", ""bn"")"),"সাংবিধানিক আইন")</f>
        <v>সাংবিধানিক আইন</v>
      </c>
    </row>
    <row r="4021">
      <c r="A4021" s="2" t="s">
        <v>589</v>
      </c>
      <c r="B4021" s="3" t="str">
        <f>IFERROR(__xludf.DUMMYFUNCTION("GOOGLETRANSLATE(A4021, ""ar"", ""bn"")"),"চুক্তি আইন")</f>
        <v>চুক্তি আইন</v>
      </c>
    </row>
    <row r="4022">
      <c r="A4022" s="2" t="s">
        <v>1014</v>
      </c>
      <c r="B4022" s="3" t="str">
        <f>IFERROR(__xludf.DUMMYFUNCTION("GOOGLETRANSLATE(A4022, ""ar"", ""bn"")"),"aliens আইনের")</f>
        <v>aliens আইনের</v>
      </c>
    </row>
    <row r="4023">
      <c r="A4023" s="2" t="s">
        <v>463</v>
      </c>
      <c r="B4023" s="3" t="str">
        <f>IFERROR(__xludf.DUMMYFUNCTION("GOOGLETRANSLATE(A4023, ""ar"", ""bn"")"),"রাজনৈতিক দল আইন")</f>
        <v>রাজনৈতিক দল আইন</v>
      </c>
    </row>
    <row r="4024">
      <c r="A4024" s="2" t="s">
        <v>1429</v>
      </c>
      <c r="B4024" s="3" t="str">
        <f>IFERROR(__xludf.DUMMYFUNCTION("GOOGLETRANSLATE(A4024, ""ar"", ""bn"")"),"মার্শাল স্থিতি আইন")</f>
        <v>মার্শাল স্থিতি আইন</v>
      </c>
    </row>
    <row r="4025">
      <c r="A4025" s="2" t="s">
        <v>462</v>
      </c>
      <c r="B4025" s="3" t="str">
        <f>IFERROR(__xludf.DUMMYFUNCTION("GOOGLETRANSLATE(A4025, ""ar"", ""bn"")"),"নেশনস আইন")</f>
        <v>নেশনস আইন</v>
      </c>
    </row>
    <row r="4026">
      <c r="A4026" s="2" t="s">
        <v>839</v>
      </c>
      <c r="B4026" s="3" t="str">
        <f>IFERROR(__xludf.DUMMYFUNCTION("GOOGLETRANSLATE(A4026, ""ar"", ""bn"")"),"নির্বাচন আইন")</f>
        <v>নির্বাচন আইন</v>
      </c>
    </row>
    <row r="4027">
      <c r="A4027" s="2" t="s">
        <v>1583</v>
      </c>
      <c r="B4027" s="3" t="str">
        <f>IFERROR(__xludf.DUMMYFUNCTION("GOOGLETRANSLATE(A4027, ""ar"", ""bn"")"),"জাতীয়তা আইন")</f>
        <v>জাতীয়তা আইন</v>
      </c>
    </row>
    <row r="4028">
      <c r="A4028" s="2" t="s">
        <v>317</v>
      </c>
      <c r="B4028" s="3" t="str">
        <f>IFERROR(__xludf.DUMMYFUNCTION("GOOGLETRANSLATE(A4028, ""ar"", ""bn"")"),"স্বায়ত্তশাসনের আইন")</f>
        <v>স্বায়ত্তশাসনের আইন</v>
      </c>
    </row>
    <row r="4029">
      <c r="A4029" s="2" t="s">
        <v>776</v>
      </c>
      <c r="B4029" s="3" t="str">
        <f>IFERROR(__xludf.DUMMYFUNCTION("GOOGLETRANSLATE(A4029, ""ar"", ""bn"")"),"কূটনৈতিক আইন")</f>
        <v>কূটনৈতিক আইন</v>
      </c>
    </row>
    <row r="4030">
      <c r="A4030" s="2" t="s">
        <v>2350</v>
      </c>
      <c r="B4030" s="3" t="str">
        <f>IFERROR(__xludf.DUMMYFUNCTION("GOOGLETRANSLATE(A4030, ""ar"", ""bn"")"),"আইন রাজ্যের")</f>
        <v>আইন রাজ্যের</v>
      </c>
    </row>
    <row r="4031">
      <c r="A4031" s="2" t="s">
        <v>1994</v>
      </c>
      <c r="B4031" s="3" t="str">
        <f>IFERROR(__xludf.DUMMYFUNCTION("GOOGLETRANSLATE(A4031, ""ar"", ""bn"")"),"ব্যক্তিগত ইন্টারন্যাশনাল ল")</f>
        <v>ব্যক্তিগত ইন্টারন্যাশনাল ল</v>
      </c>
    </row>
    <row r="4032">
      <c r="A4032" s="2" t="s">
        <v>2037</v>
      </c>
      <c r="B4032" s="3" t="str">
        <f>IFERROR(__xludf.DUMMYFUNCTION("GOOGLETRANSLATE(A4032, ""ar"", ""bn"")"),"জন আন্তর্জাতিক আইন")</f>
        <v>জন আন্তর্জাতিক আইন</v>
      </c>
    </row>
    <row r="4033">
      <c r="A4033" s="2" t="s">
        <v>461</v>
      </c>
      <c r="B4033" s="3" t="str">
        <f>IFERROR(__xludf.DUMMYFUNCTION("GOOGLETRANSLATE(A4033, ""ar"", ""bn"")"),"আচার কূটনৈতিক কোড")</f>
        <v>আচার কূটনৈতিক কোড</v>
      </c>
    </row>
    <row r="4034">
      <c r="A4034" s="2" t="s">
        <v>1317</v>
      </c>
      <c r="B4034" s="3" t="str">
        <f>IFERROR(__xludf.DUMMYFUNCTION("GOOGLETRANSLATE(A4034, ""ar"", ""bn"")"),"পিপলস আইনের")</f>
        <v>পিপলস আইনের</v>
      </c>
    </row>
    <row r="4035">
      <c r="A4035" s="2" t="s">
        <v>857</v>
      </c>
      <c r="B4035" s="3" t="str">
        <f>IFERROR(__xludf.DUMMYFUNCTION("GOOGLETRANSLATE(A4035, ""ar"", ""bn"")"),"জরুরি আইন")</f>
        <v>জরুরি আইন</v>
      </c>
    </row>
    <row r="4036">
      <c r="A4036" s="2" t="s">
        <v>1268</v>
      </c>
      <c r="B4036" s="3" t="str">
        <f>IFERROR(__xludf.DUMMYFUNCTION("GOOGLETRANSLATE(A4036, ""ar"", ""bn"")"),"আন্তর্জাতিক সম্পর্ক আইন")</f>
        <v>আন্তর্জাতিক সম্পর্ক আইন</v>
      </c>
    </row>
    <row r="4037">
      <c r="A4037" s="2" t="s">
        <v>925</v>
      </c>
      <c r="B4037" s="3" t="str">
        <f>IFERROR(__xludf.DUMMYFUNCTION("GOOGLETRANSLATE(A4037, ""ar"", ""bn"")"),"প্রবাসী আইন")</f>
        <v>প্রবাসী আইন</v>
      </c>
    </row>
    <row r="4038">
      <c r="A4038" s="2" t="s">
        <v>2357</v>
      </c>
      <c r="B4038" s="3" t="str">
        <f>IFERROR(__xludf.DUMMYFUNCTION("GOOGLETRANSLATE(A4038, ""ar"", ""bn"")"),"আন্তর্জাতিক সংগঠন আইন")</f>
        <v>আন্তর্জাতিক সংগঠন আইন</v>
      </c>
    </row>
    <row r="4039">
      <c r="A4039" s="2" t="s">
        <v>1330</v>
      </c>
      <c r="B4039" s="3" t="str">
        <f>IFERROR(__xludf.DUMMYFUNCTION("GOOGLETRANSLATE(A4039, ""ar"", ""bn"")"),"তথ্য আইনের সুরক্ষা")</f>
        <v>তথ্য আইনের সুরক্ষা</v>
      </c>
    </row>
    <row r="4040">
      <c r="A4040" s="2" t="s">
        <v>2525</v>
      </c>
      <c r="B4040" s="3" t="str">
        <f>IFERROR(__xludf.DUMMYFUNCTION("GOOGLETRANSLATE(A4040, ""ar"", ""bn"")"),"আইন অসাংবিধানিক")</f>
        <v>আইন অসাংবিধানিক</v>
      </c>
    </row>
    <row r="4041">
      <c r="A4041" s="2" t="s">
        <v>1400</v>
      </c>
      <c r="B4041" s="3" t="str">
        <f>IFERROR(__xludf.DUMMYFUNCTION("GOOGLETRANSLATE(A4041, ""ar"", ""bn"")"),"আইন প্রতিস্থাপন")</f>
        <v>আইন প্রতিস্থাপন</v>
      </c>
    </row>
    <row r="4042">
      <c r="A4042" s="2" t="s">
        <v>520</v>
      </c>
      <c r="B4042" s="3" t="str">
        <f>IFERROR(__xludf.DUMMYFUNCTION("GOOGLETRANSLATE(A4042, ""ar"", ""bn"")"),"একজন পুলিশ স্বীকার করুন")</f>
        <v>একজন পুলিশ স্বীকার করুন</v>
      </c>
    </row>
    <row r="4043">
      <c r="A4043" s="2" t="s">
        <v>2570</v>
      </c>
      <c r="B4043" s="3" t="str">
        <f>IFERROR(__xludf.DUMMYFUNCTION("GOOGLETRANSLATE(A4043, ""ar"", ""bn"")"),"রিজার্ভেশন ছাড়া ডিসিশন")</f>
        <v>রিজার্ভেশন ছাড়া ডিসিশন</v>
      </c>
    </row>
    <row r="4044">
      <c r="A4044" s="2" t="s">
        <v>1940</v>
      </c>
      <c r="B4044" s="3" t="str">
        <f>IFERROR(__xludf.DUMMYFUNCTION("GOOGLETRANSLATE(A4044, ""ar"", ""bn"")"),"একটি প্রাথমিক সিদ্ধান্ত")</f>
        <v>একটি প্রাথমিক সিদ্ধান্ত</v>
      </c>
    </row>
    <row r="4045">
      <c r="A4045" s="2" t="s">
        <v>1890</v>
      </c>
      <c r="B4045" s="3" t="str">
        <f>IFERROR(__xludf.DUMMYFUNCTION("GOOGLETRANSLATE(A4045, ""ar"", ""bn"")"),"একটি রাজনৈতিক সিদ্ধান্ত")</f>
        <v>একটি রাজনৈতিক সিদ্ধান্ত</v>
      </c>
    </row>
    <row r="4046">
      <c r="A4046" s="2" t="s">
        <v>968</v>
      </c>
      <c r="B4046" s="3" t="str">
        <f>IFERROR(__xludf.DUMMYFUNCTION("GOOGLETRANSLATE(A4046, ""ar"", ""bn"")"),"একটি রাজনৈতিক সিদ্ধান্ত দূরদর্শী")</f>
        <v>একটি রাজনৈতিক সিদ্ধান্ত দূরদর্শী</v>
      </c>
    </row>
    <row r="4047">
      <c r="A4047" s="2" t="s">
        <v>399</v>
      </c>
      <c r="B4047" s="3" t="str">
        <f>IFERROR(__xludf.DUMMYFUNCTION("GOOGLETRANSLATE(A4047, ""ar"", ""bn"")"),"একটি গুরুত্বপূর্ণ রাজনৈতিক সিদ্ধান্ত")</f>
        <v>একটি গুরুত্বপূর্ণ রাজনৈতিক সিদ্ধান্ত</v>
      </c>
    </row>
    <row r="4048">
      <c r="A4048" s="2" t="s">
        <v>508</v>
      </c>
      <c r="B4048" s="3" t="str">
        <f>IFERROR(__xludf.DUMMYFUNCTION("GOOGLETRANSLATE(A4048, ""ar"", ""bn"")"),"একটি রাজনৈতিক বাঁধাই সিদ্ধান্ত")</f>
        <v>একটি রাজনৈতিক বাঁধাই সিদ্ধান্ত</v>
      </c>
    </row>
    <row r="4049">
      <c r="A4049" s="2" t="s">
        <v>2520</v>
      </c>
      <c r="B4049" s="3" t="str">
        <f>IFERROR(__xludf.DUMMYFUNCTION("GOOGLETRANSLATE(A4049, ""ar"", ""bn"")"),"সিদ্ধান্ত অনিশ্চিত")</f>
        <v>সিদ্ধান্ত অনিশ্চিত</v>
      </c>
    </row>
    <row r="4050">
      <c r="A4050" s="2" t="s">
        <v>2151</v>
      </c>
      <c r="B4050" s="3" t="str">
        <f>IFERROR(__xludf.DUMMYFUNCTION("GOOGLETRANSLATE(A4050, ""ar"", ""bn"")"),"মিউজিয়াম সিদ্ধান্ত জে")</f>
        <v>মিউজিয়াম সিদ্ধান্ত জে</v>
      </c>
    </row>
    <row r="4051">
      <c r="A4051" s="2" t="s">
        <v>1311</v>
      </c>
      <c r="B4051" s="3" t="str">
        <f>IFERROR(__xludf.DUMMYFUNCTION("GOOGLETRANSLATE(A4051, ""ar"", ""bn"")"),"যৌথ সিদ্ধান্ত")</f>
        <v>যৌথ সিদ্ধান্ত</v>
      </c>
    </row>
    <row r="4052">
      <c r="A4052" s="2" t="s">
        <v>2259</v>
      </c>
      <c r="B4052" s="3" t="str">
        <f>IFERROR(__xludf.DUMMYFUNCTION("GOOGLETRANSLATE(A4052, ""ar"", ""bn"")"),"শেখ বোর্ডের সিদ্ধান্ত")</f>
        <v>শেখ বোর্ডের সিদ্ধান্ত</v>
      </c>
    </row>
    <row r="4053">
      <c r="A4053" s="2" t="s">
        <v>1269</v>
      </c>
      <c r="B4053" s="3" t="str">
        <f>IFERROR(__xludf.DUMMYFUNCTION("GOOGLETRANSLATE(A4053, ""ar"", ""bn"")"),"আন্তর্জাতিক রেজুলেশন")</f>
        <v>আন্তর্জাতিক রেজুলেশন</v>
      </c>
    </row>
    <row r="4054">
      <c r="A4054" s="2" t="s">
        <v>1964</v>
      </c>
      <c r="B4054" s="3" t="str">
        <f>IFERROR(__xludf.DUMMYFUNCTION("GOOGLETRANSLATE(A4054, ""ar"", ""bn"")"),"রাষ্ট্রপতি রায়গুলো")</f>
        <v>রাষ্ট্রপতি রায়গুলো</v>
      </c>
    </row>
    <row r="4055">
      <c r="A4055" s="2" t="s">
        <v>1792</v>
      </c>
      <c r="B4055" s="3" t="str">
        <f>IFERROR(__xludf.DUMMYFUNCTION("GOOGLETRANSLATE(A4055, ""ar"", ""bn"")"),"রাজনৈতিক সিদ্ধান্ত")</f>
        <v>রাজনৈতিক সিদ্ধান্ত</v>
      </c>
    </row>
    <row r="4056">
      <c r="A4056" s="2" t="s">
        <v>344</v>
      </c>
      <c r="B4056" s="3" t="str">
        <f>IFERROR(__xludf.DUMMYFUNCTION("GOOGLETRANSLATE(A4056, ""ar"", ""bn"")"),"রাজনৈতিক বাঁধাই সিদ্ধান্ত")</f>
        <v>রাজনৈতিক বাঁধাই সিদ্ধান্ত</v>
      </c>
    </row>
    <row r="4057">
      <c r="A4057" s="2" t="s">
        <v>1933</v>
      </c>
      <c r="B4057" s="3" t="str">
        <f>IFERROR(__xludf.DUMMYFUNCTION("GOOGLETRANSLATE(A4057, ""ar"", ""bn"")"),"অগ্রিম সিদ্ধান্তে প্রস্তুত")</f>
        <v>অগ্রিম সিদ্ধান্তে প্রস্তুত</v>
      </c>
    </row>
    <row r="4058">
      <c r="A4058" s="2" t="s">
        <v>563</v>
      </c>
      <c r="B4058" s="3" t="str">
        <f>IFERROR(__xludf.DUMMYFUNCTION("GOOGLETRANSLATE(A4058, ""ar"", ""bn"")"),"প্রয়োজন বলপ্রয়োগ")</f>
        <v>প্রয়োজন বলপ্রয়োগ</v>
      </c>
    </row>
    <row r="4059">
      <c r="A4059" s="2" t="s">
        <v>552</v>
      </c>
      <c r="B4059" s="3" t="str">
        <f>IFERROR(__xludf.DUMMYFUNCTION("GOOGLETRANSLATE(A4059, ""ar"", ""bn"")"),"এস সি এম সংবিধান")</f>
        <v>এস সি এম সংবিধান</v>
      </c>
    </row>
    <row r="4060">
      <c r="A4060" s="2" t="s">
        <v>220</v>
      </c>
      <c r="B4060" s="3" t="str">
        <f>IFERROR(__xludf.DUMMYFUNCTION("GOOGLETRANSLATE(A4060, ""ar"", ""bn"")"),"স্বদেশ সেমি গুলি আনুগত্য")</f>
        <v>স্বদেশ সেমি গুলি আনুগত্য</v>
      </c>
    </row>
    <row r="4061">
      <c r="A4061" s="2" t="s">
        <v>1962</v>
      </c>
      <c r="B4061" s="3" t="str">
        <f>IFERROR(__xludf.DUMMYFUNCTION("GOOGLETRANSLATE(A4061, ""ar"", ""bn"")"),"প্রেসিডেন্সি Cut")</f>
        <v>প্রেসিডেন্সি Cut</v>
      </c>
    </row>
    <row r="4062">
      <c r="A4062" s="2" t="s">
        <v>526</v>
      </c>
      <c r="B4062" s="3" t="str">
        <f>IFERROR(__xludf.DUMMYFUNCTION("GOOGLETRANSLATE(A4062, ""ar"", ""bn"")"),"সম্মেলন কাটা")</f>
        <v>সম্মেলন কাটা</v>
      </c>
    </row>
    <row r="4063">
      <c r="A4063" s="2" t="s">
        <v>360</v>
      </c>
      <c r="B4063" s="3" t="str">
        <f>IFERROR(__xludf.DUMMYFUNCTION("GOOGLETRANSLATE(A4063, ""ar"", ""bn"")"),"শহরগুলোর বোমাবর্ষণ")</f>
        <v>শহরগুলোর বোমাবর্ষণ</v>
      </c>
    </row>
    <row r="4064">
      <c r="A4064" s="2" t="s">
        <v>206</v>
      </c>
      <c r="B4064" s="3" t="str">
        <f>IFERROR(__xludf.DUMMYFUNCTION("GOOGLETRANSLATE(A4064, ""ar"", ""bn"")"),"বৈমানিক গোলাবর্ষণ")</f>
        <v>বৈমানিক গোলাবর্ষণ</v>
      </c>
    </row>
    <row r="4065">
      <c r="A4065" s="2" t="s">
        <v>2550</v>
      </c>
      <c r="B4065" s="3" t="str">
        <f>IFERROR(__xludf.DUMMYFUNCTION("GOOGLETRANSLATE(A4065, ""ar"", ""bn"")"),"এক মেরু")</f>
        <v>এক মেরু</v>
      </c>
    </row>
    <row r="4066">
      <c r="A4066" s="2" t="s">
        <v>1928</v>
      </c>
      <c r="B4066" s="3" t="str">
        <f>IFERROR(__xludf.DUMMYFUNCTION("GOOGLETRANSLATE(A4066, ""ar"", ""bn"")"),"রাজনৈতিক মেরু ইতিবাচক")</f>
        <v>রাজনৈতিক মেরু ইতিবাচক</v>
      </c>
    </row>
    <row r="4067">
      <c r="A4067" s="2" t="s">
        <v>1593</v>
      </c>
      <c r="B4067" s="3" t="str">
        <f>IFERROR(__xludf.DUMMYFUNCTION("GOOGLETRANSLATE(A4067, ""ar"", ""bn"")"),"রাজনৈতিক মেরু নেতিবাচক")</f>
        <v>রাজনৈতিক মেরু নেতিবাচক</v>
      </c>
    </row>
    <row r="4068">
      <c r="A4068" s="2" t="s">
        <v>1612</v>
      </c>
      <c r="B4068" s="3" t="str">
        <f>IFERROR(__xludf.DUMMYFUNCTION("GOOGLETRANSLATE(A4068, ""ar"", ""bn"")"),"রাজনৈতিক মেরু নিরপেক্ষ")</f>
        <v>রাজনৈতিক মেরু নিরপেক্ষ</v>
      </c>
    </row>
    <row r="4069">
      <c r="A4069" s="2" t="s">
        <v>2222</v>
      </c>
      <c r="B4069" s="3" t="str">
        <f>IFERROR(__xludf.DUMMYFUNCTION("GOOGLETRANSLATE(A4069, ""ar"", ""bn"")"),"কূটনৈতিক সম্পর্কের বিচ্ছেদ")</f>
        <v>কূটনৈতিক সম্পর্কের বিচ্ছেদ</v>
      </c>
    </row>
    <row r="4070">
      <c r="A4070" s="2" t="s">
        <v>2797</v>
      </c>
      <c r="B4070" s="3" t="str">
        <f>IFERROR(__xludf.DUMMYFUNCTION("GOOGLETRANSLATE(A4070, ""ar"", ""bn"")"),"কূটনৈতিক সমঝোতা বিচ্ছেদ")</f>
        <v>কূটনৈতিক সমঝোতা বিচ্ছেদ</v>
      </c>
    </row>
    <row r="4071">
      <c r="A4071" s="2" t="s">
        <v>1217</v>
      </c>
      <c r="B4071" s="3" t="str">
        <f>IFERROR(__xludf.DUMMYFUNCTION("GOOGLETRANSLATE(A4071, ""ar"", ""bn"")"),"আন্তর্জাতিক উদ্বেগ")</f>
        <v>আন্তর্জাতিক উদ্বেগ</v>
      </c>
    </row>
    <row r="4072">
      <c r="A4072" s="2" t="s">
        <v>2394</v>
      </c>
      <c r="B4072" s="3" t="str">
        <f>IFERROR(__xludf.DUMMYFUNCTION("GOOGLETRANSLATE(A4072, ""ar"", ""bn"")"),"glories এর সামিট")</f>
        <v>glories এর সামিট</v>
      </c>
    </row>
    <row r="4073">
      <c r="A4073" s="2" t="s">
        <v>2563</v>
      </c>
      <c r="B4073" s="3" t="str">
        <f>IFERROR(__xludf.DUMMYFUNCTION("GOOGLETRANSLATE(A4073, ""ar"", ""bn"")"),"জাতিসংঘের শীর্ষ সম্মেলন")</f>
        <v>জাতিসংঘের শীর্ষ সম্মেলন</v>
      </c>
    </row>
    <row r="4074">
      <c r="A4074" s="2" t="s">
        <v>2395</v>
      </c>
      <c r="B4074" s="3" t="str">
        <f>IFERROR(__xludf.DUMMYFUNCTION("GOOGLETRANSLATE(A4074, ""ar"", ""bn"")"),"সামিট জয়লাভ")</f>
        <v>সামিট জয়লাভ</v>
      </c>
    </row>
    <row r="4075">
      <c r="A4075" s="2" t="s">
        <v>1969</v>
      </c>
      <c r="B4075" s="3" t="str">
        <f>IFERROR(__xludf.DUMMYFUNCTION("GOOGLETRANSLATE(A4075, ""ar"", ""bn"")"),"প্রেসিডেন্টদের সামিট")</f>
        <v>প্রেসিডেন্টদের সামিট</v>
      </c>
    </row>
    <row r="4076">
      <c r="A4076" s="2" t="s">
        <v>2512</v>
      </c>
      <c r="B4076" s="3" t="str">
        <f>IFERROR(__xludf.DUMMYFUNCTION("GOOGLETRANSLATE(A4076, ""ar"", ""bn"")"),"জাতিসংঘের শরীরের সামিট")</f>
        <v>জাতিসংঘের শরীরের সামিট</v>
      </c>
    </row>
    <row r="4077">
      <c r="A4077" s="2" t="s">
        <v>2405</v>
      </c>
      <c r="B4077" s="3" t="str">
        <f>IFERROR(__xludf.DUMMYFUNCTION("GOOGLETRANSLATE(A4077, ""ar"", ""bn"")"),"সন্ত্রাসবাদ সঙ্গে এস")</f>
        <v>সন্ত্রাসবাদ সঙ্গে এস</v>
      </c>
    </row>
    <row r="4078">
      <c r="A4078" s="2" t="s">
        <v>1889</v>
      </c>
      <c r="B4078" s="3" t="str">
        <f>IFERROR(__xludf.DUMMYFUNCTION("GOOGLETRANSLATE(A4078, ""ar"", ""bn"")"),"রাজনৈতিক সঙ্গে এস")</f>
        <v>রাজনৈতিক সঙ্গে এস</v>
      </c>
    </row>
    <row r="4079">
      <c r="A4079" s="2" t="s">
        <v>293</v>
      </c>
      <c r="B4079" s="3" t="str">
        <f>IFERROR(__xludf.DUMMYFUNCTION("GOOGLETRANSLATE(A4079, ""ar"", ""bn"")"),"আনবিক বোমা")</f>
        <v>আনবিক বোমা</v>
      </c>
    </row>
    <row r="4080">
      <c r="A4080" s="2" t="s">
        <v>565</v>
      </c>
      <c r="B4080" s="3" t="str">
        <f>IFERROR(__xludf.DUMMYFUNCTION("GOOGLETRANSLATE(A4080, ""ar"", ""bn"")"),"দূত")</f>
        <v>দূত</v>
      </c>
    </row>
    <row r="4081">
      <c r="A4081" s="2" t="s">
        <v>1047</v>
      </c>
      <c r="B4081" s="3" t="str">
        <f>IFERROR(__xludf.DUMMYFUNCTION("GOOGLETRANSLATE(A4081, ""ar"", ""bn"")"),"কন্সাল")</f>
        <v>কন্সাল</v>
      </c>
    </row>
    <row r="4082">
      <c r="A4082" s="2" t="s">
        <v>1113</v>
      </c>
      <c r="B4082" s="3" t="str">
        <f>IFERROR(__xludf.DUMMYFUNCTION("GOOGLETRANSLATE(A4082, ""ar"", ""bn"")"),"অনারারি কনসাল")</f>
        <v>অনারারি কনসাল</v>
      </c>
    </row>
    <row r="4083">
      <c r="A4083" s="2" t="s">
        <v>569</v>
      </c>
      <c r="B4083" s="3" t="str">
        <f>IFERROR(__xludf.DUMMYFUNCTION("GOOGLETRANSLATE(A4083, ""ar"", ""bn"")"),"কনসাল ইয়ে")</f>
        <v>কনসাল ইয়ে</v>
      </c>
    </row>
    <row r="4084">
      <c r="A4084" s="2" t="s">
        <v>1457</v>
      </c>
      <c r="B4084" s="3" t="str">
        <f>IFERROR(__xludf.DUMMYFUNCTION("GOOGLETRANSLATE(A4084, ""ar"", ""bn"")"),"সামরিক বাহিনী")</f>
        <v>সামরিক বাহিনী</v>
      </c>
    </row>
    <row r="4085">
      <c r="A4085" s="2" t="s">
        <v>1001</v>
      </c>
      <c r="B4085" s="3" t="str">
        <f>IFERROR(__xludf.DUMMYFUNCTION("GOOGLETRANSLATE(A4085, ""ar"", ""bn"")"),"গু গুলি বিদেশী দখলদারিত্বের")</f>
        <v>গু গুলি বিদেশী দখলদারিত্বের</v>
      </c>
    </row>
    <row r="4086">
      <c r="A4086" s="2" t="s">
        <v>473</v>
      </c>
      <c r="B4086" s="3" t="str">
        <f>IFERROR(__xludf.DUMMYFUNCTION("GOOGLETRANSLATE(A4086, ""ar"", ""bn"")"),"গু গুলি ঔপনিবেশিক")</f>
        <v>গু গুলি ঔপনিবেশিক</v>
      </c>
    </row>
    <row r="4087">
      <c r="A4087" s="2" t="s">
        <v>458</v>
      </c>
      <c r="B4087" s="3" t="str">
        <f>IFERROR(__xludf.DUMMYFUNCTION("GOOGLETRANSLATE(A4087, ""ar"", ""bn"")"),"কোয়ালিশন বাহিনীর")</f>
        <v>কোয়ালিশন বাহিনীর</v>
      </c>
    </row>
    <row r="4088">
      <c r="A4088" s="2" t="s">
        <v>1649</v>
      </c>
      <c r="B4088" s="3" t="str">
        <f>IFERROR(__xludf.DUMMYFUNCTION("GOOGLETRANSLATE(A4088, ""ar"", ""bn"")"),"গু গুলি দখল")</f>
        <v>গু গুলি দখল</v>
      </c>
    </row>
    <row r="4089">
      <c r="A4089" s="2" t="s">
        <v>1198</v>
      </c>
      <c r="B4089" s="3" t="str">
        <f>IFERROR(__xludf.DUMMYFUNCTION("GOOGLETRANSLATE(A4089, ""ar"", ""bn"")"),"আন্তর্জাতিক ত্রাণ বাহিনীর")</f>
        <v>আন্তর্জাতিক ত্রাণ বাহিনীর</v>
      </c>
    </row>
    <row r="4090">
      <c r="A4090" s="2" t="s">
        <v>2558</v>
      </c>
      <c r="B4090" s="3" t="str">
        <f>IFERROR(__xludf.DUMMYFUNCTION("GOOGLETRANSLATE(A4090, ""ar"", ""bn"")"),"জাতিসংঘ থেকে গু")</f>
        <v>জাতিসংঘ থেকে গু</v>
      </c>
    </row>
    <row r="4091">
      <c r="A4091" s="2" t="s">
        <v>2562</v>
      </c>
      <c r="B4091" s="3" t="str">
        <f>IFERROR(__xludf.DUMMYFUNCTION("GOOGLETRANSLATE(A4091, ""ar"", ""bn"")"),"গু গুলি জাতিসংঘের রিলিফ")</f>
        <v>গু গুলি জাতিসংঘের রিলিফ</v>
      </c>
    </row>
    <row r="4092">
      <c r="A4092" s="2" t="s">
        <v>2557</v>
      </c>
      <c r="B4092" s="3" t="str">
        <f>IFERROR(__xludf.DUMMYFUNCTION("GOOGLETRANSLATE(A4092, ""ar"", ""bn"")"),"জাতিসংঘের জরুরি অবস্থা থেকে গু")</f>
        <v>জাতিসংঘের জরুরি অবস্থা থেকে গু</v>
      </c>
    </row>
    <row r="4093">
      <c r="A4093" s="2" t="s">
        <v>2798</v>
      </c>
      <c r="B4093" s="3" t="str">
        <f>IFERROR(__xludf.DUMMYFUNCTION("GOOGLETRANSLATE(A4093, ""ar"", ""bn"")"),"সিক্রেট সিকিউরিটি ফোর্সেস ইন্টেলিজেন্স")</f>
        <v>সিক্রেট সিকিউরিটি ফোর্সেস ইন্টেলিজেন্স</v>
      </c>
    </row>
    <row r="4094">
      <c r="A4094" s="2" t="s">
        <v>1241</v>
      </c>
      <c r="B4094" s="3" t="str">
        <f>IFERROR(__xludf.DUMMYFUNCTION("GOOGLETRANSLATE(A4094, ""ar"", ""bn"")"),"আন্তর্জাতিক মানবিক বাহিনী")</f>
        <v>আন্তর্জাতিক মানবিক বাহিনী</v>
      </c>
    </row>
    <row r="4095">
      <c r="A4095" s="2" t="s">
        <v>223</v>
      </c>
      <c r="B4095" s="3" t="str">
        <f>IFERROR(__xludf.DUMMYFUNCTION("GOOGLETRANSLATE(A4095, ""ar"", ""bn"")"),"কোয়ালিশন বাহিনীর")</f>
        <v>কোয়ালিশন বাহিনীর</v>
      </c>
    </row>
    <row r="4096">
      <c r="A4096" s="2" t="s">
        <v>1238</v>
      </c>
      <c r="B4096" s="3" t="str">
        <f>IFERROR(__xludf.DUMMYFUNCTION("GOOGLETRANSLATE(A4096, ""ar"", ""bn"")"),"টি আন্তর্জাতিক শান্তিরক্ষা ছুড়ে ফেলে")</f>
        <v>টি আন্তর্জাতিক শান্তিরক্ষা ছুড়ে ফেলে</v>
      </c>
    </row>
    <row r="4097">
      <c r="A4097" s="2" t="s">
        <v>855</v>
      </c>
      <c r="B4097" s="3" t="str">
        <f>IFERROR(__xludf.DUMMYFUNCTION("GOOGLETRANSLATE(A4097, ""ar"", ""bn"")"),"গু জরুরি অবস্থা ডেটা")</f>
        <v>গু জরুরি অবস্থা ডেটা</v>
      </c>
    </row>
    <row r="4098">
      <c r="A4098" s="2" t="s">
        <v>2686</v>
      </c>
      <c r="B4098" s="3" t="str">
        <f>IFERROR(__xludf.DUMMYFUNCTION("GOOGLETRANSLATE(A4098, ""ar"", ""bn"")"),"গু আন্তর্জাতিক জরুরি অবস্থা ডেটা")</f>
        <v>গু আন্তর্জাতিক জরুরি অবস্থা ডেটা</v>
      </c>
    </row>
    <row r="4099">
      <c r="A4099" s="2" t="s">
        <v>2164</v>
      </c>
      <c r="B4099" s="3" t="str">
        <f>IFERROR(__xludf.DUMMYFUNCTION("GOOGLETRANSLATE(A4099, ""ar"", ""bn"")"),"গু ডেটা দমন")</f>
        <v>গু ডেটা দমন</v>
      </c>
    </row>
    <row r="4100">
      <c r="A4100" s="2" t="s">
        <v>207</v>
      </c>
      <c r="B4100" s="3" t="str">
        <f>IFERROR(__xludf.DUMMYFUNCTION("GOOGLETRANSLATE(A4100, ""ar"", ""bn"")"),"এয়ার বাহিনী")</f>
        <v>এয়ার বাহিনী</v>
      </c>
    </row>
    <row r="4101">
      <c r="A4101" s="2" t="s">
        <v>1237</v>
      </c>
      <c r="B4101" s="3" t="str">
        <f>IFERROR(__xludf.DUMMYFUNCTION("GOOGLETRANSLATE(A4101, ""ar"", ""bn"")"),"গু আন্তর্জাতিক তথ্য")</f>
        <v>গু আন্তর্জাতিক তথ্য</v>
      </c>
    </row>
    <row r="4102">
      <c r="A4102" s="2" t="s">
        <v>1307</v>
      </c>
      <c r="B4102" s="3" t="str">
        <f>IFERROR(__xludf.DUMMYFUNCTION("GOOGLETRANSLATE(A4102, ""ar"", ""bn"")"),"গু যৌথ আন্তর্জাতিক তথ্য")</f>
        <v>গু যৌথ আন্তর্জাতিক তথ্য</v>
      </c>
    </row>
    <row r="4103">
      <c r="A4103" s="2" t="s">
        <v>274</v>
      </c>
      <c r="B4103" s="3" t="str">
        <f>IFERROR(__xludf.DUMMYFUNCTION("GOOGLETRANSLATE(A4103, ""ar"", ""bn"")"),"গু সামরিক তথ্য")</f>
        <v>গু সামরিক তথ্য</v>
      </c>
    </row>
    <row r="4104">
      <c r="A4104" s="2" t="s">
        <v>1004</v>
      </c>
      <c r="B4104" s="3" t="str">
        <f>IFERROR(__xludf.DUMMYFUNCTION("GOOGLETRANSLATE(A4104, ""ar"", ""bn"")"),"গু বিদেশী সামরিক তথ্য")</f>
        <v>গু বিদেশী সামরিক তথ্য</v>
      </c>
    </row>
    <row r="4105">
      <c r="A4105" s="2" t="s">
        <v>1545</v>
      </c>
      <c r="B4105" s="3" t="str">
        <f>IFERROR(__xludf.DUMMYFUNCTION("GOOGLETRANSLATE(A4105, ""ar"", ""bn"")"),"গু বহুজাতিক তথ্য")</f>
        <v>গু বহুজাতিক তথ্য</v>
      </c>
    </row>
    <row r="4106">
      <c r="A4106" s="2" t="s">
        <v>406</v>
      </c>
      <c r="B4106" s="3" t="str">
        <f>IFERROR(__xludf.DUMMYFUNCTION("GOOGLETRANSLATE(A4106, ""ar"", ""bn"")"),"কেন্দ্রীয় বাহিনী")</f>
        <v>কেন্দ্রীয় বাহিনী</v>
      </c>
    </row>
    <row r="4107">
      <c r="A4107" s="2" t="s">
        <v>1566</v>
      </c>
      <c r="B4107" s="3" t="str">
        <f>IFERROR(__xludf.DUMMYFUNCTION("GOOGLETRANSLATE(A4107, ""ar"", ""bn"")"),"গু গুলি জাতীয়")</f>
        <v>গু গুলি জাতীয়</v>
      </c>
    </row>
    <row r="4108">
      <c r="A4108" s="2" t="s">
        <v>509</v>
      </c>
      <c r="B4108" s="3" t="str">
        <f>IFERROR(__xludf.DUMMYFUNCTION("GOOGLETRANSLATE(A4108, ""ar"", ""bn"")"),"বাঁধাই নিয়ম")</f>
        <v>বাঁধাই নিয়ম</v>
      </c>
    </row>
    <row r="4109">
      <c r="A4109" s="2" t="s">
        <v>232</v>
      </c>
      <c r="B4109" s="3" t="str">
        <f>IFERROR(__xludf.DUMMYFUNCTION("GOOGLETRANSLATE(A4109, ""ar"", ""bn"")"),"একই নিয়ম")</f>
        <v>একই নিয়ম</v>
      </c>
    </row>
    <row r="4110">
      <c r="A4110" s="2" t="s">
        <v>2651</v>
      </c>
      <c r="B4110" s="3" t="str">
        <f>IFERROR(__xludf.DUMMYFUNCTION("GOOGLETRANSLATE(A4110, ""ar"", ""bn"")"),"যুদ্ধের আইন")</f>
        <v>যুদ্ধের আইন</v>
      </c>
    </row>
    <row r="4111">
      <c r="A4111" s="2" t="s">
        <v>2351</v>
      </c>
      <c r="B4111" s="3" t="str">
        <f>IFERROR(__xludf.DUMMYFUNCTION("GOOGLETRANSLATE(A4111, ""ar"", ""bn"")"),"যুক্তরাষ্ট্রের আইন")</f>
        <v>যুক্তরাষ্ট্রের আইন</v>
      </c>
    </row>
    <row r="4112">
      <c r="A4112" s="2" t="s">
        <v>1063</v>
      </c>
      <c r="B4112" s="3" t="str">
        <f>IFERROR(__xludf.DUMMYFUNCTION("GOOGLETRANSLATE(A4112, ""ar"", ""bn"")"),"আইন বিরাজ")</f>
        <v>আইন বিরাজ</v>
      </c>
    </row>
    <row r="4113">
      <c r="A4113" s="2" t="s">
        <v>1328</v>
      </c>
      <c r="B4113" s="3" t="str">
        <f>IFERROR(__xludf.DUMMYFUNCTION("GOOGLETRANSLATE(A4113, ""ar"", ""bn"")"),"যুদ্ধের গতানুগতিক আইন")</f>
        <v>যুদ্ধের গতানুগতিক আইন</v>
      </c>
    </row>
    <row r="4114">
      <c r="A4114" s="2" t="s">
        <v>2108</v>
      </c>
      <c r="B4114" s="3" t="str">
        <f>IFERROR(__xludf.DUMMYFUNCTION("GOOGLETRANSLATE(A4114, ""ar"", ""bn"")"),"স্থানীয় আইন")</f>
        <v>স্থানীয় আইন</v>
      </c>
    </row>
    <row r="4115">
      <c r="A4115" s="2" t="s">
        <v>271</v>
      </c>
      <c r="B4115" s="3" t="str">
        <f>IFERROR(__xludf.DUMMYFUNCTION("GOOGLETRANSLATE(A4115, ""ar"", ""bn"")"),"সামরিক বাহিনী")</f>
        <v>সামরিক বাহিনী</v>
      </c>
    </row>
    <row r="4116">
      <c r="A4116" s="2" t="s">
        <v>2285</v>
      </c>
      <c r="B4116" s="3" t="str">
        <f>IFERROR(__xludf.DUMMYFUNCTION("GOOGLETRANSLATE(A4116, ""ar"", ""bn"")"),"সামরিক বাহিনী দাঙ্গা")</f>
        <v>সামরিক বাহিনী দাঙ্গা</v>
      </c>
    </row>
    <row r="4117">
      <c r="A4117" s="2" t="s">
        <v>1581</v>
      </c>
      <c r="B4117" s="3" t="str">
        <f>IFERROR(__xludf.DUMMYFUNCTION("GOOGLETRANSLATE(A4117, ""ar"", ""bn"")"),"ফোক ইয়ে")</f>
        <v>ফোক ইয়ে</v>
      </c>
    </row>
    <row r="4118">
      <c r="A4118" s="2" t="s">
        <v>266</v>
      </c>
      <c r="B4118" s="3" t="str">
        <f>IFERROR(__xludf.DUMMYFUNCTION("GOOGLETRANSLATE(A4118, ""ar"", ""bn"")"),"আরব জাতীয়তাবাদের")</f>
        <v>আরব জাতীয়তাবাদের</v>
      </c>
    </row>
    <row r="4119">
      <c r="A4119" s="2" t="s">
        <v>2695</v>
      </c>
      <c r="B4119" s="3" t="str">
        <f>IFERROR(__xludf.DUMMYFUNCTION("GOOGLETRANSLATE(A4119, ""ar"", ""bn"")"),"আন্তর্জাতিক ক্ষমতা")</f>
        <v>আন্তর্জাতিক ক্ষমতা</v>
      </c>
    </row>
    <row r="4120">
      <c r="A4120" s="2" t="s">
        <v>1411</v>
      </c>
      <c r="B4120" s="3" t="str">
        <f>IFERROR(__xludf.DUMMYFUNCTION("GOOGLETRANSLATE(A4120, ""ar"", ""bn"")"),"আন্তর্জাতিক সুপার পাওয়ারের")</f>
        <v>আন্তর্জাতিক সুপার পাওয়ারের</v>
      </c>
    </row>
    <row r="4121">
      <c r="A4121" s="2" t="s">
        <v>983</v>
      </c>
      <c r="B4121" s="3" t="str">
        <f>IFERROR(__xludf.DUMMYFUNCTION("GOOGLETRANSLATE(A4121, ""ar"", ""bn"")"),"ফোর্সেস যুদ্ধ")</f>
        <v>ফোর্সেস যুদ্ধ</v>
      </c>
    </row>
    <row r="4122">
      <c r="A4122" s="2" t="s">
        <v>1333</v>
      </c>
      <c r="B4122" s="3" t="str">
        <f>IFERROR(__xludf.DUMMYFUNCTION("GOOGLETRANSLATE(A4122, ""ar"", ""bn"")"),"নেতৃত্বের নেতৃত্ব")</f>
        <v>নেতৃত্বের নেতৃত্ব</v>
      </c>
    </row>
    <row r="4123">
      <c r="A4123" s="2" t="s">
        <v>1854</v>
      </c>
      <c r="B4123" s="3" t="str">
        <f>IFERROR(__xludf.DUMMYFUNCTION("GOOGLETRANSLATE(A4123, ""ar"", ""bn"")"),"রাজনৈতিক নেতৃত্ব")</f>
        <v>রাজনৈতিক নেতৃত্ব</v>
      </c>
    </row>
    <row r="4124">
      <c r="A4124" s="2" t="s">
        <v>2544</v>
      </c>
      <c r="B4124" s="3" t="str">
        <f>IFERROR(__xludf.DUMMYFUNCTION("GOOGLETRANSLATE(A4124, ""ar"", ""bn"")"),"ইউনিফায়েড নেতৃত্ব")</f>
        <v>ইউনিফায়েড নেতৃত্ব</v>
      </c>
    </row>
    <row r="4125">
      <c r="A4125" s="2" t="s">
        <v>2534</v>
      </c>
      <c r="B4125" s="3" t="str">
        <f>IFERROR(__xludf.DUMMYFUNCTION("GOOGLETRANSLATE(A4125, ""ar"", ""bn"")"),"প্রতিবাদ অধীনে")</f>
        <v>প্রতিবাদ অধীনে</v>
      </c>
    </row>
    <row r="4126">
      <c r="A4126" s="2" t="s">
        <v>1162</v>
      </c>
      <c r="B4126" s="3" t="str">
        <f>IFERROR(__xludf.DUMMYFUNCTION("GOOGLETRANSLATE(A4126, ""ar"", ""bn"")"),"প্রচলন")</f>
        <v>প্রচলন</v>
      </c>
    </row>
    <row r="4127">
      <c r="A4127" s="2" t="s">
        <v>2533</v>
      </c>
      <c r="B4127" s="3" t="str">
        <f>IFERROR(__xludf.DUMMYFUNCTION("GOOGLETRANSLATE(A4127, ""ar"", ""bn"")"),"আলাপ - আলোচনাধীন")</f>
        <v>আলাপ - আলোচনাধীন</v>
      </c>
    </row>
    <row r="4128">
      <c r="A4128" s="2" t="s">
        <v>2530</v>
      </c>
      <c r="B4128" s="3" t="str">
        <f>IFERROR(__xludf.DUMMYFUNCTION("GOOGLETRANSLATE(A4128, ""ar"", ""bn"")"),"আলোচনার অধীন")</f>
        <v>আলোচনার অধীন</v>
      </c>
    </row>
    <row r="4129">
      <c r="A4129" s="2" t="s">
        <v>1160</v>
      </c>
      <c r="B4129" s="3" t="str">
        <f>IFERROR(__xludf.DUMMYFUNCTION("GOOGLETRANSLATE(A4129, ""ar"", ""bn"")"),"আবশ্যিক বিধিনিষেধ")</f>
        <v>আবশ্যিক বিধিনিষেধ</v>
      </c>
    </row>
    <row r="4130">
      <c r="A4130" s="2" t="s">
        <v>1068</v>
      </c>
      <c r="B4130" s="3" t="str">
        <f>IFERROR(__xludf.DUMMYFUNCTION("GOOGLETRANSLATE(A4130, ""ar"", ""bn"")"),"সরকারি নিষেধাজ্ঞা")</f>
        <v>সরকারি নিষেধাজ্ঞা</v>
      </c>
    </row>
    <row r="4131">
      <c r="A4131" s="2" t="s">
        <v>2274</v>
      </c>
      <c r="B4131" s="3" t="str">
        <f>IFERROR(__xludf.DUMMYFUNCTION("GOOGLETRANSLATE(A4131, ""ar"", ""bn"")"),"কঠোর বিধিনিষেধ")</f>
        <v>কঠোর বিধিনিষেধ</v>
      </c>
    </row>
    <row r="4132">
      <c r="A4132" s="2" t="s">
        <v>1831</v>
      </c>
      <c r="B4132" s="3" t="str">
        <f>IFERROR(__xludf.DUMMYFUNCTION("GOOGLETRANSLATE(A4132, ""ar"", ""bn"")"),"রাজনৈতিক লেখক")</f>
        <v>রাজনৈতিক লেখক</v>
      </c>
    </row>
    <row r="4133">
      <c r="A4133" s="2" t="s">
        <v>2680</v>
      </c>
      <c r="B4133" s="3" t="str">
        <f>IFERROR(__xludf.DUMMYFUNCTION("GOOGLETRANSLATE(A4133, ""ar"", ""bn"")"),"বিশ্বব্যাপী বিপর্যয়")</f>
        <v>বিশ্বব্যাপী বিপর্যয়</v>
      </c>
    </row>
    <row r="4134">
      <c r="A4134" s="2" t="s">
        <v>2265</v>
      </c>
      <c r="B4134" s="3" t="str">
        <f>IFERROR(__xludf.DUMMYFUNCTION("GOOGLETRANSLATE(A4134, ""ar"", ""bn"")"),"সিনিয়র রাজনৈতিক প্রতিনিধিদের")</f>
        <v>সিনিয়র রাজনৈতিক প্রতিনিধিদের</v>
      </c>
    </row>
    <row r="4135">
      <c r="A4135" s="2" t="s">
        <v>1360</v>
      </c>
      <c r="B4135" s="3" t="str">
        <f>IFERROR(__xludf.DUMMYFUNCTION("GOOGLETRANSLATE(A4135, ""ar"", ""bn"")"),"বইয়ের কূটনৈতিক স্বীকৃতি")</f>
        <v>বইয়ের কূটনৈতিক স্বীকৃতি</v>
      </c>
    </row>
    <row r="4136">
      <c r="A4136" s="2" t="s">
        <v>1359</v>
      </c>
      <c r="B4136" s="3" t="str">
        <f>IFERROR(__xludf.DUMMYFUNCTION("GOOGLETRANSLATE(A4136, ""ar"", ""bn"")"),"নিশ্চিতকরণ বুক")</f>
        <v>নিশ্চিতকরণ বুক</v>
      </c>
    </row>
    <row r="4137">
      <c r="A4137" s="2" t="s">
        <v>1559</v>
      </c>
      <c r="B4137" s="3" t="str">
        <f>IFERROR(__xludf.DUMMYFUNCTION("GOOGLETRANSLATE(A4137, ""ar"", ""bn"")"),"জাতির মর্যাদা")</f>
        <v>জাতির মর্যাদা</v>
      </c>
    </row>
    <row r="4138">
      <c r="A4138" s="2" t="s">
        <v>2704</v>
      </c>
      <c r="B4138" s="3" t="str">
        <f>IFERROR(__xludf.DUMMYFUNCTION("GOOGLETRANSLATE(A4138, ""ar"", ""bn"")"),"বিদেশীদের সম্বন্ধে অহেতুক ভয়")</f>
        <v>বিদেশীদের সম্বন্ধে অহেতুক ভয়</v>
      </c>
    </row>
    <row r="4139">
      <c r="A4139" s="2" t="s">
        <v>1164</v>
      </c>
      <c r="B4139" s="3" t="str">
        <f>IFERROR(__xludf.DUMMYFUNCTION("GOOGLETRANSLATE(A4139, ""ar"", ""bn"")"),"উদ্বোধনী বক্তব্যে")</f>
        <v>উদ্বোধনী বক্তব্যে</v>
      </c>
    </row>
    <row r="4140">
      <c r="A4140" s="2" t="s">
        <v>1629</v>
      </c>
      <c r="B4140" s="3" t="str">
        <f>IFERROR(__xludf.DUMMYFUNCTION("GOOGLETRANSLATE(A4140, ""ar"", ""bn"")"),"আমি কিছু মনে করিনা")</f>
        <v>আমি কিছু মনে করিনা</v>
      </c>
    </row>
    <row r="4141">
      <c r="A4141" s="2" t="s">
        <v>1885</v>
      </c>
      <c r="B4141" s="3" t="str">
        <f>IFERROR(__xludf.DUMMYFUNCTION("GOOGLETRANSLATE(A4141, ""ar"", ""bn"")"),"রাজনৈতিক শরণার্থী")</f>
        <v>রাজনৈতিক শরণার্থী</v>
      </c>
    </row>
    <row r="4142">
      <c r="A4142" s="2" t="s">
        <v>990</v>
      </c>
      <c r="B4142" s="3" t="str">
        <f>IFERROR(__xludf.DUMMYFUNCTION("GOOGLETRANSLATE(A4142, ""ar"", ""bn"")"),"ফের রাজনৈতিক বিবেচনায়")</f>
        <v>ফের রাজনৈতিক বিবেচনায়</v>
      </c>
    </row>
    <row r="4143">
      <c r="A4143" s="2" t="s">
        <v>720</v>
      </c>
      <c r="B4143" s="3" t="str">
        <f>IFERROR(__xludf.DUMMYFUNCTION("GOOGLETRANSLATE(A4143, ""ar"", ""bn"")"),"কূটনৈতিক প্যাকেজ")</f>
        <v>কূটনৈতিক প্যাকেজ</v>
      </c>
    </row>
    <row r="4144">
      <c r="A4144" s="2" t="s">
        <v>1409</v>
      </c>
      <c r="B4144" s="3" t="str">
        <f>IFERROR(__xludf.DUMMYFUNCTION("GOOGLETRANSLATE(A4144, ""ar"", ""bn"")"),"সেনাবাহিনী স্টাফ কমিটির")</f>
        <v>সেনাবাহিনী স্টাফ কমিটির</v>
      </c>
    </row>
    <row r="4145">
      <c r="A4145" s="2" t="s">
        <v>188</v>
      </c>
      <c r="B4145" s="3" t="str">
        <f>IFERROR(__xludf.DUMMYFUNCTION("GOOGLETRANSLATE(A4145, ""ar"", ""bn"")"),"উপদেষ্টা কমিটি")</f>
        <v>উপদেষ্টা কমিটি</v>
      </c>
    </row>
    <row r="4146">
      <c r="A4146" s="2" t="s">
        <v>727</v>
      </c>
      <c r="B4146" s="3" t="str">
        <f>IFERROR(__xludf.DUMMYFUNCTION("GOOGLETRANSLATE(A4146, ""ar"", ""bn"")"),"কমিটি কূটনৈতিক পরিচিতি")</f>
        <v>কমিটি কূটনৈতিক পরিচিতি</v>
      </c>
    </row>
    <row r="4147">
      <c r="A4147" s="2" t="s">
        <v>594</v>
      </c>
      <c r="B4147" s="3" t="str">
        <f>IFERROR(__xludf.DUMMYFUNCTION("GOOGLETRANSLATE(A4147, ""ar"", ""bn"")"),"লিয়াজোঁ কমিটির")</f>
        <v>লিয়াজোঁ কমিটির</v>
      </c>
    </row>
    <row r="4148">
      <c r="A4148" s="2" t="s">
        <v>2401</v>
      </c>
      <c r="B4148" s="3" t="str">
        <f>IFERROR(__xludf.DUMMYFUNCTION("GOOGLETRANSLATE(A4148, ""ar"", ""bn"")"),"সুপারভাইজরি কমিটির")</f>
        <v>সুপারভাইজরি কমিটির</v>
      </c>
    </row>
    <row r="4149">
      <c r="A4149" s="2" t="s">
        <v>203</v>
      </c>
      <c r="B4149" s="3" t="str">
        <f>IFERROR(__xludf.DUMMYFUNCTION("GOOGLETRANSLATE(A4149, ""ar"", ""bn"")"),"ত্রাণ কমিটির")</f>
        <v>ত্রাণ কমিটির</v>
      </c>
    </row>
    <row r="4150">
      <c r="A4150" s="2" t="s">
        <v>1419</v>
      </c>
      <c r="B4150" s="3" t="str">
        <f>IFERROR(__xludf.DUMMYFUNCTION("GOOGLETRANSLATE(A4150, ""ar"", ""bn"")"),"কমিটির মেন্ডেটের")</f>
        <v>কমিটির মেন্ডেটের</v>
      </c>
    </row>
    <row r="4151">
      <c r="A4151" s="2" t="s">
        <v>1247</v>
      </c>
      <c r="B4151" s="3" t="str">
        <f>IFERROR(__xludf.DUMMYFUNCTION("GOOGLETRANSLATE(A4151, ""ar"", ""bn"")"),"ইনকয়েরি ইন্টারন্যাশনাল কমিশন")</f>
        <v>ইনকয়েরি ইন্টারন্যাশনাল কমিশন</v>
      </c>
    </row>
    <row r="4152">
      <c r="A4152" s="2" t="s">
        <v>913</v>
      </c>
      <c r="B4152" s="3" t="str">
        <f>IFERROR(__xludf.DUMMYFUNCTION("GOOGLETRANSLATE(A4152, ""ar"", ""bn"")"),"নির্বাহী কমিটির")</f>
        <v>নির্বাহী কমিটির</v>
      </c>
    </row>
    <row r="4153">
      <c r="A4153" s="2" t="s">
        <v>2359</v>
      </c>
      <c r="B4153" s="3" t="str">
        <f>IFERROR(__xludf.DUMMYFUNCTION("GOOGLETRANSLATE(A4153, ""ar"", ""bn"")"),"পরিচালনা সংসদ")</f>
        <v>পরিচালনা সংসদ</v>
      </c>
    </row>
    <row r="4154">
      <c r="A4154" s="2" t="s">
        <v>1838</v>
      </c>
      <c r="B4154" s="3" t="str">
        <f>IFERROR(__xludf.DUMMYFUNCTION("GOOGLETRANSLATE(A4154, ""ar"", ""bn"")"),"কমিটি রাজনৈতিক বিশেষজ্ঞরা")</f>
        <v>কমিটি রাজনৈতিক বিশেষজ্ঞরা</v>
      </c>
    </row>
    <row r="4155">
      <c r="A4155" s="2" t="s">
        <v>1199</v>
      </c>
      <c r="B4155" s="3" t="str">
        <f>IFERROR(__xludf.DUMMYFUNCTION("GOOGLETRANSLATE(A4155, ""ar"", ""bn"")"),"ত্রাণ ইন্টারন্যাশনাল কমিটি")</f>
        <v>ত্রাণ ইন্টারন্যাশনাল কমিটি</v>
      </c>
    </row>
    <row r="4156">
      <c r="A4156" s="2" t="s">
        <v>1208</v>
      </c>
      <c r="B4156" s="3" t="str">
        <f>IFERROR(__xludf.DUMMYFUNCTION("GOOGLETRANSLATE(A4156, ""ar"", ""bn"")"),"আন্তর্জাতিক আণবিক শক্তি কমিশনের")</f>
        <v>আন্তর্জাতিক আণবিক শক্তি কমিশনের</v>
      </c>
    </row>
    <row r="4157">
      <c r="A4157" s="2" t="s">
        <v>1112</v>
      </c>
      <c r="B4157" s="3" t="str">
        <f>IFERROR(__xludf.DUMMYFUNCTION("GOOGLETRANSLATE(A4157, ""ar"", ""bn"")"),"অনার কমিটি")</f>
        <v>অনার কমিটি</v>
      </c>
    </row>
    <row r="4158">
      <c r="A4158" s="2" t="s">
        <v>2080</v>
      </c>
      <c r="B4158" s="3" t="str">
        <f>IFERROR(__xludf.DUMMYFUNCTION("GOOGLETRANSLATE(A4158, ""ar"", ""bn"")"),"কমিটির ম্যাজিস্ট্রেট")</f>
        <v>কমিটির ম্যাজিস্ট্রেট</v>
      </c>
    </row>
    <row r="4159">
      <c r="A4159" s="2" t="s">
        <v>1059</v>
      </c>
      <c r="B4159" s="3" t="str">
        <f>IFERROR(__xludf.DUMMYFUNCTION("GOOGLETRANSLATE(A4159, ""ar"", ""bn"")"),"গুড অফিসের কমিটি")</f>
        <v>গুড অফিসের কমিটি</v>
      </c>
    </row>
    <row r="4160">
      <c r="A4160" s="2" t="s">
        <v>1562</v>
      </c>
      <c r="B4160" s="3" t="str">
        <f>IFERROR(__xludf.DUMMYFUNCTION("GOOGLETRANSLATE(A4160, ""ar"", ""bn"")"),"জাতীয় সামঞ্জস্যবিধান কমিশন")</f>
        <v>জাতীয় সামঞ্জস্যবিধান কমিশন</v>
      </c>
    </row>
    <row r="4161">
      <c r="A4161" s="2" t="s">
        <v>2799</v>
      </c>
      <c r="B4161" s="3" t="str">
        <f>IFERROR(__xludf.DUMMYFUNCTION("GOOGLETRANSLATE(A4161, ""ar"", ""bn"")"),"সিদ্ধান্ত গ্রহণের ভার কমিশন")</f>
        <v>সিদ্ধান্ত গ্রহণের ভার কমিশন</v>
      </c>
    </row>
    <row r="4162">
      <c r="A4162" s="2" t="s">
        <v>279</v>
      </c>
      <c r="B4162" s="3" t="str">
        <f>IFERROR(__xludf.DUMMYFUNCTION("GOOGLETRANSLATE(A4162, ""ar"", ""bn"")"),"যুদ্ধবিরতি কমিশন")</f>
        <v>যুদ্ধবিরতি কমিশন</v>
      </c>
    </row>
    <row r="4163">
      <c r="A4163" s="2" t="s">
        <v>957</v>
      </c>
      <c r="B4163" s="3" t="str">
        <f>IFERROR(__xludf.DUMMYFUNCTION("GOOGLETRANSLATE(A4163, ""ar"", ""bn"")"),"তদন্ত ঘটনা কমিশন")</f>
        <v>তদন্ত ঘটনা কমিশন</v>
      </c>
    </row>
    <row r="4164">
      <c r="A4164" s="2" t="s">
        <v>2594</v>
      </c>
      <c r="B4164" s="3" t="str">
        <f>IFERROR(__xludf.DUMMYFUNCTION("GOOGLETRANSLATE(A4164, ""ar"", ""bn"")"),"Peacebuilding কমিশন")</f>
        <v>Peacebuilding কমিশন</v>
      </c>
    </row>
    <row r="4165">
      <c r="A4165" s="2" t="s">
        <v>1129</v>
      </c>
      <c r="B4165" s="3" t="str">
        <f>IFERROR(__xludf.DUMMYFUNCTION("GOOGLETRANSLATE(A4165, ""ar"", ""bn"")"),"মানবাধিকার কমিশন")</f>
        <v>মানবাধিকার কমিশন</v>
      </c>
    </row>
    <row r="4166">
      <c r="A4166" s="2" t="s">
        <v>1064</v>
      </c>
      <c r="B4166" s="3" t="str">
        <f>IFERROR(__xludf.DUMMYFUNCTION("GOOGLETRANSLATE(A4166, ""ar"", ""bn"")"),"একজন সরকারি কমিটি")</f>
        <v>একজন সরকারি কমিটি</v>
      </c>
    </row>
    <row r="4167">
      <c r="A4167" s="2" t="s">
        <v>2321</v>
      </c>
      <c r="B4167" s="3" t="str">
        <f>IFERROR(__xludf.DUMMYFUNCTION("GOOGLETRANSLATE(A4167, ""ar"", ""bn"")"),"স্থায়ী কমিটির")</f>
        <v>স্থায়ী কমিটির</v>
      </c>
    </row>
    <row r="4168">
      <c r="A4168" s="2" t="s">
        <v>725</v>
      </c>
      <c r="B4168" s="3" t="str">
        <f>IFERROR(__xludf.DUMMYFUNCTION("GOOGLETRANSLATE(A4168, ""ar"", ""bn"")"),"কূটনৈতিক কমিটি")</f>
        <v>কূটনৈতিক কমিটি</v>
      </c>
    </row>
    <row r="4169">
      <c r="A4169" s="2" t="s">
        <v>1145</v>
      </c>
      <c r="B4169" s="3" t="str">
        <f>IFERROR(__xludf.DUMMYFUNCTION("GOOGLETRANSLATE(A4169, ""ar"", ""bn"")"),"কমিশন কূটনীতি গাজা মুছে দেওয়ার")</f>
        <v>কমিশন কূটনীতি গাজা মুছে দেওয়ার</v>
      </c>
    </row>
    <row r="4170">
      <c r="A4170" s="2" t="s">
        <v>1523</v>
      </c>
      <c r="B4170" s="3" t="str">
        <f>IFERROR(__xludf.DUMMYFUNCTION("GOOGLETRANSLATE(A4170, ""ar"", ""bn"")"),"যুগ্ম কমিটি কূটনীতি")</f>
        <v>যুগ্ম কমিটি কূটনীতি</v>
      </c>
    </row>
    <row r="4171">
      <c r="A4171" s="2" t="s">
        <v>2800</v>
      </c>
      <c r="B4171" s="3" t="str">
        <f>IFERROR(__xludf.DUMMYFUNCTION("GOOGLETRANSLATE(A4171, ""ar"", ""bn"")"),"স্টাডি কমিটি রাজনৈতিক সমস্যা")</f>
        <v>স্টাডি কমিটি রাজনৈতিক সমস্যা</v>
      </c>
    </row>
    <row r="4172">
      <c r="A4172" s="2" t="s">
        <v>1810</v>
      </c>
      <c r="B4172" s="3" t="str">
        <f>IFERROR(__xludf.DUMMYFUNCTION("GOOGLETRANSLATE(A4172, ""ar"", ""bn"")"),"সামরিক জান্তা")</f>
        <v>সামরিক জান্তা</v>
      </c>
    </row>
    <row r="4173">
      <c r="A4173" s="2" t="s">
        <v>1103</v>
      </c>
      <c r="B4173" s="3" t="str">
        <f>IFERROR(__xludf.DUMMYFUNCTION("GOOGLETRANSLATE(A4173, ""ar"", ""bn"")"),"একটি উচ্চতর কমিটি")</f>
        <v>একটি উচ্চতর কমিটি</v>
      </c>
    </row>
    <row r="4174">
      <c r="A4174" s="2" t="s">
        <v>1111</v>
      </c>
      <c r="B4174" s="3" t="str">
        <f>IFERROR(__xludf.DUMMYFUNCTION("GOOGLETRANSLATE(A4174, ""ar"", ""bn"")"),"অবৈতনিক কমিটি")</f>
        <v>অবৈতনিক কমিটি</v>
      </c>
    </row>
    <row r="4175">
      <c r="A4175" s="2" t="s">
        <v>2379</v>
      </c>
      <c r="B4175" s="3" t="str">
        <f>IFERROR(__xludf.DUMMYFUNCTION("GOOGLETRANSLATE(A4175, ""ar"", ""bn"")"),"উপসমিতি")</f>
        <v>উপসমিতি</v>
      </c>
    </row>
    <row r="4176">
      <c r="A4176" s="2" t="s">
        <v>1214</v>
      </c>
      <c r="B4176" s="3" t="str">
        <f>IFERROR(__xludf.DUMMYFUNCTION("GOOGLETRANSLATE(A4176, ""ar"", ""bn"")"),"ইন্টারন্যাশনাল কমিশন")</f>
        <v>ইন্টারন্যাশনাল কমিশন</v>
      </c>
    </row>
    <row r="4177">
      <c r="A4177" s="2" t="s">
        <v>1674</v>
      </c>
      <c r="B4177" s="3" t="str">
        <f>IFERROR(__xludf.DUMMYFUNCTION("GOOGLETRANSLATE(A4177, ""ar"", ""bn"")"),"আবেদনপত্র")</f>
        <v>আবেদনপত্র</v>
      </c>
    </row>
    <row r="4178">
      <c r="A4178" s="2" t="s">
        <v>1675</v>
      </c>
      <c r="B4178" s="3" t="str">
        <f>IFERROR(__xludf.DUMMYFUNCTION("GOOGLETRANSLATE(A4178, ""ar"", ""bn"")"),"অনুমোদনের")</f>
        <v>অনুমোদনের</v>
      </c>
    </row>
    <row r="4179">
      <c r="A4179" s="2" t="s">
        <v>1044</v>
      </c>
      <c r="B4179" s="3" t="str">
        <f>IFERROR(__xludf.DUMMYFUNCTION("GOOGLETRANSLATE(A4179, ""ar"", ""bn"")"),"খেলা নেশনস")</f>
        <v>খেলা নেশনস</v>
      </c>
    </row>
    <row r="4180">
      <c r="A4180" s="2" t="s">
        <v>679</v>
      </c>
      <c r="B4180" s="3" t="str">
        <f>IFERROR(__xludf.DUMMYFUNCTION("GOOGLETRANSLATE(A4180, ""ar"", ""bn"")"),"খেলা ডেমোক্রেসি")</f>
        <v>খেলা ডেমোক্রেসি</v>
      </c>
    </row>
    <row r="4181">
      <c r="A4181" s="2" t="s">
        <v>2801</v>
      </c>
      <c r="B4181" s="3" t="str">
        <f>IFERROR(__xludf.DUMMYFUNCTION("GOOGLETRANSLATE(A4181, ""ar"", ""bn"")"),"আন্তর্জাতিক প্রতিষ্ঠানে কাজ করা ভাষায়")</f>
        <v>আন্তর্জাতিক প্রতিষ্ঠানে কাজ করা ভাষায়</v>
      </c>
    </row>
    <row r="4182">
      <c r="A4182" s="2" t="s">
        <v>1662</v>
      </c>
      <c r="B4182" s="3" t="str">
        <f>IFERROR(__xludf.DUMMYFUNCTION("GOOGLETRANSLATE(A4182, ""ar"", ""bn"")"),"সরকারী ভাষা")</f>
        <v>সরকারী ভাষা</v>
      </c>
    </row>
    <row r="4183">
      <c r="A4183" s="2" t="s">
        <v>1031</v>
      </c>
      <c r="B4183" s="3" t="str">
        <f>IFERROR(__xludf.DUMMYFUNCTION("GOOGLETRANSLATE(A4183, ""ar"", ""bn"")"),"আন্তর্জাতিক বন্ধুত্বপূর্ণ অঙ্গভঙ্গি")</f>
        <v>আন্তর্জাতিক বন্ধুত্বপূর্ণ অঙ্গভঙ্গি</v>
      </c>
    </row>
    <row r="4184">
      <c r="A4184" s="2" t="s">
        <v>754</v>
      </c>
      <c r="B4184" s="3" t="str">
        <f>IFERROR(__xludf.DUMMYFUNCTION("GOOGLETRANSLATE(A4184, ""ar"", ""bn"")"),"কূটনৈতিক বৈঠক")</f>
        <v>কূটনৈতিক বৈঠক</v>
      </c>
    </row>
    <row r="4185">
      <c r="A4185" s="2" t="s">
        <v>1447</v>
      </c>
      <c r="B4185" s="3" t="str">
        <f>IFERROR(__xludf.DUMMYFUNCTION("GOOGLETRANSLATE(A4185, ""ar"", ""bn"")"),"মেমোরিয়াল প্লেট")</f>
        <v>মেমোরিয়াল প্লেট</v>
      </c>
    </row>
    <row r="4186">
      <c r="A4186" s="2" t="s">
        <v>1365</v>
      </c>
      <c r="B4186" s="3" t="str">
        <f>IFERROR(__xludf.DUMMYFUNCTION("GOOGLETRANSLATE(A4186, ""ar"", ""bn"")"),"লিবারেল বা লিবারেল মতবাদ")</f>
        <v>লিবারেল বা লিবারেল মতবাদ</v>
      </c>
    </row>
    <row r="4187">
      <c r="A4187" s="2" t="s">
        <v>1870</v>
      </c>
      <c r="B4187" s="3" t="str">
        <f>IFERROR(__xludf.DUMMYFUNCTION("GOOGLETRANSLATE(A4187, ""ar"", ""bn"")"),"রাজনৈতিক ষড়যন্ত্র")</f>
        <v>রাজনৈতিক ষড়যন্ত্র</v>
      </c>
    </row>
    <row r="4188">
      <c r="A4188" s="2" t="s">
        <v>550</v>
      </c>
      <c r="B4188" s="3" t="str">
        <f>IFERROR(__xludf.DUMMYFUNCTION("GOOGLETRANSLATE(A4188, ""ar"", ""bn"")"),"রাষ্ট্রের অখণ্ডতা বিরুদ্ধে ষড়যন্ত্র")</f>
        <v>রাষ্ট্রের অখণ্ডতা বিরুদ্ধে ষড়যন্ত্র</v>
      </c>
    </row>
    <row r="4189">
      <c r="A4189" s="2" t="s">
        <v>1223</v>
      </c>
      <c r="B4189" s="3" t="str">
        <f>IFERROR(__xludf.DUMMYFUNCTION("GOOGLETRANSLATE(A4189, ""ar"", ""bn"")"),"আন্তর্জাতিক শান্তিরক্ষা সম্মেলন")</f>
        <v>আন্তর্জাতিক শান্তিরক্ষা সম্মেলন</v>
      </c>
    </row>
    <row r="4190">
      <c r="A4190" s="2" t="s">
        <v>1224</v>
      </c>
      <c r="B4190" s="3" t="str">
        <f>IFERROR(__xludf.DUMMYFUNCTION("GOOGLETRANSLATE(A4190, ""ar"", ""bn"")"),"ইন্টারন্যাশনাল পিস সাপোর্ট সম্মেলন")</f>
        <v>ইন্টারন্যাশনাল পিস সাপোর্ট সম্মেলন</v>
      </c>
    </row>
    <row r="4191">
      <c r="A4191" s="2" t="s">
        <v>1222</v>
      </c>
      <c r="B4191" s="3" t="str">
        <f>IFERROR(__xludf.DUMMYFUNCTION("GOOGLETRANSLATE(A4191, ""ar"", ""bn"")"),"আন্তর্জাতিক শান্তি সম্মেলনে")</f>
        <v>আন্তর্জাতিক শান্তি সম্মেলনে</v>
      </c>
    </row>
    <row r="4192">
      <c r="A4192" s="2" t="s">
        <v>2802</v>
      </c>
      <c r="B4192" s="3" t="str">
        <f>IFERROR(__xludf.DUMMYFUNCTION("GOOGLETRANSLATE(A4192, ""ar"", ""bn"")"),"রাজনৈতিক দলের সাধারণ সম্মেলন")</f>
        <v>রাজনৈতিক দলের সাধারণ সম্মেলন</v>
      </c>
    </row>
    <row r="4193">
      <c r="A4193" s="2" t="s">
        <v>2682</v>
      </c>
      <c r="B4193" s="3" t="str">
        <f>IFERROR(__xludf.DUMMYFUNCTION("GOOGLETRANSLATE(A4193, ""ar"", ""bn"")"),"শিখর")</f>
        <v>শিখর</v>
      </c>
    </row>
    <row r="4194">
      <c r="A4194" s="2" t="s">
        <v>1220</v>
      </c>
      <c r="B4194" s="3" t="str">
        <f>IFERROR(__xludf.DUMMYFUNCTION("GOOGLETRANSLATE(A4194, ""ar"", ""bn"")"),"আন্তর্জাতিক সম্মেলন")</f>
        <v>আন্তর্জাতিক সম্মেলন</v>
      </c>
    </row>
    <row r="4195">
      <c r="A4195" s="2" t="s">
        <v>1970</v>
      </c>
      <c r="B4195" s="3" t="str">
        <f>IFERROR(__xludf.DUMMYFUNCTION("GOOGLETRANSLATE(A4195, ""ar"", ""bn"")"),"সংবাদ সম্মেলন")</f>
        <v>সংবাদ সম্মেলন</v>
      </c>
    </row>
    <row r="4196">
      <c r="A4196" s="2" t="s">
        <v>2803</v>
      </c>
      <c r="B4196" s="3" t="str">
        <f>IFERROR(__xludf.DUMMYFUNCTION("GOOGLETRANSLATE(A4196, ""ar"", ""bn"")"),"যৌথ আন্তঃ সরকারী সম্মেলন")</f>
        <v>যৌথ আন্তঃ সরকারী সম্মেলন</v>
      </c>
    </row>
    <row r="4197">
      <c r="A4197" s="2" t="s">
        <v>1069</v>
      </c>
      <c r="B4197" s="3" t="str">
        <f>IFERROR(__xludf.DUMMYFUNCTION("GOOGLETRANSLATE(A4197, ""ar"", ""bn"")"),"সরকারি প্রতিষ্ঠান")</f>
        <v>সরকারি প্রতিষ্ঠান</v>
      </c>
    </row>
    <row r="4198">
      <c r="A4198" s="2" t="s">
        <v>1242</v>
      </c>
      <c r="B4198" s="3" t="str">
        <f>IFERROR(__xludf.DUMMYFUNCTION("GOOGLETRANSLATE(A4198, ""ar"", ""bn"")"),"আন্তর্জাতিক প্রতিষ্ঠান")</f>
        <v>আন্তর্জাতিক প্রতিষ্ঠান</v>
      </c>
    </row>
    <row r="4199">
      <c r="A4199" s="2" t="s">
        <v>1850</v>
      </c>
      <c r="B4199" s="3" t="str">
        <f>IFERROR(__xludf.DUMMYFUNCTION("GOOGLETRANSLATE(A4199, ""ar"", ""bn"")"),"রাজনৈতিক প্রতিষ্ঠান")</f>
        <v>রাজনৈতিক প্রতিষ্ঠান</v>
      </c>
    </row>
    <row r="4200">
      <c r="A4200" s="2" t="s">
        <v>332</v>
      </c>
      <c r="B4200" s="3" t="str">
        <f>IFERROR(__xludf.DUMMYFUNCTION("GOOGLETRANSLATE(A4200, ""ar"", ""bn"")"),"কী আলোচনা")</f>
        <v>কী আলোচনা</v>
      </c>
    </row>
    <row r="4201">
      <c r="A4201" s="2" t="s">
        <v>2804</v>
      </c>
      <c r="B4201" s="3" t="str">
        <f>IFERROR(__xludf.DUMMYFUNCTION("GOOGLETRANSLATE(A4201, ""ar"", ""bn"")"),"লোকচক্ষুর আলোচনা পিছনে কূটনীতি")</f>
        <v>লোকচক্ষুর আলোচনা পিছনে কূটনীতি</v>
      </c>
    </row>
    <row r="4202">
      <c r="A4202" s="2" t="s">
        <v>2240</v>
      </c>
      <c r="B4202" s="3" t="str">
        <f>IFERROR(__xludf.DUMMYFUNCTION("GOOGLETRANSLATE(A4202, ""ar"", ""bn"")"),"কূটনৈতিক আলোচনা গোপন")</f>
        <v>কূটনৈতিক আলোচনা গোপন</v>
      </c>
    </row>
    <row r="4203">
      <c r="A4203" s="2" t="s">
        <v>1042</v>
      </c>
      <c r="B4203" s="3" t="str">
        <f>IFERROR(__xludf.DUMMYFUNCTION("GOOGLETRANSLATE(A4203, ""ar"", ""bn"")"),"বেসিক রাজনৈতিক নীতির")</f>
        <v>বেসিক রাজনৈতিক নীতির</v>
      </c>
    </row>
    <row r="4204">
      <c r="A4204" s="2" t="s">
        <v>683</v>
      </c>
      <c r="B4204" s="3" t="str">
        <f>IFERROR(__xludf.DUMMYFUNCTION("GOOGLETRANSLATE(A4204, ""ar"", ""bn"")"),"গণতন্ত্রের মূলনীতির")</f>
        <v>গণতন্ত্রের মূলনীতির</v>
      </c>
    </row>
    <row r="4205">
      <c r="A4205" s="2" t="s">
        <v>1182</v>
      </c>
      <c r="B4205" s="3" t="str">
        <f>IFERROR(__xludf.DUMMYFUNCTION("GOOGLETRANSLATE(A4205, ""ar"", ""bn"")"),"এম শান্তি উদ্যোগ")</f>
        <v>এম শান্তি উদ্যোগ</v>
      </c>
    </row>
    <row r="4206">
      <c r="A4206" s="2" t="s">
        <v>944</v>
      </c>
      <c r="B4206" s="3" t="str">
        <f>IFERROR(__xludf.DUMMYFUNCTION("GOOGLETRANSLATE(A4206, ""ar"", ""bn"")"),"ক্ষমতাচ্যুত স্বাধীনতার নীতি")</f>
        <v>ক্ষমতাচ্যুত স্বাধীনতার নীতি</v>
      </c>
    </row>
    <row r="4207">
      <c r="A4207" s="2" t="s">
        <v>1986</v>
      </c>
      <c r="B4207" s="3" t="str">
        <f>IFERROR(__xludf.DUMMYFUNCTION("GOOGLETRANSLATE(A4207, ""ar"", ""bn"")"),"ইকুইটি নীতিকে")</f>
        <v>ইকুইটি নীতিকে</v>
      </c>
    </row>
    <row r="4208">
      <c r="A4208" s="2" t="s">
        <v>1990</v>
      </c>
      <c r="B4208" s="3" t="str">
        <f>IFERROR(__xludf.DUMMYFUNCTION("GOOGLETRANSLATE(A4208, ""ar"", ""bn"")"),"ক্রিয়া-প্রতিক্রিয়া নীতিকে")</f>
        <v>ক্রিয়া-প্রতিক্রিয়া নীতিকে</v>
      </c>
    </row>
    <row r="4209">
      <c r="A4209" s="2" t="s">
        <v>1989</v>
      </c>
      <c r="B4209" s="3" t="str">
        <f>IFERROR(__xludf.DUMMYFUNCTION("GOOGLETRANSLATE(A4209, ""ar"", ""bn"")"),"শ্রেষ্ঠত্ব নীতিকে")</f>
        <v>শ্রেষ্ঠত্ব নীতিকে</v>
      </c>
    </row>
    <row r="4210">
      <c r="A4210" s="2" t="s">
        <v>471</v>
      </c>
      <c r="B4210" s="3" t="str">
        <f>IFERROR(__xludf.DUMMYFUNCTION("GOOGLETRANSLATE(A4210, ""ar"", ""bn"")"),"সমষ্টিগত Ejido নীতিকে")</f>
        <v>সমষ্টিগত Ejido নীতিকে</v>
      </c>
    </row>
    <row r="4211">
      <c r="A4211" s="2" t="s">
        <v>1991</v>
      </c>
      <c r="B4211" s="3" t="str">
        <f>IFERROR(__xludf.DUMMYFUNCTION("GOOGLETRANSLATE(A4211, ""ar"", ""bn"")"),"ক্ষমতা বিচ্ছেদ নীতিকে")</f>
        <v>ক্ষমতা বিচ্ছেদ নীতিকে</v>
      </c>
    </row>
    <row r="4212">
      <c r="A4212" s="2" t="s">
        <v>2805</v>
      </c>
      <c r="B4212" s="3" t="str">
        <f>IFERROR(__xludf.DUMMYFUNCTION("GOOGLETRANSLATE(A4212, ""ar"", ""bn"")"),"একটি সমাজতান্ত্রিক নীতিকে")</f>
        <v>একটি সমাজতান্ত্রিক নীতিকে</v>
      </c>
    </row>
    <row r="4213">
      <c r="A4213" s="2" t="s">
        <v>543</v>
      </c>
      <c r="B4213" s="3" t="str">
        <f>IFERROR(__xludf.DUMMYFUNCTION("GOOGLETRANSLATE(A4213, ""ar"", ""bn"")"),"রক্ষনশীল নীতি")</f>
        <v>রক্ষনশীল নীতি</v>
      </c>
    </row>
    <row r="4214">
      <c r="A4214" s="2" t="s">
        <v>2806</v>
      </c>
      <c r="B4214" s="3" t="str">
        <f>IFERROR(__xludf.DUMMYFUNCTION("GOOGLETRANSLATE(A4214, ""ar"", ""bn"")"),"ঘোড়দৌড় এবং ঘোড়দৌড় মধ্যে সমতা নীতিকে")</f>
        <v>ঘোড়দৌড় এবং ঘোড়দৌড় মধ্যে সমতা নীতিকে</v>
      </c>
    </row>
    <row r="4215">
      <c r="A4215" s="2" t="s">
        <v>1983</v>
      </c>
      <c r="B4215" s="3" t="str">
        <f>IFERROR(__xludf.DUMMYFUNCTION("GOOGLETRANSLATE(A4215, ""ar"", ""bn"")"),"নাগরিকদের মধ্যে সমতার নীতি")</f>
        <v>নাগরিকদের মধ্যে সমতার নীতি</v>
      </c>
    </row>
    <row r="4216">
      <c r="A4216" s="2" t="s">
        <v>2807</v>
      </c>
      <c r="B4216" s="3" t="str">
        <f>IFERROR(__xludf.DUMMYFUNCTION("GOOGLETRANSLATE(A4216, ""ar"", ""bn"")"),"Almikiavlah নীতিকে কোনো রাজনৈতিক প্রতারণা")</f>
        <v>Almikiavlah নীতিকে কোনো রাজনৈতিক প্রতারণা</v>
      </c>
    </row>
    <row r="4217">
      <c r="A4217" s="2" t="s">
        <v>1140</v>
      </c>
      <c r="B4217" s="3" t="str">
        <f>IFERROR(__xludf.DUMMYFUNCTION("GOOGLETRANSLATE(A4217, ""ar"", ""bn"")"),"নীতি বা মতবাদ")</f>
        <v>নীতি বা মতবাদ</v>
      </c>
    </row>
    <row r="4218">
      <c r="A4218" s="2" t="s">
        <v>1556</v>
      </c>
      <c r="B4218" s="3" t="str">
        <f>IFERROR(__xludf.DUMMYFUNCTION("GOOGLETRANSLATE(A4218, ""ar"", ""bn"")"),"পারস্পরিক সুবিধার নীতিকে")</f>
        <v>পারস্পরিক সুবিধার নীতিকে</v>
      </c>
    </row>
    <row r="4219">
      <c r="A4219" s="2" t="s">
        <v>1982</v>
      </c>
      <c r="B4219" s="3" t="str">
        <f>IFERROR(__xludf.DUMMYFUNCTION("GOOGLETRANSLATE(A4219, ""ar"", ""bn"")"),"আইনের শাসন নীতি")</f>
        <v>আইনের শাসন নীতি</v>
      </c>
    </row>
    <row r="4220">
      <c r="A4220" s="2" t="s">
        <v>1988</v>
      </c>
      <c r="B4220" s="3" t="str">
        <f>IFERROR(__xludf.DUMMYFUNCTION("GOOGLETRANSLATE(A4220, ""ar"", ""bn"")"),"অ Altd ভিনেগার নীতিকে")</f>
        <v>অ Altd ভিনেগার নীতিকে</v>
      </c>
    </row>
    <row r="4221">
      <c r="A4221" s="2" t="s">
        <v>1987</v>
      </c>
      <c r="B4221" s="3" t="str">
        <f>IFERROR(__xludf.DUMMYFUNCTION("GOOGLETRANSLATE(A4221, ""ar"", ""bn"")"),"অ বৈষম্যের নীতি, জাতিগত")</f>
        <v>অ বৈষম্যের নীতি, জাতিগত</v>
      </c>
    </row>
    <row r="4222">
      <c r="A4222" s="2" t="s">
        <v>2808</v>
      </c>
      <c r="B4222" s="3" t="str">
        <f>IFERROR(__xludf.DUMMYFUNCTION("GOOGLETRANSLATE(A4222, ""ar"", ""bn"")"),"পালিয়ে গুলি ব্লক নীতিকে")</f>
        <v>পালিয়ে গুলি ব্লক নীতিকে</v>
      </c>
    </row>
    <row r="4223">
      <c r="A4223" s="2" t="s">
        <v>2809</v>
      </c>
      <c r="B4223" s="3" t="str">
        <f>IFERROR(__xludf.DUMMYFUNCTION("GOOGLETRANSLATE(A4223, ""ar"", ""bn"")"),"এম নির্বাসিত ব্যক্তি নির্বাসিত")</f>
        <v>এম নির্বাসিত ব্যক্তি নির্বাসিত</v>
      </c>
    </row>
    <row r="4224">
      <c r="A4224" s="2" t="s">
        <v>873</v>
      </c>
      <c r="B4224" s="3" t="str">
        <f>IFERROR(__xludf.DUMMYFUNCTION("GOOGLETRANSLATE(A4224, ""ar"", ""bn"")"),"দূত")</f>
        <v>দূত</v>
      </c>
    </row>
    <row r="4225">
      <c r="A4225" s="2" t="s">
        <v>666</v>
      </c>
      <c r="B4225" s="3" t="str">
        <f>IFERROR(__xludf.DUMMYFUNCTION("GOOGLETRANSLATE(A4225, ""ar"", ""bn"")"),"প্রতিনিধি দূত")</f>
        <v>প্রতিনিধি দূত</v>
      </c>
    </row>
    <row r="4226">
      <c r="A4226" s="2" t="s">
        <v>2303</v>
      </c>
      <c r="B4226" s="3" t="str">
        <f>IFERROR(__xludf.DUMMYFUNCTION("GOOGLETRANSLATE(A4226, ""ar"", ""bn"")"),"বিশেষ দূত")</f>
        <v>বিশেষ দূত</v>
      </c>
    </row>
    <row r="4227">
      <c r="A4227" s="2" t="s">
        <v>865</v>
      </c>
      <c r="B4227" s="3" t="str">
        <f>IFERROR(__xludf.DUMMYFUNCTION("GOOGLETRANSLATE(A4227, ""ar"", ""bn"")"),"বিশেষ কূটনৈতিক দূত")</f>
        <v>বিশেষ কূটনৈতিক দূত</v>
      </c>
    </row>
    <row r="4228">
      <c r="A4228" s="2" t="s">
        <v>1834</v>
      </c>
      <c r="B4228" s="3" t="str">
        <f>IFERROR(__xludf.DUMMYFUNCTION("GOOGLETRANSLATE(A4228, ""ar"", ""bn"")"),"আন্তর্জাতিক দূত")</f>
        <v>আন্তর্জাতিক দূত</v>
      </c>
    </row>
    <row r="4229">
      <c r="A4229" s="2" t="s">
        <v>948</v>
      </c>
      <c r="B4229" s="3" t="str">
        <f>IFERROR(__xludf.DUMMYFUNCTION("GOOGLETRANSLATE(A4229, ""ar"", ""bn"")"),"দূত")</f>
        <v>দূত</v>
      </c>
    </row>
    <row r="4230">
      <c r="A4230" s="2" t="s">
        <v>952</v>
      </c>
      <c r="B4230" s="3" t="str">
        <f>IFERROR(__xludf.DUMMYFUNCTION("GOOGLETRANSLATE(A4230, ""ar"", ""bn"")"),"এম Mttr পি")</f>
        <v>এম Mttr পি</v>
      </c>
    </row>
    <row r="4231">
      <c r="A4231" s="2" t="s">
        <v>1346</v>
      </c>
      <c r="B4231" s="3" t="str">
        <f>IFERROR(__xludf.DUMMYFUNCTION("GOOGLETRANSLATE(A4231, ""ar"", ""bn"")"),"Almttal রাজ্যের জন্য বৈধ")</f>
        <v>Almttal রাজ্যের জন্য বৈধ</v>
      </c>
    </row>
    <row r="4232">
      <c r="A4232" s="2" t="s">
        <v>917</v>
      </c>
      <c r="B4232" s="3" t="str">
        <f>IFERROR(__xludf.DUMMYFUNCTION("GOOGLETRANSLATE(A4232, ""ar"", ""bn"")"),"এম অফিস প্রয়োজনীয়তা")</f>
        <v>এম অফিস প্রয়োজনীয়তা</v>
      </c>
    </row>
    <row r="4233">
      <c r="A4233" s="2" t="s">
        <v>1574</v>
      </c>
      <c r="B4233" s="3" t="str">
        <f>IFERROR(__xludf.DUMMYFUNCTION("GOOGLETRANSLATE(A4233, ""ar"", ""bn"")"),"এম জাতীয় প্রয়োজনীয়তা")</f>
        <v>এম জাতীয় প্রয়োজনীয়তা</v>
      </c>
    </row>
    <row r="4234">
      <c r="A4234" s="2" t="s">
        <v>2609</v>
      </c>
      <c r="B4234" s="3" t="str">
        <f>IFERROR(__xludf.DUMMYFUNCTION("GOOGLETRANSLATE(A4234, ""ar"", ""bn"")"),"এম Mtto পি")</f>
        <v>এম Mtto পি</v>
      </c>
    </row>
    <row r="4235">
      <c r="A4235" s="2" t="s">
        <v>690</v>
      </c>
      <c r="B4235" s="3" t="str">
        <f>IFERROR(__xludf.DUMMYFUNCTION("GOOGLETRANSLATE(A4235, ""ar"", ""bn"")"),"এম সক্রিয় অংশগ্রহণকারী")</f>
        <v>এম সক্রিয় অংশগ্রহণকারী</v>
      </c>
    </row>
    <row r="4236">
      <c r="A4236" s="2" t="s">
        <v>2810</v>
      </c>
      <c r="B4236" s="3" t="str">
        <f>IFERROR(__xludf.DUMMYFUNCTION("GOOGLETRANSLATE(A4236, ""ar"", ""bn"")"),"Mtal গুলি কূটনৈতিক Balambahthat")</f>
        <v>Mtal গুলি কূটনৈতিক Balambahthat</v>
      </c>
    </row>
    <row r="4237">
      <c r="A4237" s="2" t="s">
        <v>259</v>
      </c>
      <c r="B4237" s="3" t="str">
        <f>IFERROR(__xludf.DUMMYFUNCTION("GOOGLETRANSLATE(A4237, ""ar"", ""bn"")"),"এম সিস্টেমের সাথে সামঞ্জস্যপূর্ণ")</f>
        <v>এম সিস্টেমের সাথে সামঞ্জস্যপূর্ণ</v>
      </c>
    </row>
    <row r="4238">
      <c r="A4238" s="2" t="s">
        <v>2811</v>
      </c>
      <c r="B4238" s="3" t="str">
        <f>IFERROR(__xludf.DUMMYFUNCTION("GOOGLETRANSLATE(A4238, ""ar"", ""bn"")"),"আন্তর্জাতিক সম্প্রদায় বা আন্তর্জাতিক সম্প্রদায়")</f>
        <v>আন্তর্জাতিক সম্প্রদায় বা আন্তর্জাতিক সম্প্রদায়</v>
      </c>
    </row>
    <row r="4239">
      <c r="A4239" s="2" t="s">
        <v>447</v>
      </c>
      <c r="B4239" s="3" t="str">
        <f>IFERROR(__xludf.DUMMYFUNCTION("GOOGLETRANSLATE(A4239, ""ar"", ""bn"")"),"আমি সম্প্রদায়ে থাকুন")</f>
        <v>আমি সম্প্রদায়ে থাকুন</v>
      </c>
    </row>
    <row r="4240">
      <c r="A4240" s="2" t="s">
        <v>2662</v>
      </c>
      <c r="B4240" s="3" t="str">
        <f>IFERROR(__xludf.DUMMYFUNCTION("GOOGLETRANSLATE(A4240, ""ar"", ""bn"")"),"পশ্চিমা সমাজের")</f>
        <v>পশ্চিমা সমাজের</v>
      </c>
    </row>
    <row r="4241">
      <c r="A4241" s="2" t="s">
        <v>449</v>
      </c>
      <c r="B4241" s="3" t="str">
        <f>IFERROR(__xludf.DUMMYFUNCTION("GOOGLETRANSLATE(A4241, ""ar"", ""bn"")"),"সোসাইটি একটি ক্লাস হয়")</f>
        <v>সোসাইটি একটি ক্লাস হয়</v>
      </c>
    </row>
    <row r="4242">
      <c r="A4242" s="2" t="s">
        <v>1981</v>
      </c>
      <c r="B4242" s="3" t="str">
        <f>IFERROR(__xludf.DUMMYFUNCTION("GOOGLETRANSLATE(A4242, ""ar"", ""bn"")"),"আদিম সমাজে")</f>
        <v>আদিম সমাজে</v>
      </c>
    </row>
    <row r="4243">
      <c r="A4243" s="2" t="s">
        <v>2635</v>
      </c>
      <c r="B4243" s="3" t="str">
        <f>IFERROR(__xludf.DUMMYFUNCTION("GOOGLETRANSLATE(A4243, ""ar"", ""bn"")"),"যুদ্ধের একটি ফৌজদারি")</f>
        <v>যুদ্ধের একটি ফৌজদারি</v>
      </c>
    </row>
    <row r="4244">
      <c r="A4244" s="2" t="s">
        <v>611</v>
      </c>
      <c r="B4244" s="3" t="str">
        <f>IFERROR(__xludf.DUMMYFUNCTION("GOOGLETRANSLATE(A4244, ""ar"", ""bn"")"),"এম ঘটনা ছিল")</f>
        <v>এম ঘটনা ছিল</v>
      </c>
    </row>
    <row r="4245">
      <c r="A4245" s="2" t="s">
        <v>573</v>
      </c>
      <c r="B4245" s="3" t="str">
        <f>IFERROR(__xludf.DUMMYFUNCTION("GOOGLETRANSLATE(A4245, ""ar"", ""bn"")"),"উপদেষ্টা পর্ষদ")</f>
        <v>উপদেষ্টা পর্ষদ</v>
      </c>
    </row>
    <row r="4246">
      <c r="A4246" s="2" t="s">
        <v>2107</v>
      </c>
      <c r="B4246" s="3" t="str">
        <f>IFERROR(__xludf.DUMMYFUNCTION("GOOGLETRANSLATE(A4246, ""ar"", ""bn"")"),"আঞ্চলিক পরিষদ")</f>
        <v>আঞ্চলিক পরিষদ</v>
      </c>
    </row>
    <row r="4247">
      <c r="A4247" s="2" t="s">
        <v>2812</v>
      </c>
      <c r="B4247" s="3" t="str">
        <f>IFERROR(__xludf.DUMMYFUNCTION("GOOGLETRANSLATE(A4247, ""ar"", ""bn"")"),"সেনেট ব্রিটিশ সিস্টেম")</f>
        <v>সেনেট ব্রিটিশ সিস্টেম</v>
      </c>
    </row>
    <row r="4248">
      <c r="A4248" s="2" t="s">
        <v>2249</v>
      </c>
      <c r="B4248" s="3" t="str">
        <f>IFERROR(__xludf.DUMMYFUNCTION("GOOGLETRANSLATE(A4248, ""ar"", ""bn"")"),"নিরাপত্তা পরিষদ")</f>
        <v>নিরাপত্তা পরিষদ</v>
      </c>
    </row>
    <row r="4249">
      <c r="A4249" s="2" t="s">
        <v>265</v>
      </c>
      <c r="B4249" s="3" t="str">
        <f>IFERROR(__xludf.DUMMYFUNCTION("GOOGLETRANSLATE(A4249, ""ar"", ""bn"")"),"আরব লীগের কাউন্সিল")</f>
        <v>আরব লীগের কাউন্সিল</v>
      </c>
    </row>
    <row r="4250">
      <c r="A4250" s="2" t="s">
        <v>2326</v>
      </c>
      <c r="B4250" s="3" t="str">
        <f>IFERROR(__xludf.DUMMYFUNCTION("GOOGLETRANSLATE(A4250, ""ar"", ""bn"")"),"রাজ্য কাউন্সিল")</f>
        <v>রাজ্য কাউন্সিল</v>
      </c>
    </row>
    <row r="4251">
      <c r="A4251" s="2" t="s">
        <v>1755</v>
      </c>
      <c r="B4251" s="3" t="str">
        <f>IFERROR(__xludf.DUMMYFUNCTION("GOOGLETRANSLATE(A4251, ""ar"", ""bn"")"),"সংসদ")</f>
        <v>সংসদ</v>
      </c>
    </row>
    <row r="4252">
      <c r="A4252" s="2" t="s">
        <v>2258</v>
      </c>
      <c r="B4252" s="3" t="str">
        <f>IFERROR(__xludf.DUMMYFUNCTION("GOOGLETRANSLATE(A4252, ""ar"", ""bn"")"),"ব্যবস্থাপক সভা")</f>
        <v>ব্যবস্থাপক সভা</v>
      </c>
    </row>
    <row r="4253">
      <c r="A4253" s="2" t="s">
        <v>2813</v>
      </c>
      <c r="B4253" s="3" t="str">
        <f>IFERROR(__xludf.DUMMYFUNCTION("GOOGLETRANSLATE(A4253, ""ar"", ""bn"")"),"কমন্স সিস্টেম ব্রিটিশ হাউস")</f>
        <v>কমন্স সিস্টেম ব্রিটিশ হাউস</v>
      </c>
    </row>
    <row r="4254">
      <c r="A4254" s="2" t="s">
        <v>2814</v>
      </c>
      <c r="B4254" s="3" t="str">
        <f>IFERROR(__xludf.DUMMYFUNCTION("GOOGLETRANSLATE(A4254, ""ar"", ""bn"")"),"লর্ডস সিস্টেম ব্রিটিশ হাউস")</f>
        <v>লর্ডস সিস্টেম ব্রিটিশ হাউস</v>
      </c>
    </row>
    <row r="4255">
      <c r="A4255" s="2" t="s">
        <v>2815</v>
      </c>
      <c r="B4255" s="3" t="str">
        <f>IFERROR(__xludf.DUMMYFUNCTION("GOOGLETRANSLATE(A4255, ""ar"", ""bn"")"),"রক্ষনশীল ব্রিটিশ কাউন্সিল সিস্টেম")</f>
        <v>রক্ষনশীল ব্রিটিশ কাউন্সিল সিস্টেম</v>
      </c>
    </row>
    <row r="4256">
      <c r="A4256" s="2" t="s">
        <v>2485</v>
      </c>
      <c r="B4256" s="3" t="str">
        <f>IFERROR(__xludf.DUMMYFUNCTION("GOOGLETRANSLATE(A4256, ""ar"", ""bn"")"),"মিউনিসিপ্যালিটির সভ্যগণ")</f>
        <v>মিউনিসিপ্যালিটির সভ্যগণ</v>
      </c>
    </row>
    <row r="4257">
      <c r="A4257" s="2" t="s">
        <v>422</v>
      </c>
      <c r="B4257" s="3" t="str">
        <f>IFERROR(__xludf.DUMMYFUNCTION("GOOGLETRANSLATE(A4257, ""ar"", ""bn"")"),"সংসদ")</f>
        <v>সংসদ</v>
      </c>
    </row>
    <row r="4258">
      <c r="A4258" s="2" t="s">
        <v>381</v>
      </c>
      <c r="B4258" s="3" t="str">
        <f>IFERROR(__xludf.DUMMYFUNCTION("GOOGLETRANSLATE(A4258, ""ar"", ""bn"")"),"মন্ত্রিপরিষদ")</f>
        <v>মন্ত্রিপরিষদ</v>
      </c>
    </row>
    <row r="4259">
      <c r="A4259" s="2" t="s">
        <v>2507</v>
      </c>
      <c r="B4259" s="3" t="str">
        <f>IFERROR(__xludf.DUMMYFUNCTION("GOOGLETRANSLATE(A4259, ""ar"", ""bn"")"),"ন্যাসরক্ষা কাউন্সিল")</f>
        <v>ন্যাসরক্ষা কাউন্সিল</v>
      </c>
    </row>
    <row r="4260">
      <c r="A4260" s="2" t="s">
        <v>561</v>
      </c>
      <c r="B4260" s="3" t="str">
        <f>IFERROR(__xludf.DUMMYFUNCTION("GOOGLETRANSLATE(A4260, ""ar"", ""bn"")"),"একটি গণপরিষদ")</f>
        <v>একটি গণপরিষদ</v>
      </c>
    </row>
    <row r="4261">
      <c r="A4261" s="2" t="s">
        <v>1350</v>
      </c>
      <c r="B4261" s="3" t="str">
        <f>IFERROR(__xludf.DUMMYFUNCTION("GOOGLETRANSLATE(A4261, ""ar"", ""bn"")"),"আইন-সভা")</f>
        <v>আইন-সভা</v>
      </c>
    </row>
    <row r="4262">
      <c r="A4262" s="2" t="s">
        <v>2632</v>
      </c>
      <c r="B4262" s="3" t="str">
        <f>IFERROR(__xludf.DUMMYFUNCTION("GOOGLETRANSLATE(A4262, ""ar"", ""bn"")"),"যুদ্ধের কাউন্সিল")</f>
        <v>যুদ্ধের কাউন্সিল</v>
      </c>
    </row>
    <row r="4263">
      <c r="A4263" s="2" t="s">
        <v>1427</v>
      </c>
      <c r="B4263" s="3" t="str">
        <f>IFERROR(__xludf.DUMMYFUNCTION("GOOGLETRANSLATE(A4263, ""ar"", ""bn"")"),"গতানুগতিক কাউন্সিল")</f>
        <v>গতানুগতিক কাউন্সিল</v>
      </c>
    </row>
    <row r="4264">
      <c r="A4264" s="2" t="s">
        <v>1114</v>
      </c>
      <c r="B4264" s="3" t="str">
        <f>IFERROR(__xludf.DUMMYFUNCTION("GOOGLETRANSLATE(A4264, ""ar"", ""bn"")"),"অবৈতনিক কাউন্সিল")</f>
        <v>অবৈতনিক কাউন্সিল</v>
      </c>
    </row>
    <row r="4265">
      <c r="A4265" s="2" t="s">
        <v>2175</v>
      </c>
      <c r="B4265" s="3" t="str">
        <f>IFERROR(__xludf.DUMMYFUNCTION("GOOGLETRANSLATE(A4265, ""ar"", ""bn"")"),"বিপ্লবী কমান্ড কাউন্সিলের")</f>
        <v>বিপ্লবী কমান্ড কাউন্সিলের</v>
      </c>
    </row>
    <row r="4266">
      <c r="A4266" s="2" t="s">
        <v>1714</v>
      </c>
      <c r="B4266" s="3" t="str">
        <f>IFERROR(__xludf.DUMMYFUNCTION("GOOGLETRANSLATE(A4266, ""ar"", ""bn"")"),"একজন সংসদ")</f>
        <v>একজন সংসদ</v>
      </c>
    </row>
    <row r="4267">
      <c r="A4267" s="2" t="s">
        <v>2465</v>
      </c>
      <c r="B4267" s="3" t="str">
        <f>IFERROR(__xludf.DUMMYFUNCTION("GOOGLETRANSLATE(A4267, ""ar"", ""bn"")"),"সন্ত্রাসী দলের")</f>
        <v>সন্ত্রাসী দলের</v>
      </c>
    </row>
    <row r="4268">
      <c r="A4268" s="2" t="s">
        <v>933</v>
      </c>
      <c r="B4268" s="3" t="str">
        <f>IFERROR(__xludf.DUMMYFUNCTION("GOOGLETRANSLATE(A4268, ""ar"", ""bn"")"),"এম অনুসন্ধানমূলক আলোচনা")</f>
        <v>এম অনুসন্ধানমূলক আলোচনা</v>
      </c>
    </row>
    <row r="4269">
      <c r="A4269" s="2" t="s">
        <v>1746</v>
      </c>
      <c r="B4269" s="3" t="str">
        <f>IFERROR(__xludf.DUMMYFUNCTION("GOOGLETRANSLATE(A4269, ""ar"", ""bn"")"),"শান্তি আলোচনা")</f>
        <v>শান্তি আলোচনা</v>
      </c>
    </row>
    <row r="4270">
      <c r="A4270" s="2" t="s">
        <v>1193</v>
      </c>
      <c r="B4270" s="3" t="str">
        <f>IFERROR(__xludf.DUMMYFUNCTION("GOOGLETRANSLATE(A4270, ""ar"", ""bn"")"),"এম প্রাথমিক আলোচনা")</f>
        <v>এম প্রাথমিক আলোচনা</v>
      </c>
    </row>
    <row r="4271">
      <c r="A4271" s="2" t="s">
        <v>1669</v>
      </c>
      <c r="B4271" s="3" t="str">
        <f>IFERROR(__xludf.DUMMYFUNCTION("GOOGLETRANSLATE(A4271, ""ar"", ""bn"")"),"এম আনুষ্ঠানিক বৈঠক")</f>
        <v>এম আনুষ্ঠানিক বৈঠক</v>
      </c>
    </row>
    <row r="4272">
      <c r="A4272" s="2" t="s">
        <v>475</v>
      </c>
      <c r="B4272" s="3" t="str">
        <f>IFERROR(__xludf.DUMMYFUNCTION("GOOGLETRANSLATE(A4272, ""ar"", ""bn"")"),"এম যোদ্ধা")</f>
        <v>এম যোদ্ধা</v>
      </c>
    </row>
    <row r="4273">
      <c r="A4273" s="2" t="s">
        <v>1439</v>
      </c>
      <c r="B4273" s="3" t="str">
        <f>IFERROR(__xludf.DUMMYFUNCTION("GOOGLETRANSLATE(A4273, ""ar"", ""bn"")"),"রাজ্যপাল")</f>
        <v>রাজ্যপাল</v>
      </c>
    </row>
    <row r="4274">
      <c r="A4274" s="2" t="s">
        <v>886</v>
      </c>
      <c r="B4274" s="3" t="str">
        <f>IFERROR(__xludf.DUMMYFUNCTION("GOOGLETRANSLATE(A4274, ""ar"", ""bn"")"),"ইকুইটি আদালত")</f>
        <v>ইকুইটি আদালত</v>
      </c>
    </row>
    <row r="4275">
      <c r="A4275" s="2" t="s">
        <v>1205</v>
      </c>
      <c r="B4275" s="3" t="str">
        <f>IFERROR(__xludf.DUMMYFUNCTION("GOOGLETRANSLATE(A4275, ""ar"", ""bn"")"),"আন্তর্জাতিক সালিসি আদালতের")</f>
        <v>আন্তর্জাতিক সালিসি আদালতের</v>
      </c>
    </row>
    <row r="4276">
      <c r="A4276" s="2" t="s">
        <v>299</v>
      </c>
      <c r="B4276" s="3" t="str">
        <f>IFERROR(__xludf.DUMMYFUNCTION("GOOGLETRANSLATE(A4276, ""ar"", ""bn"")"),"এম রাষ্ট্রীয় নিরাপত্তা পতনসাধনের চেষ্টা")</f>
        <v>এম রাষ্ট্রীয় নিরাপত্তা পতনসাধনের চেষ্টা</v>
      </c>
    </row>
    <row r="4277">
      <c r="A4277" s="2" t="s">
        <v>1519</v>
      </c>
      <c r="B4277" s="3" t="str">
        <f>IFERROR(__xludf.DUMMYFUNCTION("GOOGLETRANSLATE(A4277, ""ar"", ""bn"")"),"সভার বিশুদ্ধ তথ্য")</f>
        <v>সভার বিশুদ্ধ তথ্য</v>
      </c>
    </row>
    <row r="4278">
      <c r="A4278" s="2" t="s">
        <v>1997</v>
      </c>
      <c r="B4278" s="3" t="str">
        <f>IFERROR(__xludf.DUMMYFUNCTION("GOOGLETRANSLATE(A4278, ""ar"", ""bn"")"),"বিশুদ্ধ অধিবেশন")</f>
        <v>বিশুদ্ধ অধিবেশন</v>
      </c>
    </row>
    <row r="4279">
      <c r="A4279" s="2" t="s">
        <v>996</v>
      </c>
      <c r="B4279" s="3" t="str">
        <f>IFERROR(__xludf.DUMMYFUNCTION("GOOGLETRANSLATE(A4279, ""ar"", ""bn"")"),"বিদেশী ডেটা লিখুন ফোকাস")</f>
        <v>বিদেশী ডেটা লিখুন ফোকাস</v>
      </c>
    </row>
    <row r="4280">
      <c r="A4280" s="2" t="s">
        <v>992</v>
      </c>
      <c r="B4280" s="3" t="str">
        <f>IFERROR(__xludf.DUMMYFUNCTION("GOOGLETRANSLATE(A4280, ""ar"", ""bn"")"),"মিডিয়া ডেটা Hzawrh ফোকাস")</f>
        <v>মিডিয়া ডেটা Hzawrh ফোকাস</v>
      </c>
    </row>
    <row r="4281">
      <c r="A4281" s="2" t="s">
        <v>2176</v>
      </c>
      <c r="B4281" s="3" t="str">
        <f>IFERROR(__xludf.DUMMYFUNCTION("GOOGLETRANSLATE(A4281, ""ar"", ""bn"")"),"বিপ্লবী কোর্টের")</f>
        <v>বিপ্লবী কোর্টের</v>
      </c>
    </row>
    <row r="4282">
      <c r="A4282" s="2" t="s">
        <v>1104</v>
      </c>
      <c r="B4282" s="3" t="str">
        <f>IFERROR(__xludf.DUMMYFUNCTION("GOOGLETRANSLATE(A4282, ""ar"", ""bn"")"),"সুপ্রিম সাংবিধানিক আদালত")</f>
        <v>সুপ্রিম সাংবিধানিক আদালত</v>
      </c>
    </row>
    <row r="4283">
      <c r="A4283" s="2" t="s">
        <v>1107</v>
      </c>
      <c r="B4283" s="3" t="str">
        <f>IFERROR(__xludf.DUMMYFUNCTION("GOOGLETRANSLATE(A4283, ""ar"", ""bn"")"),"সুপ্রীম আন্তর্জাতিক ট্রাইব্যুনাল")</f>
        <v>সুপ্রীম আন্তর্জাতিক ট্রাইব্যুনাল</v>
      </c>
    </row>
    <row r="4284">
      <c r="A4284" s="2" t="s">
        <v>1196</v>
      </c>
      <c r="B4284" s="3" t="str">
        <f>IFERROR(__xludf.DUMMYFUNCTION("GOOGLETRANSLATE(A4284, ""ar"", ""bn"")"),"বিচারপতি সুপ্রিম আন্তর্জাতিক আদালত")</f>
        <v>বিচারপতি সুপ্রিম আন্তর্জাতিক আদালত</v>
      </c>
    </row>
    <row r="4285">
      <c r="A4285" s="2" t="s">
        <v>2633</v>
      </c>
      <c r="B4285" s="3" t="str">
        <f>IFERROR(__xludf.DUMMYFUNCTION("GOOGLETRANSLATE(A4285, ""ar"", ""bn"")"),"ওয়ার কোর্ট")</f>
        <v>ওয়ার কোর্ট</v>
      </c>
    </row>
    <row r="4286">
      <c r="A4286" s="2" t="s">
        <v>1228</v>
      </c>
      <c r="B4286" s="3" t="str">
        <f>IFERROR(__xludf.DUMMYFUNCTION("GOOGLETRANSLATE(A4286, ""ar"", ""bn"")"),"আন্তর্জাতিক আদালত")</f>
        <v>আন্তর্জাতিক আদালত</v>
      </c>
    </row>
    <row r="4287">
      <c r="A4287" s="2" t="s">
        <v>1428</v>
      </c>
      <c r="B4287" s="3" t="str">
        <f>IFERROR(__xludf.DUMMYFUNCTION("GOOGLETRANSLATE(A4287, ""ar"", ""bn"")"),"মার্শাল আদালত")</f>
        <v>মার্শাল আদালত</v>
      </c>
    </row>
    <row r="4288">
      <c r="A4288" s="2" t="s">
        <v>975</v>
      </c>
      <c r="B4288" s="3" t="str">
        <f>IFERROR(__xludf.DUMMYFUNCTION("GOOGLETRANSLATE(A4288, ""ar"", ""bn"")"),"মার্কিন আদালত")</f>
        <v>মার্কিন আদালত</v>
      </c>
    </row>
    <row r="4289">
      <c r="A4289" s="2" t="s">
        <v>1239</v>
      </c>
      <c r="B4289" s="3" t="str">
        <f>IFERROR(__xludf.DUMMYFUNCTION("GOOGLETRANSLATE(A4289, ""ar"", ""bn"")"),"আন্তর্জাতিক ফিল্ড কোর্ট")</f>
        <v>আন্তর্জাতিক ফিল্ড কোর্ট</v>
      </c>
    </row>
    <row r="4290">
      <c r="A4290" s="2" t="s">
        <v>1563</v>
      </c>
      <c r="B4290" s="3" t="str">
        <f>IFERROR(__xludf.DUMMYFUNCTION("GOOGLETRANSLATE(A4290, ""ar"", ""bn"")"),"জাতীয় কোর্টের")</f>
        <v>জাতীয় কোর্টের</v>
      </c>
    </row>
    <row r="4291">
      <c r="A4291" s="2" t="s">
        <v>1041</v>
      </c>
      <c r="B4291" s="3" t="str">
        <f>IFERROR(__xludf.DUMMYFUNCTION("GOOGLETRANSLATE(A4291, ""ar"", ""bn"")"),"সমঝোতা প্রধান ফোকাস")</f>
        <v>সমঝোতা প্রধান ফোকাস</v>
      </c>
    </row>
    <row r="4292">
      <c r="A4292" s="2" t="s">
        <v>1609</v>
      </c>
      <c r="B4292" s="3" t="str">
        <f>IFERROR(__xludf.DUMMYFUNCTION("GOOGLETRANSLATE(A4292, ""ar"", ""bn"")"),"নিরপেক্ষ অক্ষ")</f>
        <v>নিরপেক্ষ অক্ষ</v>
      </c>
    </row>
    <row r="4293">
      <c r="A4293" s="2" t="s">
        <v>742</v>
      </c>
      <c r="B4293" s="3" t="str">
        <f>IFERROR(__xludf.DUMMYFUNCTION("GOOGLETRANSLATE(A4293, ""ar"", ""bn"")"),"কূটনৈতিক প্রতিবেশ")</f>
        <v>কূটনৈতিক প্রতিবেশ</v>
      </c>
    </row>
    <row r="4294">
      <c r="A4294" s="2" t="s">
        <v>1793</v>
      </c>
      <c r="B4294" s="3" t="str">
        <f>IFERROR(__xludf.DUMMYFUNCTION("GOOGLETRANSLATE(A4294, ""ar"", ""bn"")"),"রাজনৈতিক ঝুঁকি")</f>
        <v>রাজনৈতিক ঝুঁকি</v>
      </c>
    </row>
    <row r="4295">
      <c r="A4295" s="2" t="s">
        <v>2209</v>
      </c>
      <c r="B4295" s="3" t="str">
        <f>IFERROR(__xludf.DUMMYFUNCTION("GOOGLETRANSLATE(A4295, ""ar"", ""bn"")"),"বিশ্ব শান্তির জন্য বিপদ")</f>
        <v>বিশ্ব শান্তির জন্য বিপদ</v>
      </c>
    </row>
    <row r="4296">
      <c r="A4296" s="2" t="s">
        <v>1258</v>
      </c>
      <c r="B4296" s="3" t="str">
        <f>IFERROR(__xludf.DUMMYFUNCTION("GOOGLETRANSLATE(A4296, ""ar"", ""bn"")"),"এম একটি আন্তর্জাতিক প্রকল্প")</f>
        <v>এম একটি আন্তর্জাতিক প্রকল্প</v>
      </c>
    </row>
    <row r="4297">
      <c r="A4297" s="2" t="s">
        <v>1261</v>
      </c>
      <c r="B4297" s="3" t="str">
        <f>IFERROR(__xludf.DUMMYFUNCTION("GOOGLETRANSLATE(A4297, ""ar"", ""bn"")"),"এম আন্তর্জাতিক রাজনৈতিক প্রকল্প")</f>
        <v>এম আন্তর্জাতিক রাজনৈতিক প্রকল্প</v>
      </c>
    </row>
    <row r="4298">
      <c r="A4298" s="2" t="s">
        <v>1573</v>
      </c>
      <c r="B4298" s="3" t="str">
        <f>IFERROR(__xludf.DUMMYFUNCTION("GOOGLETRANSLATE(A4298, ""ar"", ""bn"")"),"জাতীয় প্রকল্প")</f>
        <v>জাতীয় প্রকল্প</v>
      </c>
    </row>
    <row r="4299">
      <c r="A4299" s="2" t="s">
        <v>2816</v>
      </c>
      <c r="B4299" s="3" t="str">
        <f>IFERROR(__xludf.DUMMYFUNCTION("GOOGLETRANSLATE(A4299, ""ar"", ""bn"")"),"এম পরিকাঠামো উড়িয়ে দেওয়ার চক্রান্ত")</f>
        <v>এম পরিকাঠামো উড়িয়ে দেওয়ার চক্রান্ত</v>
      </c>
    </row>
    <row r="4300">
      <c r="A4300" s="2" t="s">
        <v>1715</v>
      </c>
      <c r="B4300" s="3" t="str">
        <f>IFERROR(__xludf.DUMMYFUNCTION("GOOGLETRANSLATE(A4300, ""ar"", ""bn"")"),"ভারতবর্ষের লোকসভা আলোচনার মধ্যে")</f>
        <v>ভারতবর্ষের লোকসভা আলোচনার মধ্যে</v>
      </c>
    </row>
    <row r="4301">
      <c r="A4301" s="2" t="s">
        <v>736</v>
      </c>
      <c r="B4301" s="3" t="str">
        <f>IFERROR(__xludf.DUMMYFUNCTION("GOOGLETRANSLATE(A4301, ""ar"", ""bn"")"),"এম কূটনৈতিক আলোচনার")</f>
        <v>এম কূটনৈতিক আলোচনার</v>
      </c>
    </row>
    <row r="4302">
      <c r="A4302" s="2" t="s">
        <v>670</v>
      </c>
      <c r="B4302" s="3" t="str">
        <f>IFERROR(__xludf.DUMMYFUNCTION("GOOGLETRANSLATE(A4302, ""ar"", ""bn"")"),"আন্তর্জাতিক পর্যায়ে এম আলোচনার")</f>
        <v>আন্তর্জাতিক পর্যায়ে এম আলোচনার</v>
      </c>
    </row>
    <row r="4303">
      <c r="A4303" s="2" t="s">
        <v>672</v>
      </c>
      <c r="B4303" s="3" t="str">
        <f>IFERROR(__xludf.DUMMYFUNCTION("GOOGLETRANSLATE(A4303, ""ar"", ""bn"")"),"স্থানীয় পর্যায়ে এম আলোচনার")</f>
        <v>স্থানীয় পর্যায়ে এম আলোচনার</v>
      </c>
    </row>
    <row r="4304">
      <c r="A4304" s="2" t="s">
        <v>2529</v>
      </c>
      <c r="B4304" s="3" t="str">
        <f>IFERROR(__xludf.DUMMYFUNCTION("GOOGLETRANSLATE(A4304, ""ar"", ""bn"")"),"গোলাবর্ষণ অধীনে এম শহর")</f>
        <v>গোলাবর্ষণ অধীনে এম শহর</v>
      </c>
    </row>
    <row r="4305">
      <c r="A4305" s="2" t="s">
        <v>1025</v>
      </c>
      <c r="B4305" s="3" t="str">
        <f>IFERROR(__xludf.DUMMYFUNCTION("GOOGLETRANSLATE(A4305, ""ar"", ""bn"")"),"NH, এর পরিমার্জিত শহর")</f>
        <v>NH, এর পরিমার্জিত শহর</v>
      </c>
    </row>
    <row r="4306">
      <c r="A4306" s="2" t="s">
        <v>1168</v>
      </c>
      <c r="B4306" s="3" t="str">
        <f>IFERROR(__xludf.DUMMYFUNCTION("GOOGLETRANSLATE(A4306, ""ar"", ""bn"")"),"স্বাধীন শহর")</f>
        <v>স্বাধীন শহর</v>
      </c>
    </row>
    <row r="4307">
      <c r="A4307" s="2" t="s">
        <v>1437</v>
      </c>
      <c r="B4307" s="3" t="str">
        <f>IFERROR(__xludf.DUMMYFUNCTION("GOOGLETRANSLATE(A4307, ""ar"", ""bn"")"),"অনুষ্ঠান - এর গুরু")</f>
        <v>অনুষ্ঠান - এর গুরু</v>
      </c>
    </row>
    <row r="4308">
      <c r="A4308" s="2" t="s">
        <v>431</v>
      </c>
      <c r="B4308" s="3" t="str">
        <f>IFERROR(__xludf.DUMMYFUNCTION("GOOGLETRANSLATE(A4308, ""ar"", ""bn"")"),"প্রোটোকল পরিচালক")</f>
        <v>প্রোটোকল পরিচালক</v>
      </c>
    </row>
    <row r="4309">
      <c r="A4309" s="2" t="s">
        <v>1405</v>
      </c>
      <c r="B4309" s="3" t="str">
        <f>IFERROR(__xludf.DUMMYFUNCTION("GOOGLETRANSLATE(A4309, ""ar"", ""bn"")"),"সিটি কখনো ঝড়")</f>
        <v>সিটি কখনো ঝড়</v>
      </c>
    </row>
    <row r="4310">
      <c r="A4310" s="2" t="s">
        <v>1125</v>
      </c>
      <c r="B4310" s="3" t="str">
        <f>IFERROR(__xludf.DUMMYFUNCTION("GOOGLETRANSLATE(A4310, ""ar"", ""bn"")"),"মানব বধ")</f>
        <v>মানব বধ</v>
      </c>
    </row>
    <row r="4311">
      <c r="A4311" s="2" t="s">
        <v>2057</v>
      </c>
      <c r="B4311" s="3" t="str">
        <f>IFERROR(__xludf.DUMMYFUNCTION("GOOGLETRANSLATE(A4311, ""ar"", ""bn"")"),"গণহত্যা অপরিহার্য উপাদান ইয়ে")</f>
        <v>গণহত্যা অপরিহার্য উপাদান ইয়ে</v>
      </c>
    </row>
    <row r="4312">
      <c r="A4312" s="2" t="s">
        <v>2020</v>
      </c>
      <c r="B4312" s="3" t="str">
        <f>IFERROR(__xludf.DUMMYFUNCTION("GOOGLETRANSLATE(A4312, ""ar"", ""bn"")"),"এম প্রতিবাদ নোট")</f>
        <v>এম প্রতিবাদ নোট</v>
      </c>
    </row>
    <row r="4313">
      <c r="A4313" s="2" t="s">
        <v>1446</v>
      </c>
      <c r="B4313" s="3" t="str">
        <f>IFERROR(__xludf.DUMMYFUNCTION("GOOGLETRANSLATE(A4313, ""ar"", ""bn"")"),"সভার ঘটনা এম একটি নোট")</f>
        <v>সভার ঘটনা এম একটি নোট</v>
      </c>
    </row>
    <row r="4314">
      <c r="A4314" s="2" t="s">
        <v>531</v>
      </c>
      <c r="B4314" s="3" t="str">
        <f>IFERROR(__xludf.DUMMYFUNCTION("GOOGLETRANSLATE(A4314, ""ar"", ""bn"")"),"এম নিশ্চিতকরণ স্মারক")</f>
        <v>এম নিশ্চিতকরণ স্মারক</v>
      </c>
    </row>
    <row r="4315">
      <c r="A4315" s="2" t="s">
        <v>2645</v>
      </c>
      <c r="B4315" s="3" t="str">
        <f>IFERROR(__xludf.DUMMYFUNCTION("GOOGLETRANSLATE(A4315, ""ar"", ""bn"")"),"সতর্কতা মেমো")</f>
        <v>সতর্কতা মেমো</v>
      </c>
    </row>
    <row r="4316">
      <c r="A4316" s="2" t="s">
        <v>2817</v>
      </c>
      <c r="B4316" s="3" t="str">
        <f>IFERROR(__xludf.DUMMYFUNCTION("GOOGLETRANSLATE(A4316, ""ar"", ""bn"")"),"বোঝার এম কূটনৈতিক স্মারকলিপি")</f>
        <v>বোঝার এম কূটনৈতিক স্মারকলিপি</v>
      </c>
    </row>
    <row r="4317">
      <c r="A4317" s="2" t="s">
        <v>2818</v>
      </c>
      <c r="B4317" s="3" t="str">
        <f>IFERROR(__xludf.DUMMYFUNCTION("GOOGLETRANSLATE(A4317, ""ar"", ""bn"")"),"বোঝাপড়া কূটনীতি ব্যাখ্যামূলক স্মারক")</f>
        <v>বোঝাপড়া কূটনীতি ব্যাখ্যামূলক স্মারক</v>
      </c>
    </row>
    <row r="4318">
      <c r="A4318" s="2" t="s">
        <v>2819</v>
      </c>
      <c r="B4318" s="3" t="str">
        <f>IFERROR(__xludf.DUMMYFUNCTION("GOOGLETRANSLATE(A4318, ""ar"", ""bn"")"),"রাজনৈতিক বুঝতে ব্যাখ্যামূলক স্মারকলিপি")</f>
        <v>রাজনৈতিক বুঝতে ব্যাখ্যামূলক স্মারকলিপি</v>
      </c>
    </row>
    <row r="4319">
      <c r="A4319" s="2" t="s">
        <v>759</v>
      </c>
      <c r="B4319" s="3" t="str">
        <f>IFERROR(__xludf.DUMMYFUNCTION("GOOGLETRANSLATE(A4319, ""ar"", ""bn"")"),"স্মারকলিপি")</f>
        <v>স্মারকলিপি</v>
      </c>
    </row>
    <row r="4320">
      <c r="A4320" s="2" t="s">
        <v>527</v>
      </c>
      <c r="B4320" s="3" t="str">
        <f>IFERROR(__xludf.DUMMYFUNCTION("GOOGLETRANSLATE(A4320, ""ar"", ""bn"")"),"গোপন কূটনৈতিক স্মারকলিপি ইয়ে")</f>
        <v>গোপন কূটনৈতিক স্মারকলিপি ইয়ে</v>
      </c>
    </row>
    <row r="4321">
      <c r="A4321" s="2" t="s">
        <v>434</v>
      </c>
      <c r="B4321" s="3" t="str">
        <f>IFERROR(__xludf.DUMMYFUNCTION("GOOGLETRANSLATE(A4321, ""ar"", ""bn"")"),"এম কূটনৈতিক নোট সাধারণ")</f>
        <v>এম কূটনৈতিক নোট সাধারণ</v>
      </c>
    </row>
    <row r="4322">
      <c r="A4322" s="2" t="s">
        <v>435</v>
      </c>
      <c r="B4322" s="3" t="str">
        <f>IFERROR(__xludf.DUMMYFUNCTION("GOOGLETRANSLATE(A4322, ""ar"", ""bn"")"),"এম রাজনৈতিক স্মারকলিপি Muamm সাধরণ")</f>
        <v>এম রাজনৈতিক স্মারকলিপি Muamm সাধরণ</v>
      </c>
    </row>
    <row r="4323">
      <c r="A4323" s="2" t="s">
        <v>2061</v>
      </c>
      <c r="B4323" s="3" t="str">
        <f>IFERROR(__xludf.DUMMYFUNCTION("GOOGLETRANSLATE(A4323, ""ar"", ""bn"")"),"মৌলে তত্ত্ব")</f>
        <v>মৌলে তত্ত্ব</v>
      </c>
    </row>
    <row r="4324">
      <c r="A4324" s="2" t="s">
        <v>1586</v>
      </c>
      <c r="B4324" s="3" t="str">
        <f>IFERROR(__xludf.DUMMYFUNCTION("GOOGLETRANSLATE(A4324, ""ar"", ""bn"")"),"প্রাকৃতিক মতবাদ")</f>
        <v>প্রাকৃতিক মতবাদ</v>
      </c>
    </row>
    <row r="4325">
      <c r="A4325" s="2" t="s">
        <v>236</v>
      </c>
      <c r="B4325" s="3" t="str">
        <f>IFERROR(__xludf.DUMMYFUNCTION("GOOGLETRANSLATE(A4325, ""ar"", ""bn"")"),"নৈরাজ্যবাদীরা তত্ত্ব")</f>
        <v>নৈরাজ্যবাদীরা তত্ত্ব</v>
      </c>
    </row>
    <row r="4326">
      <c r="A4326" s="2" t="s">
        <v>1764</v>
      </c>
      <c r="B4326" s="3" t="str">
        <f>IFERROR(__xludf.DUMMYFUNCTION("GOOGLETRANSLATE(A4326, ""ar"", ""bn"")"),"idealists হয় তত্ত্ব")</f>
        <v>idealists হয় তত্ত্ব</v>
      </c>
    </row>
    <row r="4327">
      <c r="A4327" s="2" t="s">
        <v>721</v>
      </c>
      <c r="B4327" s="3" t="str">
        <f>IFERROR(__xludf.DUMMYFUNCTION("GOOGLETRANSLATE(A4327, ""ar"", ""bn"")"),"কূটনৈতিক বিষয়ক সংবাদদাতা")</f>
        <v>কূটনৈতিক বিষয়ক সংবাদদাতা</v>
      </c>
    </row>
    <row r="4328">
      <c r="A4328" s="2" t="s">
        <v>2679</v>
      </c>
      <c r="B4328" s="3" t="str">
        <f>IFERROR(__xludf.DUMMYFUNCTION("GOOGLETRANSLATE(A4328, ""ar"", ""bn"")"),"এম আন্তর্জাতিক বিষয়ক সংবাদদাতা")</f>
        <v>এম আন্তর্জাতিক বিষয়ক সংবাদদাতা</v>
      </c>
    </row>
    <row r="4329">
      <c r="A4329" s="2" t="s">
        <v>2135</v>
      </c>
      <c r="B4329" s="3" t="str">
        <f>IFERROR(__xludf.DUMMYFUNCTION("GOOGLETRANSLATE(A4329, ""ar"", ""bn"")"),"সংবাদদাতা")</f>
        <v>সংবাদদাতা</v>
      </c>
    </row>
    <row r="4330">
      <c r="A4330" s="2" t="s">
        <v>2217</v>
      </c>
      <c r="B4330" s="3" t="str">
        <f>IFERROR(__xludf.DUMMYFUNCTION("GOOGLETRANSLATE(A4330, ""ar"", ""bn"")"),"রয়েল সন্মান অনুষ্ঠান")</f>
        <v>রয়েল সন্মান অনুষ্ঠান</v>
      </c>
    </row>
    <row r="4331">
      <c r="A4331" s="2" t="s">
        <v>547</v>
      </c>
      <c r="B4331" s="3" t="str">
        <f>IFERROR(__xludf.DUMMYFUNCTION("GOOGLETRANSLATE(A4331, ""ar"", ""bn"")"),"এম একাউন্টে গ্রহণ রাজনৈতিক পরিস্থিতি")</f>
        <v>এম একাউন্টে গ্রহণ রাজনৈতিক পরিস্থিতি</v>
      </c>
    </row>
    <row r="4332">
      <c r="A4332" s="2" t="s">
        <v>2820</v>
      </c>
      <c r="B4332" s="3" t="str">
        <f>IFERROR(__xludf.DUMMYFUNCTION("GOOGLETRANSLATE(A4332, ""ar"", ""bn"")"),"একাউন্টে গ্রহণ যুক্তরাষ্ট্র মধ্যে বন্ধুত্বপূর্ণ সম্পর্ক")</f>
        <v>একাউন্টে গ্রহণ যুক্তরাষ্ট্র মধ্যে বন্ধুত্বপূর্ণ সম্পর্ক</v>
      </c>
    </row>
    <row r="4333">
      <c r="A4333" s="2" t="s">
        <v>1641</v>
      </c>
      <c r="B4333" s="3" t="str">
        <f>IFERROR(__xludf.DUMMYFUNCTION("GOOGLETRANSLATE(A4333, ""ar"", ""bn"")"),"শান্তির নিয়ম সাপেক্ষে")</f>
        <v>শান্তির নিয়ম সাপেক্ষে</v>
      </c>
    </row>
    <row r="4334">
      <c r="A4334" s="2" t="s">
        <v>2687</v>
      </c>
      <c r="B4334" s="3" t="str">
        <f>IFERROR(__xludf.DUMMYFUNCTION("GOOGLETRANSLATE(A4334, ""ar"", ""bn"")"),"এম আন্তর্জাতিক প্রতিবাদী")</f>
        <v>এম আন্তর্জাতিক প্রতিবাদী</v>
      </c>
    </row>
    <row r="4335">
      <c r="A4335" s="2" t="s">
        <v>583</v>
      </c>
      <c r="B4335" s="3" t="str">
        <f>IFERROR(__xludf.DUMMYFUNCTION("GOOGLETRANSLATE(A4335, ""ar"", ""bn"")"),"এম মনিটর")</f>
        <v>এম মনিটর</v>
      </c>
    </row>
    <row r="4336">
      <c r="A4336" s="2" t="s">
        <v>2821</v>
      </c>
      <c r="B4336" s="3" t="str">
        <f>IFERROR(__xludf.DUMMYFUNCTION("GOOGLETRANSLATE(A4336, ""ar"", ""bn"")"),"মানবাধিকার পালনের মনিটর")</f>
        <v>মানবাধিকার পালনের মনিটর</v>
      </c>
    </row>
    <row r="4337">
      <c r="A4337" s="2" t="s">
        <v>2667</v>
      </c>
      <c r="B4337" s="3" t="str">
        <f>IFERROR(__xludf.DUMMYFUNCTION("GOOGLETRANSLATE(A4337, ""ar"", ""bn"")"),"মনিটরিং টেলিফোন লাইনের")</f>
        <v>মনিটরিং টেলিফোন লাইনের</v>
      </c>
    </row>
    <row r="4338">
      <c r="A4338" s="2" t="s">
        <v>2363</v>
      </c>
      <c r="B4338" s="3" t="str">
        <f>IFERROR(__xludf.DUMMYFUNCTION("GOOGLETRANSLATE(A4338, ""ar"", ""bn"")"),"সেন্টার কৌশল")</f>
        <v>সেন্টার কৌশল</v>
      </c>
    </row>
    <row r="4339">
      <c r="A4339" s="2" t="s">
        <v>1883</v>
      </c>
      <c r="B4339" s="3" t="str">
        <f>IFERROR(__xludf.DUMMYFUNCTION("GOOGLETRANSLATE(A4339, ""ar"", ""bn"")"),"রাজনৈতিক রেফারেন্স")</f>
        <v>রাজনৈতিক রেফারেন্স</v>
      </c>
    </row>
    <row r="4340">
      <c r="A4340" s="2" t="s">
        <v>646</v>
      </c>
      <c r="B4340" s="3" t="str">
        <f>IFERROR(__xludf.DUMMYFUNCTION("GOOGLETRANSLATE(A4340, ""ar"", ""bn"")"),"ফরমান")</f>
        <v>ফরমান</v>
      </c>
    </row>
    <row r="4341">
      <c r="A4341" s="2" t="s">
        <v>1352</v>
      </c>
      <c r="B4341" s="3" t="str">
        <f>IFERROR(__xludf.DUMMYFUNCTION("GOOGLETRANSLATE(A4341, ""ar"", ""bn"")"),"লেজিসলেটিভ ফরমান")</f>
        <v>লেজিসলেটিভ ফরমান</v>
      </c>
    </row>
    <row r="4342">
      <c r="A4342" s="2" t="s">
        <v>2146</v>
      </c>
      <c r="B4342" s="3" t="str">
        <f>IFERROR(__xludf.DUMMYFUNCTION("GOOGLETRANSLATE(A4342, ""ar"", ""bn"")"),"রিপাবলিকান ফরমান")</f>
        <v>রিপাবলিকান ফরমান</v>
      </c>
    </row>
    <row r="4343">
      <c r="A4343" s="2" t="s">
        <v>1960</v>
      </c>
      <c r="B4343" s="3" t="str">
        <f>IFERROR(__xludf.DUMMYFUNCTION("GOOGLETRANSLATE(A4343, ""ar"", ""bn"")"),"রাষ্ট্রপতি ফরমান")</f>
        <v>রাষ্ট্রপতি ফরমান</v>
      </c>
    </row>
    <row r="4344">
      <c r="A4344" s="2" t="s">
        <v>389</v>
      </c>
      <c r="B4344" s="3" t="str">
        <f>IFERROR(__xludf.DUMMYFUNCTION("GOOGLETRANSLATE(A4344, ""ar"", ""bn"")"),"এম নির্বাচন প্রার্থী")</f>
        <v>এম নির্বাচন প্রার্থী</v>
      </c>
    </row>
    <row r="4345">
      <c r="A4345" s="2" t="s">
        <v>404</v>
      </c>
      <c r="B4345" s="3" t="str">
        <f>IFERROR(__xludf.DUMMYFUNCTION("GOOGLETRANSLATE(A4345, ""ar"", ""bn"")"),"আকর্ষণ কেন্দ্র")</f>
        <v>আকর্ষণ কেন্দ্র</v>
      </c>
    </row>
    <row r="4346">
      <c r="A4346" s="2" t="s">
        <v>1783</v>
      </c>
      <c r="B4346" s="3" t="str">
        <f>IFERROR(__xludf.DUMMYFUNCTION("GOOGLETRANSLATE(A4346, ""ar"", ""bn"")"),"নিয়ন্ত্রণ কেন্দ্র")</f>
        <v>নিয়ন্ত্রণ কেন্দ্র</v>
      </c>
    </row>
    <row r="4347">
      <c r="A4347" s="2" t="s">
        <v>1804</v>
      </c>
      <c r="B4347" s="3" t="str">
        <f>IFERROR(__xludf.DUMMYFUNCTION("GOOGLETRANSLATE(A4347, ""ar"", ""bn"")"),"রাজনৈতিক কেন্দ্র")</f>
        <v>রাজনৈতিক কেন্দ্র</v>
      </c>
    </row>
    <row r="4348">
      <c r="A4348" s="2" t="s">
        <v>411</v>
      </c>
      <c r="B4348" s="3" t="str">
        <f>IFERROR(__xludf.DUMMYFUNCTION("GOOGLETRANSLATE(A4348, ""ar"", ""bn"")"),"ইয়ে সেন্টার")</f>
        <v>ইয়ে সেন্টার</v>
      </c>
    </row>
    <row r="4349">
      <c r="A4349" s="2" t="s">
        <v>1944</v>
      </c>
      <c r="B4349" s="3" t="str">
        <f>IFERROR(__xludf.DUMMYFUNCTION("GOOGLETRANSLATE(A4349, ""ar"", ""bn"")"),"সুবিধাদি")</f>
        <v>সুবিধাদি</v>
      </c>
    </row>
    <row r="4350">
      <c r="A4350" s="2" t="s">
        <v>343</v>
      </c>
      <c r="B4350" s="3" t="str">
        <f>IFERROR(__xludf.DUMMYFUNCTION("GOOGLETRANSLATE(A4350, ""ar"", ""bn"")"),"এম দ্বৈত নাগরিকত্ব")</f>
        <v>এম দ্বৈত নাগরিকত্ব</v>
      </c>
    </row>
    <row r="4351">
      <c r="A4351" s="2" t="s">
        <v>2253</v>
      </c>
      <c r="B4351" s="3" t="str">
        <f>IFERROR(__xludf.DUMMYFUNCTION("GOOGLETRANSLATE(A4351, ""ar"", ""bn"")"),"একজন নিরাপত্তা কর্মকর্তা")</f>
        <v>একজন নিরাপত্তা কর্মকর্তা</v>
      </c>
    </row>
    <row r="4352">
      <c r="A4352" s="2" t="s">
        <v>1270</v>
      </c>
      <c r="B4352" s="3" t="str">
        <f>IFERROR(__xludf.DUMMYFUNCTION("GOOGLETRANSLATE(A4352, ""ar"", ""bn"")"),"আন্তর্জাতিক দায়িত্ব")</f>
        <v>আন্তর্জাতিক দায়িত্ব</v>
      </c>
    </row>
    <row r="4353">
      <c r="A4353" s="2" t="s">
        <v>1965</v>
      </c>
      <c r="B4353" s="3" t="str">
        <f>IFERROR(__xludf.DUMMYFUNCTION("GOOGLETRANSLATE(A4353, ""ar"", ""bn"")"),"রাষ্ট্রপতি দায়িত্ব")</f>
        <v>রাষ্ট্রপতি দায়িত্ব</v>
      </c>
    </row>
    <row r="4354">
      <c r="A4354" s="2" t="s">
        <v>1891</v>
      </c>
      <c r="B4354" s="3" t="str">
        <f>IFERROR(__xludf.DUMMYFUNCTION("GOOGLETRANSLATE(A4354, ""ar"", ""bn"")"),"রাজনৈতিক দায়িত্ব")</f>
        <v>রাজনৈতিক দায়িত্ব</v>
      </c>
    </row>
    <row r="4355">
      <c r="A4355" s="2" t="s">
        <v>993</v>
      </c>
      <c r="B4355" s="3" t="str">
        <f>IFERROR(__xludf.DUMMYFUNCTION("GOOGLETRANSLATE(A4355, ""ar"", ""bn"")"),"এম বৈদেশিক সাহায্য")</f>
        <v>এম বৈদেশিক সাহায্য</v>
      </c>
    </row>
    <row r="4356">
      <c r="A4356" s="2" t="s">
        <v>1131</v>
      </c>
      <c r="B4356" s="3" t="str">
        <f>IFERROR(__xludf.DUMMYFUNCTION("GOOGLETRANSLATE(A4356, ""ar"", ""bn"")"),"মানবিক সাহায্যের")</f>
        <v>মানবিক সাহায্যের</v>
      </c>
    </row>
    <row r="4357">
      <c r="A4357" s="2" t="s">
        <v>1548</v>
      </c>
      <c r="B4357" s="3" t="str">
        <f>IFERROR(__xludf.DUMMYFUNCTION("GOOGLETRANSLATE(A4357, ""ar"", ""bn"")"),"এম যুক্তরাষ্ট্র মধ্যে পারস্পরিক সহায়তা")</f>
        <v>এম যুক্তরাষ্ট্র মধ্যে পারস্পরিক সহায়তা</v>
      </c>
    </row>
    <row r="4358">
      <c r="A4358" s="2" t="s">
        <v>1058</v>
      </c>
      <c r="B4358" s="3" t="str">
        <f>IFERROR(__xludf.DUMMYFUNCTION("GOOGLETRANSLATE(A4358, ""ar"", ""bn"")"),"গুড অফিসের")</f>
        <v>গুড অফিসের</v>
      </c>
    </row>
    <row r="4359">
      <c r="A4359" s="2" t="s">
        <v>737</v>
      </c>
      <c r="B4359" s="3" t="str">
        <f>IFERROR(__xludf.DUMMYFUNCTION("GOOGLETRANSLATE(A4359, ""ar"", ""bn"")"),"এম কূটনৈতিক কুরিয়ার")</f>
        <v>এম কূটনৈতিক কুরিয়ার</v>
      </c>
    </row>
    <row r="4360">
      <c r="A4360" s="2" t="s">
        <v>1822</v>
      </c>
      <c r="B4360" s="3" t="str">
        <f>IFERROR(__xludf.DUMMYFUNCTION("GOOGLETRANSLATE(A4360, ""ar"", ""bn"")"),"এম রাজনৈতিক কুরিয়ার")</f>
        <v>এম রাজনৈতিক কুরিয়ার</v>
      </c>
    </row>
    <row r="4361">
      <c r="A4361" s="2" t="s">
        <v>1735</v>
      </c>
      <c r="B4361" s="3" t="str">
        <f>IFERROR(__xludf.DUMMYFUNCTION("GOOGLETRANSLATE(A4361, ""ar"", ""bn"")"),"এম শান্তিপূর্ণ নেতিবাচক")</f>
        <v>এম শান্তিপূর্ণ নেতিবাচক</v>
      </c>
    </row>
    <row r="4362">
      <c r="A4362" s="2" t="s">
        <v>875</v>
      </c>
      <c r="B4362" s="3" t="str">
        <f>IFERROR(__xludf.DUMMYFUNCTION("GOOGLETRANSLATE(A4362, ""ar"", ""bn"")"),"সমতা")</f>
        <v>সমতা</v>
      </c>
    </row>
    <row r="4363">
      <c r="A4363" s="2" t="s">
        <v>881</v>
      </c>
      <c r="B4363" s="3" t="str">
        <f>IFERROR(__xludf.DUMMYFUNCTION("GOOGLETRANSLATE(A4363, ""ar"", ""bn"")"),"আইনের দৃষ্টিতে সমতা")</f>
        <v>আইনের দৃষ্টিতে সমতা</v>
      </c>
    </row>
    <row r="4364">
      <c r="A4364" s="2" t="s">
        <v>878</v>
      </c>
      <c r="B4364" s="3" t="str">
        <f>IFERROR(__xludf.DUMMYFUNCTION("GOOGLETRANSLATE(A4364, ""ar"", ""bn"")"),"ব্যক্তিবিশেষের মধ্যে সমতা")</f>
        <v>ব্যক্তিবিশেষের মধ্যে সমতা</v>
      </c>
    </row>
    <row r="4365">
      <c r="A4365" s="2" t="s">
        <v>880</v>
      </c>
      <c r="B4365" s="3" t="str">
        <f>IFERROR(__xludf.DUMMYFUNCTION("GOOGLETRANSLATE(A4365, ""ar"", ""bn"")"),"sexes মধ্যে সমতা")</f>
        <v>sexes মধ্যে সমতা</v>
      </c>
    </row>
    <row r="4366">
      <c r="A4366" s="2" t="s">
        <v>876</v>
      </c>
      <c r="B4366" s="3" t="str">
        <f>IFERROR(__xludf.DUMMYFUNCTION("GOOGLETRANSLATE(A4366, ""ar"", ""bn"")"),"জাতিগত সমতা")</f>
        <v>জাতিগত সমতা</v>
      </c>
    </row>
    <row r="4367">
      <c r="A4367" s="2" t="s">
        <v>2055</v>
      </c>
      <c r="B4367" s="3" t="str">
        <f>IFERROR(__xludf.DUMMYFUNCTION("GOOGLETRANSLATE(A4367, ""ar"", ""bn"")"),"জাতিগত সমতা")</f>
        <v>জাতিগত সমতা</v>
      </c>
    </row>
    <row r="4368">
      <c r="A4368" s="2" t="s">
        <v>877</v>
      </c>
      <c r="B4368" s="3" t="str">
        <f>IFERROR(__xludf.DUMMYFUNCTION("GOOGLETRANSLATE(A4368, ""ar"", ""bn"")"),"সমান অধিকার ও কর্তব্য")</f>
        <v>সমান অধিকার ও কর্তব্য</v>
      </c>
    </row>
    <row r="4369">
      <c r="A4369" s="2" t="s">
        <v>1802</v>
      </c>
      <c r="B4369" s="3" t="str">
        <f>IFERROR(__xludf.DUMMYFUNCTION("GOOGLETRANSLATE(A4369, ""ar"", ""bn"")"),"এম রাজনৈতিক দরকষাকষি")</f>
        <v>এম রাজনৈতিক দরকষাকষি</v>
      </c>
    </row>
    <row r="4370">
      <c r="A4370" s="2" t="s">
        <v>2503</v>
      </c>
      <c r="B4370" s="3" t="str">
        <f>IFERROR(__xludf.DUMMYFUNCTION("GOOGLETRANSLATE(A4370, ""ar"", ""bn"")"),"এম কারণ অস্থিরতা")</f>
        <v>এম কারণ অস্থিরতা</v>
      </c>
    </row>
    <row r="4371">
      <c r="A4371" s="2" t="s">
        <v>572</v>
      </c>
      <c r="B4371" s="3" t="str">
        <f>IFERROR(__xludf.DUMMYFUNCTION("GOOGLETRANSLATE(A4371, ""ar"", ""bn"")"),"পরামর্শকারী")</f>
        <v>পরামর্শকারী</v>
      </c>
    </row>
    <row r="4372">
      <c r="A4372" s="2" t="s">
        <v>628</v>
      </c>
      <c r="B4372" s="3" t="str">
        <f>IFERROR(__xludf.DUMMYFUNCTION("GOOGLETRANSLATE(A4372, ""ar"", ""bn"")"),"সাংস্কৃতিক কাউন্সেলর")</f>
        <v>সাংস্কৃতিক কাউন্সেলর</v>
      </c>
    </row>
    <row r="4373">
      <c r="A4373" s="2" t="s">
        <v>602</v>
      </c>
      <c r="B4373" s="3" t="str">
        <f>IFERROR(__xludf.DUMMYFUNCTION("GOOGLETRANSLATE(A4373, ""ar"", ""bn"")"),"এম আইনগত উপদেষ্টা")</f>
        <v>এম আইনগত উপদেষ্টা</v>
      </c>
    </row>
    <row r="4374">
      <c r="A4374" s="2" t="s">
        <v>1148</v>
      </c>
      <c r="B4374" s="3" t="str">
        <f>IFERROR(__xludf.DUMMYFUNCTION("GOOGLETRANSLATE(A4374, ""ar"", ""bn"")"),"এম ঔপনিবেশিক")</f>
        <v>এম ঔপনিবেশিক</v>
      </c>
    </row>
    <row r="4375">
      <c r="A4375" s="2" t="s">
        <v>474</v>
      </c>
      <c r="B4375" s="3" t="str">
        <f>IFERROR(__xludf.DUMMYFUNCTION("GOOGLETRANSLATE(A4375, ""ar"", ""bn"")"),"এম উপনিবেশ")</f>
        <v>এম উপনিবেশ</v>
      </c>
    </row>
    <row r="4376">
      <c r="A4376" s="2" t="s">
        <v>1998</v>
      </c>
      <c r="B4376" s="3" t="str">
        <f>IFERROR(__xludf.DUMMYFUNCTION("GOOGLETRANSLATE(A4376, ""ar"", ""bn"")"),"এম জীবনী")</f>
        <v>এম জীবনী</v>
      </c>
    </row>
    <row r="4377">
      <c r="A4377" s="2" t="s">
        <v>1858</v>
      </c>
      <c r="B4377" s="3" t="str">
        <f>IFERROR(__xludf.DUMMYFUNCTION("GOOGLETRANSLATE(A4377, ""ar"", ""bn"")"),"রাজনৈতিক প্রক্রিয়া")</f>
        <v>রাজনৈতিক প্রক্রিয়া</v>
      </c>
    </row>
    <row r="4378">
      <c r="A4378" s="2" t="s">
        <v>1971</v>
      </c>
      <c r="B4378" s="3" t="str">
        <f>IFERROR(__xludf.DUMMYFUNCTION("GOOGLETRANSLATE(A4378, ""ar"", ""bn"")"),"এম দলবলের প্রেস")</f>
        <v>এম দলবলের প্রেস</v>
      </c>
    </row>
    <row r="4379">
      <c r="A4379" s="2" t="s">
        <v>1729</v>
      </c>
      <c r="B4379" s="3" t="str">
        <f>IFERROR(__xludf.DUMMYFUNCTION("GOOGLETRANSLATE(A4379, ""ar"", ""bn"")"),"অন্তত ইয়াত এ শাসন এম অংশগ্রহণ")</f>
        <v>অন্তত ইয়াত এ শাসন এম অংশগ্রহণ</v>
      </c>
    </row>
    <row r="4380">
      <c r="A4380" s="2" t="s">
        <v>2822</v>
      </c>
      <c r="B4380" s="3" t="str">
        <f>IFERROR(__xludf.DUMMYFUNCTION("GOOGLETRANSLATE(A4380, ""ar"", ""bn"")"),"রাজনৈতিক জীবনে এম প্রকাশ্য অংশগ্রহণ")</f>
        <v>রাজনৈতিক জীবনে এম প্রকাশ্য অংশগ্রহণ</v>
      </c>
    </row>
    <row r="4381">
      <c r="A4381" s="2" t="s">
        <v>1727</v>
      </c>
      <c r="B4381" s="3" t="str">
        <f>IFERROR(__xludf.DUMMYFUNCTION("GOOGLETRANSLATE(A4381, ""ar"", ""bn"")"),"এম পোস্ট সংখ্যালঘু")</f>
        <v>এম পোস্ট সংখ্যালঘু</v>
      </c>
    </row>
    <row r="4382">
      <c r="A4382" s="2" t="s">
        <v>1914</v>
      </c>
      <c r="B4382" s="3" t="str">
        <f>IFERROR(__xludf.DUMMYFUNCTION("GOOGLETRANSLATE(A4382, ""ar"", ""bn"")"),"এম জনপ্রিয় অংশগ্রহণ")</f>
        <v>এম জনপ্রিয় অংশগ্রহণ</v>
      </c>
    </row>
    <row r="4383">
      <c r="A4383" s="2" t="s">
        <v>2346</v>
      </c>
      <c r="B4383" s="3" t="str">
        <f>IFERROR(__xludf.DUMMYFUNCTION("GOOGLETRANSLATE(A4383, ""ar"", ""bn"")"),"এম শায়িত্ব রাজ্যের")</f>
        <v>এম শায়িত্ব রাজ্যের</v>
      </c>
    </row>
    <row r="4384">
      <c r="A4384" s="2" t="s">
        <v>2823</v>
      </c>
      <c r="B4384" s="3" t="str">
        <f>IFERROR(__xludf.DUMMYFUNCTION("GOOGLETRANSLATE(A4384, ""ar"", ""bn"")"),"এম যৌথ কূটনৈতিক আলোচনা")</f>
        <v>এম যৌথ কূটনৈতিক আলোচনা</v>
      </c>
    </row>
    <row r="4385">
      <c r="A4385" s="2" t="s">
        <v>2301</v>
      </c>
      <c r="B4385" s="3" t="str">
        <f>IFERROR(__xludf.DUMMYFUNCTION("GOOGLETRANSLATE(A4385, ""ar"", ""bn"")"),"তথ্য রাজনৈতিক সূত্র")</f>
        <v>তথ্য রাজনৈতিক সূত্র</v>
      </c>
    </row>
    <row r="4386">
      <c r="A4386" s="2" t="s">
        <v>485</v>
      </c>
      <c r="B4386" s="3" t="str">
        <f>IFERROR(__xludf.DUMMYFUNCTION("GOOGLETRANSLATE(A4386, ""ar"", ""bn"")"),"প্রচলিত মানব স্বার্থ")</f>
        <v>প্রচলিত মানব স্বার্থ</v>
      </c>
    </row>
    <row r="4387">
      <c r="A4387" s="2" t="s">
        <v>1260</v>
      </c>
      <c r="B4387" s="3" t="str">
        <f>IFERROR(__xludf.DUMMYFUNCTION("GOOGLETRANSLATE(A4387, ""ar"", ""bn"")"),"আন্তর্জাতিক রাজনৈতিক স্বার্থ")</f>
        <v>আন্তর্জাতিক রাজনৈতিক স্বার্থ</v>
      </c>
    </row>
    <row r="4388">
      <c r="A4388" s="2" t="s">
        <v>2339</v>
      </c>
      <c r="B4388" s="3" t="str">
        <f>IFERROR(__xludf.DUMMYFUNCTION("GOOGLETRANSLATE(A4388, ""ar"", ""bn"")"),"দেশের সাধারণ স্বার্থ")</f>
        <v>দেশের সাধারণ স্বার্থ</v>
      </c>
    </row>
    <row r="4389">
      <c r="A4389" s="2" t="s">
        <v>1758</v>
      </c>
      <c r="B4389" s="3" t="str">
        <f>IFERROR(__xludf.DUMMYFUNCTION("GOOGLETRANSLATE(A4389, ""ar"", ""bn"")"),"জনগণের সাধারণ স্বার্থ")</f>
        <v>জনগণের সাধারণ স্বার্থ</v>
      </c>
    </row>
    <row r="4390">
      <c r="A4390" s="2" t="s">
        <v>749</v>
      </c>
      <c r="B4390" s="3" t="str">
        <f>IFERROR(__xludf.DUMMYFUNCTION("GOOGLETRANSLATE(A4390, ""ar"", ""bn"")"),"কূটনৈতিক স্বার্থ")</f>
        <v>কূটনৈতিক স্বার্থ</v>
      </c>
    </row>
    <row r="4391">
      <c r="A4391" s="2" t="s">
        <v>2606</v>
      </c>
      <c r="B4391" s="3" t="str">
        <f>IFERROR(__xludf.DUMMYFUNCTION("GOOGLETRANSLATE(A4391, ""ar"", ""bn"")"),"আন্তর্জাতিক স্বার্থ অহিযো ইয়ে")</f>
        <v>আন্তর্জাতিক স্বার্থ অহিযো ইয়ে</v>
      </c>
    </row>
    <row r="4392">
      <c r="A4392" s="2" t="s">
        <v>2607</v>
      </c>
      <c r="B4392" s="3" t="str">
        <f>IFERROR(__xludf.DUMMYFUNCTION("GOOGLETRANSLATE(A4392, ""ar"", ""bn"")"),"রাজনৈতিক স্বার্থ অহিযো ইয়ে")</f>
        <v>রাজনৈতিক স্বার্থ অহিযো ইয়ে</v>
      </c>
    </row>
    <row r="4393">
      <c r="A4393" s="2" t="s">
        <v>2824</v>
      </c>
      <c r="B4393" s="3" t="str">
        <f>IFERROR(__xludf.DUMMYFUNCTION("GOOGLETRANSLATE(A4393, ""ar"", ""bn"")"),"এম পুনর্মিলন কূটনীতি")</f>
        <v>এম পুনর্মিলন কূটনীতি</v>
      </c>
    </row>
    <row r="4394">
      <c r="A4394" s="2" t="s">
        <v>622</v>
      </c>
      <c r="B4394" s="3" t="str">
        <f>IFERROR(__xludf.DUMMYFUNCTION("GOOGLETRANSLATE(A4394, ""ar"", ""bn"")"),"বৈদেশিক নীতির এম বিশ্বাসযোগ্যতা")</f>
        <v>বৈদেশিক নীতির এম বিশ্বাসযোগ্যতা</v>
      </c>
    </row>
    <row r="4395">
      <c r="A4395" s="2" t="s">
        <v>2825</v>
      </c>
      <c r="B4395" s="3" t="str">
        <f>IFERROR(__xludf.DUMMYFUNCTION("GOOGLETRANSLATE(A4395, ""ar"", ""bn"")"),"মস্তিষ্কের উৎস এবং তথ্য দেবার জন্য")</f>
        <v>মস্তিষ্কের উৎস এবং তথ্য দেবার জন্য</v>
      </c>
    </row>
    <row r="4396">
      <c r="A4396" s="2" t="s">
        <v>2161</v>
      </c>
      <c r="B4396" s="3" t="str">
        <f>IFERROR(__xludf.DUMMYFUNCTION("GOOGLETRANSLATE(A4396, ""ar"", ""bn"")"),"তথ্য সূত্র জন্য দায়ী")</f>
        <v>তথ্য সূত্র জন্য দায়ী</v>
      </c>
    </row>
    <row r="4397">
      <c r="A4397" s="2" t="s">
        <v>1516</v>
      </c>
      <c r="B4397" s="3" t="str">
        <f>IFERROR(__xludf.DUMMYFUNCTION("GOOGLETRANSLATE(A4397, ""ar"", ""bn"")"),"সংখ্যালঘুদের স্বার্থ")</f>
        <v>সংখ্যালঘুদের স্বার্থ</v>
      </c>
    </row>
    <row r="4398">
      <c r="A4398" s="2" t="s">
        <v>2097</v>
      </c>
      <c r="B4398" s="3" t="str">
        <f>IFERROR(__xludf.DUMMYFUNCTION("GOOGLETRANSLATE(A4398, ""ar"", ""bn"")"),"উদ্বাস্তুদের ভাগ্য")</f>
        <v>উদ্বাস্তুদের ভাগ্য</v>
      </c>
    </row>
    <row r="4399">
      <c r="A4399" s="2" t="s">
        <v>245</v>
      </c>
      <c r="B4399" s="3" t="str">
        <f>IFERROR(__xludf.DUMMYFUNCTION("GOOGLETRANSLATE(A4399, ""ar"", ""bn"")"),"এম-বিরোধী সাংবিধানিক")</f>
        <v>এম-বিরোধী সাংবিধানিক</v>
      </c>
    </row>
    <row r="4400">
      <c r="A4400" s="2" t="s">
        <v>2452</v>
      </c>
      <c r="B4400" s="3" t="str">
        <f>IFERROR(__xludf.DUMMYFUNCTION("GOOGLETRANSLATE(A4400, ""ar"", ""bn"")"),"এম আঞ্চলিক আহ্বান")</f>
        <v>এম আঞ্চলিক আহ্বান</v>
      </c>
    </row>
    <row r="4401">
      <c r="A4401" s="2" t="s">
        <v>1043</v>
      </c>
      <c r="B4401" s="3" t="str">
        <f>IFERROR(__xludf.DUMMYFUNCTION("GOOGLETRANSLATE(A4401, ""ar"", ""bn"")"),"যুক্তরাষ্ট্রের ভবিষ্যত আকাঙ্খার")</f>
        <v>যুক্তরাষ্ট্রের ভবিষ্যত আকাঙ্খার</v>
      </c>
    </row>
    <row r="4402">
      <c r="A4402" s="2" t="s">
        <v>689</v>
      </c>
      <c r="B4402" s="3" t="str">
        <f>IFERROR(__xludf.DUMMYFUNCTION("GOOGLETRANSLATE(A4402, ""ar"", ""bn"")"),"এম বিক্ষোভ")</f>
        <v>এম বিক্ষোভ</v>
      </c>
    </row>
    <row r="4403">
      <c r="A4403" s="2" t="s">
        <v>1749</v>
      </c>
      <c r="B4403" s="3" t="str">
        <f>IFERROR(__xludf.DUMMYFUNCTION("GOOGLETRANSLATE(A4403, ""ar"", ""bn"")"),"এম শান্তিপূর্ণ বিক্ষোভের")</f>
        <v>এম শান্তিপূর্ণ বিক্ষোভের</v>
      </c>
    </row>
    <row r="4404">
      <c r="A4404" s="2" t="s">
        <v>1824</v>
      </c>
      <c r="B4404" s="3" t="str">
        <f>IFERROR(__xludf.DUMMYFUNCTION("GOOGLETRANSLATE(A4404, ""ar"", ""bn"")"),"এম রাজনৈতিক বিক্ষোভের")</f>
        <v>এম রাজনৈতিক বিক্ষোভের</v>
      </c>
    </row>
    <row r="4405">
      <c r="A4405" s="2" t="s">
        <v>1122</v>
      </c>
      <c r="B4405" s="3" t="str">
        <f>IFERROR(__xludf.DUMMYFUNCTION("GOOGLETRANSLATE(A4405, ""ar"", ""bn"")"),"এম প্রতিকূল বিক্ষোভের")</f>
        <v>এম প্রতিকূল বিক্ষোভের</v>
      </c>
    </row>
    <row r="4406">
      <c r="A4406" s="2" t="s">
        <v>1692</v>
      </c>
      <c r="B4406" s="3" t="str">
        <f>IFERROR(__xludf.DUMMYFUNCTION("GOOGLETRANSLATE(A4406, ""ar"", ""bn"")"),"এম শো")</f>
        <v>এম শো</v>
      </c>
    </row>
    <row r="4407">
      <c r="A4407" s="2" t="s">
        <v>609</v>
      </c>
      <c r="B4407" s="3" t="str">
        <f>IFERROR(__xludf.DUMMYFUNCTION("GOOGLETRANSLATE(A4407, ""ar"", ""bn"")"),"সংস্কারের বিরোধী")</f>
        <v>সংস্কারের বিরোধী</v>
      </c>
    </row>
    <row r="4408">
      <c r="A4408" s="2" t="s">
        <v>1865</v>
      </c>
      <c r="B4408" s="3" t="str">
        <f>IFERROR(__xludf.DUMMYFUNCTION("GOOGLETRANSLATE(A4408, ""ar"", ""bn"")"),"এম রাজনৈতিক বিরোধী")</f>
        <v>এম রাজনৈতিক বিরোধী</v>
      </c>
    </row>
    <row r="4409">
      <c r="A4409" s="2" t="s">
        <v>1370</v>
      </c>
      <c r="B4409" s="3" t="str">
        <f>IFERROR(__xludf.DUMMYFUNCTION("GOOGLETRANSLATE(A4409, ""ar"", ""bn"")"),"লিবারেশন যুদ্ধ")</f>
        <v>লিবারেশন যুদ্ধ</v>
      </c>
    </row>
    <row r="4410">
      <c r="A4410" s="2" t="s">
        <v>2826</v>
      </c>
      <c r="B4410" s="3" t="str">
        <f>IFERROR(__xludf.DUMMYFUNCTION("GOOGLETRANSLATE(A4410, ""ar"", ""bn"")"),"বন্দীদের অমানবিক চিকিত্সা")</f>
        <v>বন্দীদের অমানবিক চিকিত্সা</v>
      </c>
    </row>
    <row r="4411">
      <c r="A4411" s="2" t="s">
        <v>229</v>
      </c>
      <c r="B4411" s="3" t="str">
        <f>IFERROR(__xludf.DUMMYFUNCTION("GOOGLETRANSLATE(A4411, ""ar"", ""bn"")"),"রাজনীতিবিদরা")</f>
        <v>রাজনীতিবিদরা</v>
      </c>
    </row>
    <row r="4412">
      <c r="A4412" s="2" t="s">
        <v>363</v>
      </c>
      <c r="B4412" s="3" t="str">
        <f>IFERROR(__xludf.DUMMYFUNCTION("GOOGLETRANSLATE(A4412, ""ar"", ""bn"")"),"বর্ডার চুক্তি")</f>
        <v>বর্ডার চুক্তি</v>
      </c>
    </row>
    <row r="4413">
      <c r="A4413" s="2" t="s">
        <v>2499</v>
      </c>
      <c r="B4413" s="3" t="str">
        <f>IFERROR(__xludf.DUMMYFUNCTION("GOOGLETRANSLATE(A4413, ""ar"", ""bn"")"),"চুক্তি")</f>
        <v>চুক্তি</v>
      </c>
    </row>
    <row r="4414">
      <c r="A4414" s="2" t="s">
        <v>2827</v>
      </c>
      <c r="B4414" s="3" t="str">
        <f>IFERROR(__xludf.DUMMYFUNCTION("GOOGLETRANSLATE(A4414, ""ar"", ""bn"")"),"সমর্পন ইন্টারন্যাশনাল ট্রিটি")</f>
        <v>সমর্পন ইন্টারন্যাশনাল ট্রিটি</v>
      </c>
    </row>
    <row r="4415">
      <c r="A4415" s="2" t="s">
        <v>224</v>
      </c>
      <c r="B4415" s="3" t="str">
        <f>IFERROR(__xludf.DUMMYFUNCTION("GOOGLETRANSLATE(A4415, ""ar"", ""bn"")"),"জোট-টাইপ চুক্তি")</f>
        <v>জোট-টাইপ চুক্তি</v>
      </c>
    </row>
    <row r="4416">
      <c r="A4416" s="2" t="s">
        <v>2501</v>
      </c>
      <c r="B4416" s="3" t="str">
        <f>IFERROR(__xludf.DUMMYFUNCTION("GOOGLETRANSLATE(A4416, ""ar"", ""bn"")"),"ট্রিপল চুক্তি")</f>
        <v>ট্রিপল চুক্তি</v>
      </c>
    </row>
    <row r="4417">
      <c r="A4417" s="2" t="s">
        <v>1747</v>
      </c>
      <c r="B4417" s="3" t="str">
        <f>IFERROR(__xludf.DUMMYFUNCTION("GOOGLETRANSLATE(A4417, ""ar"", ""bn"")"),"শান্তি চুক্তি")</f>
        <v>শান্তি চুক্তি</v>
      </c>
    </row>
    <row r="4418">
      <c r="A4418" s="2" t="s">
        <v>2083</v>
      </c>
      <c r="B4418" s="3" t="str">
        <f>IFERROR(__xludf.DUMMYFUNCTION("GOOGLETRANSLATE(A4418, ""ar"", ""bn"")"),"শান্তি চুক্তি")</f>
        <v>শান্তি চুক্তি</v>
      </c>
    </row>
    <row r="4419">
      <c r="A4419" s="2" t="s">
        <v>2519</v>
      </c>
      <c r="B4419" s="3" t="str">
        <f>IFERROR(__xludf.DUMMYFUNCTION("GOOGLETRANSLATE(A4419, ""ar"", ""bn"")"),"একটি অ বাঁধাই")</f>
        <v>একটি অ বাঁধাই</v>
      </c>
    </row>
    <row r="4420">
      <c r="A4420" s="2" t="s">
        <v>1544</v>
      </c>
      <c r="B4420" s="3" t="str">
        <f>IFERROR(__xludf.DUMMYFUNCTION("GOOGLETRANSLATE(A4420, ""ar"", ""bn"")"),"বহুপাক্ষিক চুক্তি")</f>
        <v>বহুপাক্ষিক চুক্তি</v>
      </c>
    </row>
    <row r="4421">
      <c r="A4421" s="2" t="s">
        <v>2506</v>
      </c>
      <c r="B4421" s="3" t="str">
        <f>IFERROR(__xludf.DUMMYFUNCTION("GOOGLETRANSLATE(A4421, ""ar"", ""bn"")"),"যুদ্ধবিরতি চুক্তি")</f>
        <v>যুদ্ধবিরতি চুক্তি</v>
      </c>
    </row>
    <row r="4422">
      <c r="A4422" s="2" t="s">
        <v>2685</v>
      </c>
      <c r="B4422" s="3" t="str">
        <f>IFERROR(__xludf.DUMMYFUNCTION("GOOGLETRANSLATE(A4422, ""ar"", ""bn"")"),"আন্তর্জাতিক মান")</f>
        <v>আন্তর্জাতিক মান</v>
      </c>
    </row>
    <row r="4423">
      <c r="A4423" s="2" t="s">
        <v>1803</v>
      </c>
      <c r="B4423" s="3" t="str">
        <f>IFERROR(__xludf.DUMMYFUNCTION("GOOGLETRANSLATE(A4423, ""ar"", ""bn"")"),"এম রাজনৈতিক বিশ্বাসের")</f>
        <v>এম রাজনৈতিক বিশ্বাসের</v>
      </c>
    </row>
    <row r="4424">
      <c r="A4424" s="2" t="s">
        <v>2647</v>
      </c>
      <c r="B4424" s="3" t="str">
        <f>IFERROR(__xludf.DUMMYFUNCTION("GOOGLETRANSLATE(A4424, ""ar"", ""bn"")"),"যুদ্ধগুলোতে মৃত্যুর জন্য পূর্বনির্দিষ্ট")</f>
        <v>যুদ্ধগুলোতে মৃত্যুর জন্য পূর্বনির্দিষ্ট</v>
      </c>
    </row>
    <row r="4425">
      <c r="A4425" s="2" t="s">
        <v>204</v>
      </c>
      <c r="B4425" s="3" t="str">
        <f>IFERROR(__xludf.DUMMYFUNCTION("GOOGLETRANSLATE(A4425, ""ar"", ""bn"")"),"এয়ার যুদ্ধ")</f>
        <v>এয়ার যুদ্ধ</v>
      </c>
    </row>
    <row r="4426">
      <c r="A4426" s="2" t="s">
        <v>956</v>
      </c>
      <c r="B4426" s="3" t="str">
        <f>IFERROR(__xludf.DUMMYFUNCTION("GOOGLETRANSLATE(A4426, ""ar"", ""bn"")"),"যুদ্ধের প্রথম কটিবন্ধ")</f>
        <v>যুদ্ধের প্রথম কটিবন্ধ</v>
      </c>
    </row>
    <row r="4427">
      <c r="A4427" s="2" t="s">
        <v>385</v>
      </c>
      <c r="B4427" s="3" t="str">
        <f>IFERROR(__xludf.DUMMYFUNCTION("GOOGLETRANSLATE(A4427, ""ar"", ""bn"")"),"শিবির")</f>
        <v>শিবির</v>
      </c>
    </row>
    <row r="4428">
      <c r="A4428" s="2" t="s">
        <v>510</v>
      </c>
      <c r="B4428" s="3" t="str">
        <f>IFERROR(__xludf.DUMMYFUNCTION("GOOGLETRANSLATE(A4428, ""ar"", ""bn"")"),"এম কনসেনট্রেশন ক্যাম্পে")</f>
        <v>এম কনসেনট্রেশন ক্যাম্পে</v>
      </c>
    </row>
    <row r="4429">
      <c r="A4429" s="2" t="s">
        <v>1788</v>
      </c>
      <c r="B4429" s="3" t="str">
        <f>IFERROR(__xludf.DUMMYFUNCTION("GOOGLETRANSLATE(A4429, ""ar"", ""bn"")"),"রাজনৈতিক তথ্য")</f>
        <v>রাজনৈতিক তথ্য</v>
      </c>
    </row>
    <row r="4430">
      <c r="A4430" s="2" t="s">
        <v>1606</v>
      </c>
      <c r="B4430" s="3" t="str">
        <f>IFERROR(__xludf.DUMMYFUNCTION("GOOGLETRANSLATE(A4430, ""ar"", ""bn"")"),"এম আলোচক")</f>
        <v>এম আলোচক</v>
      </c>
    </row>
    <row r="4431">
      <c r="A4431" s="2" t="s">
        <v>1597</v>
      </c>
      <c r="B4431" s="3" t="str">
        <f>IFERROR(__xludf.DUMMYFUNCTION("GOOGLETRANSLATE(A4431, ""ar"", ""bn"")"),"এম আলোচনার")</f>
        <v>এম আলোচনার</v>
      </c>
    </row>
    <row r="4432">
      <c r="A4432" s="2" t="s">
        <v>2828</v>
      </c>
      <c r="B4432" s="3" t="str">
        <f>IFERROR(__xludf.DUMMYFUNCTION("GOOGLETRANSLATE(A4432, ""ar"", ""bn"")"),"রাষ্ট্রদূতসংক্রান্ত পর্যায়ে এম আলোচনার")</f>
        <v>রাষ্ট্রদূতসংক্রান্ত পর্যায়ে এম আলোচনার</v>
      </c>
    </row>
    <row r="4433">
      <c r="A4433" s="2" t="s">
        <v>1978</v>
      </c>
      <c r="B4433" s="3" t="str">
        <f>IFERROR(__xludf.DUMMYFUNCTION("GOOGLETRANSLATE(A4433, ""ar"", ""bn"")"),"প্রিলিমিনারী আলোচনার")</f>
        <v>প্রিলিমিনারী আলোচনার</v>
      </c>
    </row>
    <row r="4434">
      <c r="A4434" s="2" t="s">
        <v>564</v>
      </c>
      <c r="B4434" s="3" t="str">
        <f>IFERROR(__xludf.DUMMYFUNCTION("GOOGLETRANSLATE(A4434, ""ar"", ""bn"")"),"এম গঠনমূলক আলোচনার")</f>
        <v>এম গঠনমূলক আলোচনার</v>
      </c>
    </row>
    <row r="4435">
      <c r="A4435" s="2" t="s">
        <v>1942</v>
      </c>
      <c r="B4435" s="3" t="str">
        <f>IFERROR(__xludf.DUMMYFUNCTION("GOOGLETRANSLATE(A4435, ""ar"", ""bn"")"),"এম প্রাথমিক আলোচনার")</f>
        <v>এম প্রাথমিক আলোচনার</v>
      </c>
    </row>
    <row r="4436">
      <c r="A4436" s="2" t="s">
        <v>342</v>
      </c>
      <c r="B4436" s="3" t="str">
        <f>IFERROR(__xludf.DUMMYFUNCTION("GOOGLETRANSLATE(A4436, ""ar"", ""bn"")"),"দ্বিপক্ষীয় আলোচনার")</f>
        <v>দ্বিপক্ষীয় আলোচনার</v>
      </c>
    </row>
    <row r="4437">
      <c r="A4437" s="2" t="s">
        <v>1598</v>
      </c>
      <c r="B4437" s="3" t="str">
        <f>IFERROR(__xludf.DUMMYFUNCTION("GOOGLETRANSLATE(A4437, ""ar"", ""bn"")"),"সমঝোতা চলছে")</f>
        <v>সমঝোতা চলছে</v>
      </c>
    </row>
    <row r="4438">
      <c r="A4438" s="2" t="s">
        <v>469</v>
      </c>
      <c r="B4438" s="3" t="str">
        <f>IFERROR(__xludf.DUMMYFUNCTION("GOOGLETRANSLATE(A4438, ""ar"", ""bn"")"),"এম যৌথ দরকষাকষি")</f>
        <v>এম যৌথ দরকষাকষি</v>
      </c>
    </row>
    <row r="4439">
      <c r="A4439" s="2" t="s">
        <v>2658</v>
      </c>
      <c r="B4439" s="3" t="str">
        <f>IFERROR(__xludf.DUMMYFUNCTION("GOOGLETRANSLATE(A4439, ""ar"", ""bn"")"),"এম ভাল-বিশ্বাস আলোচনার")</f>
        <v>এম ভাল-বিশ্বাস আলোচনার</v>
      </c>
    </row>
    <row r="4440">
      <c r="A4440" s="2" t="s">
        <v>2829</v>
      </c>
      <c r="B4440" s="3" t="str">
        <f>IFERROR(__xludf.DUMMYFUNCTION("GOOGLETRANSLATE(A4440, ""ar"", ""bn"")"),"এম কূটনৈতিক আলোচনার")</f>
        <v>এম কূটনৈতিক আলোচনার</v>
      </c>
    </row>
    <row r="4441">
      <c r="A4441" s="2" t="s">
        <v>2242</v>
      </c>
      <c r="B4441" s="3" t="str">
        <f>IFERROR(__xludf.DUMMYFUNCTION("GOOGLETRANSLATE(A4441, ""ar"", ""bn"")"),"এম গোপন সমঝোতা")</f>
        <v>এম গোপন সমঝোতা</v>
      </c>
    </row>
    <row r="4442">
      <c r="A4442" s="2" t="s">
        <v>2830</v>
      </c>
      <c r="B4442" s="3" t="str">
        <f>IFERROR(__xludf.DUMMYFUNCTION("GOOGLETRANSLATE(A4442, ""ar"", ""bn"")"),"আন্তর্জাতিক পর্যায়ে এম আলোচনার")</f>
        <v>আন্তর্জাতিক পর্যায়ে এম আলোচনার</v>
      </c>
    </row>
    <row r="4443">
      <c r="A4443" s="2" t="s">
        <v>2831</v>
      </c>
      <c r="B4443" s="3" t="str">
        <f>IFERROR(__xludf.DUMMYFUNCTION("GOOGLETRANSLATE(A4443, ""ar"", ""bn"")"),"স্থানীয় পর্যায়ে এম আলোচনার")</f>
        <v>স্থানীয় পর্যায়ে এম আলোচনার</v>
      </c>
    </row>
    <row r="4444">
      <c r="A4444" s="2" t="s">
        <v>1599</v>
      </c>
      <c r="B4444" s="3" t="str">
        <f>IFERROR(__xludf.DUMMYFUNCTION("GOOGLETRANSLATE(A4444, ""ar"", ""bn"")"),"একটি সমান পথ এম আলোচনার")</f>
        <v>একটি সমান পথ এম আলোচনার</v>
      </c>
    </row>
    <row r="4445">
      <c r="A4445" s="2" t="s">
        <v>1105</v>
      </c>
      <c r="B4445" s="3" t="str">
        <f>IFERROR(__xludf.DUMMYFUNCTION("GOOGLETRANSLATE(A4445, ""ar"", ""bn"")"),"একটি উচ্চ পর্যায়ে এম আলোচনার")</f>
        <v>একটি উচ্চ পর্যায়ে এম আলোচনার</v>
      </c>
    </row>
    <row r="4446">
      <c r="A4446" s="2" t="s">
        <v>1309</v>
      </c>
      <c r="B4446" s="3" t="str">
        <f>IFERROR(__xludf.DUMMYFUNCTION("GOOGLETRANSLATE(A4446, ""ar"", ""bn"")"),"এম যৌথ আলোচনার")</f>
        <v>এম যৌথ আলোচনার</v>
      </c>
    </row>
    <row r="4447">
      <c r="A4447" s="2" t="s">
        <v>2005</v>
      </c>
      <c r="B4447" s="3" t="str">
        <f>IFERROR(__xludf.DUMMYFUNCTION("GOOGLETRANSLATE(A4447, ""ar"", ""bn"")"),"এম লম্বা আলোচনার আছে")</f>
        <v>এম লম্বা আলোচনার আছে</v>
      </c>
    </row>
    <row r="4448">
      <c r="A4448" s="2" t="s">
        <v>1188</v>
      </c>
      <c r="B4448" s="3" t="str">
        <f>IFERROR(__xludf.DUMMYFUNCTION("GOOGLETRANSLATE(A4448, ""ar"", ""bn"")"),"এম নিবিড় আলোচনার")</f>
        <v>এম নিবিড় আলোচনার</v>
      </c>
    </row>
    <row r="4449">
      <c r="A4449" s="2" t="s">
        <v>1373</v>
      </c>
      <c r="B4449" s="3" t="str">
        <f>IFERROR(__xludf.DUMMYFUNCTION("GOOGLETRANSLATE(A4449, ""ar"", ""bn"")"),"স্বাধীনতার ধারণা")</f>
        <v>স্বাধীনতার ধারণা</v>
      </c>
    </row>
    <row r="4450">
      <c r="A4450" s="2" t="s">
        <v>885</v>
      </c>
      <c r="B4450" s="3" t="str">
        <f>IFERROR(__xludf.DUMMYFUNCTION("GOOGLETRANSLATE(A4450, ""ar"", ""bn"")"),"বিচারপতি ধারণা")</f>
        <v>বিচারপতি ধারণা</v>
      </c>
    </row>
    <row r="4451">
      <c r="A4451" s="2" t="s">
        <v>630</v>
      </c>
      <c r="B4451" s="3" t="str">
        <f>IFERROR(__xludf.DUMMYFUNCTION("GOOGLETRANSLATE(A4451, ""ar"", ""bn"")"),"কাস্টম ধারণা")</f>
        <v>কাস্টম ধারণা</v>
      </c>
    </row>
    <row r="4452">
      <c r="A4452" s="2" t="s">
        <v>267</v>
      </c>
      <c r="B4452" s="3" t="str">
        <f>IFERROR(__xludf.DUMMYFUNCTION("GOOGLETRANSLATE(A4452, ""ar"", ""bn"")"),"আরব জাতীয়তাবাদের ধারণা")</f>
        <v>আরব জাতীয়তাবাদের ধারণা</v>
      </c>
    </row>
    <row r="4453">
      <c r="A4453" s="2" t="s">
        <v>1334</v>
      </c>
      <c r="B4453" s="3" t="str">
        <f>IFERROR(__xludf.DUMMYFUNCTION("GOOGLETRANSLATE(A4453, ""ar"", ""bn"")"),"নেতৃত্বের ধারণাকে")</f>
        <v>নেতৃত্বের ধারণাকে</v>
      </c>
    </row>
    <row r="4454">
      <c r="A4454" s="2" t="s">
        <v>1291</v>
      </c>
      <c r="B4454" s="3" t="str">
        <f>IFERROR(__xludf.DUMMYFUNCTION("GOOGLETRANSLATE(A4454, ""ar"", ""bn"")"),"এম Mpho জেড ক্ষমতা")</f>
        <v>এম Mpho জেড ক্ষমতা</v>
      </c>
    </row>
    <row r="4455">
      <c r="A4455" s="2" t="s">
        <v>698</v>
      </c>
      <c r="B4455" s="3" t="str">
        <f>IFERROR(__xludf.DUMMYFUNCTION("GOOGLETRANSLATE(A4455, ""ar"", ""bn"")"),"মিমি ফু টু Z মিটিং সভাপতিত্বে")</f>
        <v>মিমি ফু টু Z মিটিং সভাপতিত্বে</v>
      </c>
    </row>
    <row r="4456">
      <c r="A4456" s="2" t="s">
        <v>2588</v>
      </c>
      <c r="B4456" s="3" t="str">
        <f>IFERROR(__xludf.DUMMYFUNCTION("GOOGLETRANSLATE(A4456, ""ar"", ""bn"")"),"Mpho জেড পূর্ণ কর্তৃপক্ষ")</f>
        <v>Mpho জেড পূর্ণ কর্তৃপক্ষ</v>
      </c>
    </row>
    <row r="4457">
      <c r="A4457" s="2" t="s">
        <v>1779</v>
      </c>
      <c r="B4457" s="3" t="str">
        <f>IFERROR(__xludf.DUMMYFUNCTION("GOOGLETRANSLATE(A4457, ""ar"", ""bn"")"),"এম কমিশনার পরম সঙ্গে ক্ষমতা")</f>
        <v>এম কমিশনার পরম সঙ্গে ক্ষমতা</v>
      </c>
    </row>
    <row r="4458">
      <c r="A4458" s="2" t="s">
        <v>1734</v>
      </c>
      <c r="B4458" s="3" t="str">
        <f>IFERROR(__xludf.DUMMYFUNCTION("GOOGLETRANSLATE(A4458, ""ar"", ""bn"")"),"এম নেতিবাচক প্রতিরোধের")</f>
        <v>এম নেতিবাচক প্রতিরোধের</v>
      </c>
    </row>
    <row r="4459">
      <c r="A4459" s="2" t="s">
        <v>1917</v>
      </c>
      <c r="B4459" s="3" t="str">
        <f>IFERROR(__xludf.DUMMYFUNCTION("GOOGLETRANSLATE(A4459, ""ar"", ""bn"")"),"জনপ্রিয় প্রতিরোধ")</f>
        <v>জনপ্রিয় প্রতিরোধ</v>
      </c>
    </row>
    <row r="4460">
      <c r="A4460" s="2" t="s">
        <v>1357</v>
      </c>
      <c r="B4460" s="3" t="str">
        <f>IFERROR(__xludf.DUMMYFUNCTION("GOOGLETRANSLATE(A4460, ""ar"", ""bn"")"),"বৈধ প্রতিরোধের")</f>
        <v>বৈধ প্রতিরোধের</v>
      </c>
    </row>
    <row r="4461">
      <c r="A4461" s="2" t="s">
        <v>1575</v>
      </c>
      <c r="B4461" s="3" t="str">
        <f>IFERROR(__xludf.DUMMYFUNCTION("GOOGLETRANSLATE(A4461, ""ar"", ""bn"")"),"এম জাতীয় প্রতিরোধের")</f>
        <v>এম জাতীয় প্রতিরোধের</v>
      </c>
    </row>
    <row r="4462">
      <c r="A4462" s="2" t="s">
        <v>2623</v>
      </c>
      <c r="B4462" s="3" t="str">
        <f>IFERROR(__xludf.DUMMYFUNCTION("GOOGLETRANSLATE(A4462, ""ar"", ""bn"")"),"মিমি টি Mso ভোটারদের Guetra")</f>
        <v>মিমি টি Mso ভোটারদের Guetra</v>
      </c>
    </row>
    <row r="4463">
      <c r="A4463" s="2" t="s">
        <v>2832</v>
      </c>
      <c r="B4463" s="3" t="str">
        <f>IFERROR(__xludf.DUMMYFUNCTION("GOOGLETRANSLATE(A4463, ""ar"", ""bn"")"),"কূটনৈতিক অফিসের প্রয়োজনীয়তা")</f>
        <v>কূটনৈতিক অফিসের প্রয়োজনীয়তা</v>
      </c>
    </row>
    <row r="4464">
      <c r="A4464" s="2" t="s">
        <v>1618</v>
      </c>
      <c r="B4464" s="3" t="str">
        <f>IFERROR(__xludf.DUMMYFUNCTION("GOOGLETRANSLATE(A4464, ""ar"", ""bn"")"),"এম প্রয়োজনীয়তা আভিজাত্য")</f>
        <v>এম প্রয়োজনীয়তা আভিজাত্য</v>
      </c>
    </row>
    <row r="4465">
      <c r="A4465" s="2" t="s">
        <v>424</v>
      </c>
      <c r="B4465" s="3" t="str">
        <f>IFERROR(__xludf.DUMMYFUNCTION("GOOGLETRANSLATE(A4465, ""ar"", ""bn"")"),"কূটনৈতিক মিশন সদর দপ্তর")</f>
        <v>কূটনৈতিক মিশন সদর দপ্তর</v>
      </c>
    </row>
    <row r="4466">
      <c r="A4466" s="2" t="s">
        <v>436</v>
      </c>
      <c r="B4466" s="3" t="str">
        <f>IFERROR(__xludf.DUMMYFUNCTION("GOOGLETRANSLATE(A4466, ""ar"", ""bn"")"),"মিমি মান")</f>
        <v>মিমি মান</v>
      </c>
    </row>
    <row r="4467">
      <c r="A4467" s="2" t="s">
        <v>1009</v>
      </c>
      <c r="B4467" s="3" t="str">
        <f>IFERROR(__xludf.DUMMYFUNCTION("GOOGLETRANSLATE(A4467, ""ar"", ""bn"")"),"এম আবাসিক পরক")</f>
        <v>এম আবাসিক পরক</v>
      </c>
    </row>
    <row r="4468">
      <c r="A4468" s="2" t="s">
        <v>494</v>
      </c>
      <c r="B4468" s="3" t="str">
        <f>IFERROR(__xludf.DUMMYFUNCTION("GOOGLETRANSLATE(A4468, ""ar"", ""bn"")"),"সমাজতান্ত্রিক লাভ")</f>
        <v>সমাজতান্ত্রিক লাভ</v>
      </c>
    </row>
    <row r="4469">
      <c r="A4469" s="2" t="s">
        <v>1794</v>
      </c>
      <c r="B4469" s="3" t="str">
        <f>IFERROR(__xludf.DUMMYFUNCTION("GOOGLETRANSLATE(A4469, ""ar"", ""bn"")"),"রাজনৈতিক লাভ")</f>
        <v>রাজনৈতিক লাভ</v>
      </c>
    </row>
    <row r="4470">
      <c r="A4470" s="2" t="s">
        <v>2378</v>
      </c>
      <c r="B4470" s="3" t="str">
        <f>IFERROR(__xludf.DUMMYFUNCTION("GOOGLETRANSLATE(A4470, ""ar"", ""bn"")"),"এম সন্ত্রাসের বিরুদ্ধে যুদ্ধ")</f>
        <v>এম সন্ত্রাসের বিরুদ্ধে যুদ্ধ</v>
      </c>
    </row>
    <row r="4471">
      <c r="A4471" s="2" t="s">
        <v>2375</v>
      </c>
      <c r="B4471" s="3" t="str">
        <f>IFERROR(__xludf.DUMMYFUNCTION("GOOGLETRANSLATE(A4471, ""ar"", ""bn"")"),"এম নিরক্ষরতা বিরুদ্ধে")</f>
        <v>এম নিরক্ষরতা বিরুদ্ধে</v>
      </c>
    </row>
    <row r="4472">
      <c r="A4472" s="2" t="s">
        <v>2833</v>
      </c>
      <c r="B4472" s="3" t="str">
        <f>IFERROR(__xludf.DUMMYFUNCTION("GOOGLETRANSLATE(A4472, ""ar"", ""bn"")"),"এম যুদ্ধে বিরোধী প্ররোচনা")</f>
        <v>এম যুদ্ধে বিরোধী প্ররোচনা</v>
      </c>
    </row>
    <row r="4473">
      <c r="A4473" s="2" t="s">
        <v>606</v>
      </c>
      <c r="B4473" s="3" t="str">
        <f>IFERROR(__xludf.DUMMYFUNCTION("GOOGLETRANSLATE(A4473, ""ar"", ""bn"")"),"এম পাল্টা গুপ্তচরবৃত্তি")</f>
        <v>এম পাল্টা গুপ্তচরবৃত্তি</v>
      </c>
    </row>
    <row r="4474">
      <c r="A4474" s="2" t="s">
        <v>2374</v>
      </c>
      <c r="B4474" s="3" t="str">
        <f>IFERROR(__xludf.DUMMYFUNCTION("GOOGLETRANSLATE(A4474, ""ar"", ""bn"")"),"এম অজ্ঞতা বিরুদ্ধে")</f>
        <v>এম অজ্ঞতা বিরুদ্ধে</v>
      </c>
    </row>
    <row r="4475">
      <c r="A4475" s="2" t="s">
        <v>2377</v>
      </c>
      <c r="B4475" s="3" t="str">
        <f>IFERROR(__xludf.DUMMYFUNCTION("GOOGLETRANSLATE(A4475, ""ar"", ""bn"")"),"এম এন্টি-জাতিগত ইয়ে")</f>
        <v>এম এন্টি-জাতিগত ইয়ে</v>
      </c>
    </row>
    <row r="4476">
      <c r="A4476" s="2" t="s">
        <v>2376</v>
      </c>
      <c r="B4476" s="3" t="str">
        <f>IFERROR(__xludf.DUMMYFUNCTION("GOOGLETRANSLATE(A4476, ""ar"", ""bn"")"),"রাজনৈতিক দুর্নীতির বিরুদ্ধে এম যুদ্ধ")</f>
        <v>রাজনৈতিক দুর্নীতির বিরুদ্ধে এম যুদ্ধ</v>
      </c>
    </row>
    <row r="4477">
      <c r="A4477" s="2" t="s">
        <v>2154</v>
      </c>
      <c r="B4477" s="3" t="str">
        <f>IFERROR(__xludf.DUMMYFUNCTION("GOOGLETRANSLATE(A4477, ""ar"", ""bn"")"),"বসবাসের স্থান")</f>
        <v>বসবাসের স্থান</v>
      </c>
    </row>
    <row r="4478">
      <c r="A4478" s="2" t="s">
        <v>1361</v>
      </c>
      <c r="B4478" s="3" t="str">
        <f>IFERROR(__xludf.DUMMYFUNCTION("GOOGLETRANSLATE(A4478, ""ar"", ""bn"")"),"লিয়াজোঁ অফিস")</f>
        <v>লিয়াজোঁ অফিস</v>
      </c>
    </row>
    <row r="4479">
      <c r="A4479" s="2" t="s">
        <v>1248</v>
      </c>
      <c r="B4479" s="3" t="str">
        <f>IFERROR(__xludf.DUMMYFUNCTION("GOOGLETRANSLATE(A4479, ""ar"", ""bn"")"),"তদন্ত ইন্টারন্যাশনাল ব্যুরো")</f>
        <v>তদন্ত ইন্টারন্যাশনাল ব্যুরো</v>
      </c>
    </row>
    <row r="4480">
      <c r="A4480" s="2" t="s">
        <v>972</v>
      </c>
      <c r="B4480" s="3" t="str">
        <f>IFERROR(__xludf.DUMMYFUNCTION("GOOGLETRANSLATE(A4480, ""ar"", ""bn"")"),"ফেডারেল ব্যুরো অফ ইনভেস্টিগেশন")</f>
        <v>ফেডারেল ব্যুরো অফ ইনভেস্টিগেশন</v>
      </c>
    </row>
    <row r="4481">
      <c r="A4481" s="2" t="s">
        <v>1787</v>
      </c>
      <c r="B4481" s="3" t="str">
        <f>IFERROR(__xludf.DUMMYFUNCTION("GOOGLETRANSLATE(A4481, ""ar"", ""bn"")"),"কন্ট্রোল পুলিশ অফিস")</f>
        <v>কন্ট্রোল পুলিশ অফিস</v>
      </c>
    </row>
    <row r="4482">
      <c r="A4482" s="2" t="s">
        <v>863</v>
      </c>
      <c r="B4482" s="3" t="str">
        <f>IFERROR(__xludf.DUMMYFUNCTION("GOOGLETRANSLATE(A4482, ""ar"", ""bn"")"),"অভিবাসন অফিস")</f>
        <v>অভিবাসন অফিস</v>
      </c>
    </row>
    <row r="4483">
      <c r="A4483" s="2" t="s">
        <v>408</v>
      </c>
      <c r="B4483" s="3" t="str">
        <f>IFERROR(__xludf.DUMMYFUNCTION("GOOGLETRANSLATE(A4483, ""ar"", ""bn"")"),"কেন্দ্রীয় কার্যালয়")</f>
        <v>কেন্দ্রীয় কার্যালয়</v>
      </c>
    </row>
    <row r="4484">
      <c r="A4484" s="2" t="s">
        <v>2096</v>
      </c>
      <c r="B4484" s="3" t="str">
        <f>IFERROR(__xludf.DUMMYFUNCTION("GOOGLETRANSLATE(A4484, ""ar"", ""bn"")"),"অভিগমন")</f>
        <v>অভিগমন</v>
      </c>
    </row>
    <row r="4485">
      <c r="A4485" s="2" t="s">
        <v>1800</v>
      </c>
      <c r="B4485" s="3" t="str">
        <f>IFERROR(__xludf.DUMMYFUNCTION("GOOGLETRANSLATE(A4485, ""ar"", ""bn"")"),"রাজনৈতিক আশ্রয়")</f>
        <v>রাজনৈতিক আশ্রয়</v>
      </c>
    </row>
    <row r="4486">
      <c r="A4486" s="2" t="s">
        <v>629</v>
      </c>
      <c r="B4486" s="3" t="str">
        <f>IFERROR(__xludf.DUMMYFUNCTION("GOOGLETRANSLATE(A4486, ""ar"", ""bn"")"),"এম সাংস্কৃতিক এক্সটেনশন")</f>
        <v>এম সাংস্কৃতিক এক্সটেনশন</v>
      </c>
    </row>
    <row r="4487">
      <c r="A4487" s="2" t="s">
        <v>1801</v>
      </c>
      <c r="B4487" s="3" t="str">
        <f>IFERROR(__xludf.DUMMYFUNCTION("GOOGLETRANSLATE(A4487, ""ar"", ""bn"")"),"এম এক্সটেনশন রাজনীতিবিদ")</f>
        <v>এম এক্সটেনশন রাজনীতিবিদ</v>
      </c>
    </row>
    <row r="4488">
      <c r="A4488" s="2" t="s">
        <v>1456</v>
      </c>
      <c r="B4488" s="3" t="str">
        <f>IFERROR(__xludf.DUMMYFUNCTION("GOOGLETRANSLATE(A4488, ""ar"", ""bn"")"),"সামরিক বাহিনীর এম এক্সটেনশন")</f>
        <v>সামরিক বাহিনীর এম এক্সটেনশন</v>
      </c>
    </row>
    <row r="4489">
      <c r="A4489" s="2" t="s">
        <v>915</v>
      </c>
      <c r="B4489" s="3" t="str">
        <f>IFERROR(__xludf.DUMMYFUNCTION("GOOGLETRANSLATE(A4489, ""ar"", ""bn"")"),"সাংবিধানিক অধিকারের এম ব্যায়াম")</f>
        <v>সাংবিধানিক অধিকারের এম ব্যায়াম</v>
      </c>
    </row>
    <row r="4490">
      <c r="A4490" s="2" t="s">
        <v>916</v>
      </c>
      <c r="B4490" s="3" t="str">
        <f>IFERROR(__xludf.DUMMYFUNCTION("GOOGLETRANSLATE(A4490, ""ar"", ""bn"")"),"ক্ষমতার এম ব্যায়াম")</f>
        <v>ক্ষমতার এম ব্যায়াম</v>
      </c>
    </row>
    <row r="4491">
      <c r="A4491" s="2" t="s">
        <v>309</v>
      </c>
      <c r="B4491" s="3" t="str">
        <f>IFERROR(__xludf.DUMMYFUNCTION("GOOGLETRANSLATE(A4491, ""ar"", ""bn"")"),"এম রিপাবলিক পাওয়ার")</f>
        <v>এম রিপাবলিক পাওয়ার</v>
      </c>
    </row>
    <row r="4492">
      <c r="A4492" s="2" t="s">
        <v>2834</v>
      </c>
      <c r="B4492" s="3" t="str">
        <f>IFERROR(__xludf.DUMMYFUNCTION("GOOGLETRANSLATE(A4492, ""ar"", ""bn"")"),"এম কূটনৈতিক প্রতিনিধি")</f>
        <v>এম কূটনৈতিক প্রতিনিধি</v>
      </c>
    </row>
    <row r="4493">
      <c r="A4493" s="2" t="s">
        <v>2835</v>
      </c>
      <c r="B4493" s="3" t="str">
        <f>IFERROR(__xludf.DUMMYFUNCTION("GOOGLETRANSLATE(A4493, ""ar"", ""bn"")"),"এম প্রতিনিধি নির্বাচিত")</f>
        <v>এম প্রতিনিধি নির্বাচিত</v>
      </c>
    </row>
    <row r="4494">
      <c r="A4494" s="2" t="s">
        <v>2003</v>
      </c>
      <c r="B4494" s="3" t="str">
        <f>IFERROR(__xludf.DUMMYFUNCTION("GOOGLETRANSLATE(A4494, ""ar"", ""bn"")"),"পাস নিষিদ্ধ করা হয়")</f>
        <v>পাস নিষিদ্ধ করা হয়</v>
      </c>
    </row>
    <row r="4495">
      <c r="A4495" s="2" t="s">
        <v>1703</v>
      </c>
      <c r="B4495" s="3" t="str">
        <f>IFERROR(__xludf.DUMMYFUNCTION("GOOGLETRANSLATE(A4495, ""ar"", ""bn"")"),"শ্লীলতা")</f>
        <v>শ্লীলতা</v>
      </c>
    </row>
    <row r="4496">
      <c r="A4496" s="2" t="s">
        <v>1819</v>
      </c>
      <c r="B4496" s="3" t="str">
        <f>IFERROR(__xludf.DUMMYFUNCTION("GOOGLETRANSLATE(A4496, ""ar"", ""bn"")"),"এম রাজনৈতিক বিতর্ক")</f>
        <v>এম রাজনৈতিক বিতর্ক</v>
      </c>
    </row>
    <row r="4497">
      <c r="A4497" s="2" t="s">
        <v>1819</v>
      </c>
      <c r="B4497" s="3" t="str">
        <f>IFERROR(__xludf.DUMMYFUNCTION("GOOGLETRANSLATE(A4497, ""ar"", ""bn"")"),"এম রাজনৈতিক বিতর্ক")</f>
        <v>এম রাজনৈতিক বিতর্ক</v>
      </c>
    </row>
    <row r="4498">
      <c r="A4498" s="2" t="s">
        <v>1010</v>
      </c>
      <c r="B4498" s="3" t="str">
        <f>IFERROR(__xludf.DUMMYFUNCTION("GOOGLETRANSLATE(A4498, ""ar"", ""bn"")"),"এম বিদেশী প্রতিযোগিতা")</f>
        <v>এম বিদেশী প্রতিযোগিতা</v>
      </c>
    </row>
    <row r="4499">
      <c r="A4499" s="2" t="s">
        <v>1271</v>
      </c>
      <c r="B4499" s="3" t="str">
        <f>IFERROR(__xludf.DUMMYFUNCTION("GOOGLETRANSLATE(A4499, ""ar"", ""bn"")"),"এম আন্তর্জাতিক প্রতিযোগিতার")</f>
        <v>এম আন্তর্জাতিক প্রতিযোগিতার</v>
      </c>
    </row>
    <row r="4500">
      <c r="A4500" s="2" t="s">
        <v>1892</v>
      </c>
      <c r="B4500" s="3" t="str">
        <f>IFERROR(__xludf.DUMMYFUNCTION("GOOGLETRANSLATE(A4500, ""ar"", ""bn"")"),"এম রাজনৈতিক প্রতিযোগিতা")</f>
        <v>এম রাজনৈতিক প্রতিযোগিতা</v>
      </c>
    </row>
    <row r="4501">
      <c r="A4501" s="2" t="s">
        <v>1680</v>
      </c>
      <c r="B4501" s="3" t="str">
        <f>IFERROR(__xludf.DUMMYFUNCTION("GOOGLETRANSLATE(A4501, ""ar"", ""bn"")"),"এম খোলা আলোচনা")</f>
        <v>এম খোলা আলোচনা</v>
      </c>
    </row>
    <row r="4502">
      <c r="A4502" s="2" t="s">
        <v>246</v>
      </c>
      <c r="B4502" s="3" t="str">
        <f>IFERROR(__xludf.DUMMYFUNCTION("GOOGLETRANSLATE(A4502, ""ar"", ""bn"")"),"এম সরকার বিরোধী")</f>
        <v>এম সরকার বিরোধী</v>
      </c>
    </row>
    <row r="4503">
      <c r="A4503" s="2" t="s">
        <v>2836</v>
      </c>
      <c r="B4503" s="3" t="str">
        <f>IFERROR(__xludf.DUMMYFUNCTION("GOOGLETRANSLATE(A4503, ""ar"", ""bn"")"),"এম কূটনৈতিক রণকৌশল")</f>
        <v>এম কূটনৈতিক রণকৌশল</v>
      </c>
    </row>
    <row r="4504">
      <c r="A4504" s="2" t="s">
        <v>1169</v>
      </c>
      <c r="B4504" s="3" t="str">
        <f>IFERROR(__xludf.DUMMYFUNCTION("GOOGLETRANSLATE(A4504, ""ar"", ""bn"")"),"ট্রিবিউন প্রেস")</f>
        <v>ট্রিবিউন প্রেস</v>
      </c>
    </row>
    <row r="4505">
      <c r="A4505" s="2" t="s">
        <v>1682</v>
      </c>
      <c r="B4505" s="3" t="str">
        <f>IFERROR(__xludf.DUMMYFUNCTION("GOOGLETRANSLATE(A4505, ""ar"", ""bn"")"),"ফ্রি প্ল্যাটফর্ম")</f>
        <v>ফ্রি প্ল্যাটফর্ম</v>
      </c>
    </row>
    <row r="4506">
      <c r="A4506" s="2" t="s">
        <v>1766</v>
      </c>
      <c r="B4506" s="3" t="str">
        <f>IFERROR(__xludf.DUMMYFUNCTION("GOOGLETRANSLATE(A4506, ""ar"", ""bn"")"),"স্থায়ী প্রতিনিধি")</f>
        <v>স্থায়ী প্রতিনিধি</v>
      </c>
    </row>
    <row r="4507">
      <c r="A4507" s="2" t="s">
        <v>1102</v>
      </c>
      <c r="B4507" s="3" t="str">
        <f>IFERROR(__xludf.DUMMYFUNCTION("GOOGLETRANSLATE(A4507, ""ar"", ""bn"")"),"প্রতিনিধি সামি")</f>
        <v>প্রতিনিধি সামি</v>
      </c>
    </row>
    <row r="4508">
      <c r="A4508" s="2" t="s">
        <v>2128</v>
      </c>
      <c r="B4508" s="3" t="str">
        <f>IFERROR(__xludf.DUMMYFUNCTION("GOOGLETRANSLATE(A4508, ""ar"", ""bn"")"),"এম জরুরী ত্রাণ সমন্বয়কারী")</f>
        <v>এম জরুরী ত্রাণ সমন্বয়কারী</v>
      </c>
    </row>
    <row r="4509">
      <c r="A4509" s="2" t="s">
        <v>1132</v>
      </c>
      <c r="B4509" s="3" t="str">
        <f>IFERROR(__xludf.DUMMYFUNCTION("GOOGLETRANSLATE(A4509, ""ar"", ""bn"")"),"এম মানবিক সমন্বয়কারী জিনিষ")</f>
        <v>এম মানবিক সমন্বয়কারী জিনিষ</v>
      </c>
    </row>
    <row r="4510">
      <c r="A4510" s="2" t="s">
        <v>1657</v>
      </c>
      <c r="B4510" s="3" t="str">
        <f>IFERROR(__xludf.DUMMYFUNCTION("GOOGLETRANSLATE(A4510, ""ar"", ""bn"")"),"অফিসিয়াল প্রকাশন")</f>
        <v>অফিসিয়াল প্রকাশন</v>
      </c>
    </row>
    <row r="4511">
      <c r="A4511" s="2" t="s">
        <v>1806</v>
      </c>
      <c r="B4511" s="3" t="str">
        <f>IFERROR(__xludf.DUMMYFUNCTION("GOOGLETRANSLATE(A4511, ""ar"", ""bn"")"),"রাজনৈতিক প্রকাশন")</f>
        <v>রাজনৈতিক প্রকাশন</v>
      </c>
    </row>
    <row r="4512">
      <c r="A4512" s="2" t="s">
        <v>764</v>
      </c>
      <c r="B4512" s="3" t="str">
        <f>IFERROR(__xludf.DUMMYFUNCTION("GOOGLETRANSLATE(A4512, ""ar"", ""bn"")"),"কূটনৈতিক পোস্ট")</f>
        <v>কূটনৈতিক পোস্ট</v>
      </c>
    </row>
    <row r="4513">
      <c r="A4513" s="2" t="s">
        <v>1925</v>
      </c>
      <c r="B4513" s="3" t="str">
        <f>IFERROR(__xludf.DUMMYFUNCTION("GOOGLETRANSLATE(A4513, ""ar"", ""bn"")"),"পোস্ট নির্বাচন অধীনে")</f>
        <v>পোস্ট নির্বাচন অধীনে</v>
      </c>
    </row>
    <row r="4514">
      <c r="A4514" s="2" t="s">
        <v>764</v>
      </c>
      <c r="B4514" s="3" t="str">
        <f>IFERROR(__xludf.DUMMYFUNCTION("GOOGLETRANSLATE(A4514, ""ar"", ""bn"")"),"কূটনৈতিক পোস্ট")</f>
        <v>কূটনৈতিক পোস্ট</v>
      </c>
    </row>
    <row r="4515">
      <c r="A4515" s="2" t="s">
        <v>1875</v>
      </c>
      <c r="B4515" s="3" t="str">
        <f>IFERROR(__xludf.DUMMYFUNCTION("GOOGLETRANSLATE(A4515, ""ar"", ""bn"")"),"রাজনৈতিক অফিস")</f>
        <v>রাজনৈতিক অফিস</v>
      </c>
    </row>
    <row r="4516">
      <c r="A4516" s="2" t="s">
        <v>2581</v>
      </c>
      <c r="B4516" s="3" t="str">
        <f>IFERROR(__xludf.DUMMYFUNCTION("GOOGLETRANSLATE(A4516, ""ar"", ""bn"")"),"একটি রাজনৈতিক কর্মখালি অবস্থান")</f>
        <v>একটি রাজনৈতিক কর্মখালি অবস্থান</v>
      </c>
    </row>
    <row r="4517">
      <c r="A4517" s="2" t="s">
        <v>1117</v>
      </c>
      <c r="B4517" s="3" t="str">
        <f>IFERROR(__xludf.DUMMYFUNCTION("GOOGLETRANSLATE(A4517, ""ar"", ""bn"")"),"সম্মানের অবস্থানে")</f>
        <v>সম্মানের অবস্থানে</v>
      </c>
    </row>
    <row r="4518">
      <c r="A4518" s="2" t="s">
        <v>2366</v>
      </c>
      <c r="B4518" s="3" t="str">
        <f>IFERROR(__xludf.DUMMYFUNCTION("GOOGLETRANSLATE(A4518, ""ar"", ""bn"")"),"একটি কৌশলগত এলাকা")</f>
        <v>একটি কৌশলগত এলাকা</v>
      </c>
    </row>
    <row r="4519">
      <c r="A4519" s="2" t="s">
        <v>1036</v>
      </c>
      <c r="B4519" s="3" t="str">
        <f>IFERROR(__xludf.DUMMYFUNCTION("GOOGLETRANSLATE(A4519, ""ar"", ""bn"")"),"বর্ডার এলাকায়")</f>
        <v>বর্ডার এলাকায়</v>
      </c>
    </row>
    <row r="4520">
      <c r="A4520" s="2" t="s">
        <v>2644</v>
      </c>
      <c r="B4520" s="3" t="str">
        <f>IFERROR(__xludf.DUMMYFUNCTION("GOOGLETRANSLATE(A4520, ""ar"", ""bn"")"),"ওয়ার জোন")</f>
        <v>ওয়ার জোন</v>
      </c>
    </row>
    <row r="4521">
      <c r="A4521" s="2" t="s">
        <v>2837</v>
      </c>
      <c r="B4521" s="3" t="str">
        <f>IFERROR(__xludf.DUMMYFUNCTION("GOOGLETRANSLATE(A4521, ""ar"", ""bn"")"),"অসমর্থিত এলাকায়")</f>
        <v>অসমর্থিত এলাকায়</v>
      </c>
    </row>
    <row r="4522">
      <c r="A4522" s="2" t="s">
        <v>376</v>
      </c>
      <c r="B4522" s="3" t="str">
        <f>IFERROR(__xludf.DUMMYFUNCTION("GOOGLETRANSLATE(A4522, ""ar"", ""bn"")"),"সীমান্ত এলাকায় মধ্যে একটি কমা")</f>
        <v>সীমান্ত এলাকায় মধ্যে একটি কমা</v>
      </c>
    </row>
    <row r="4523">
      <c r="A4523" s="2" t="s">
        <v>534</v>
      </c>
      <c r="B4523" s="3" t="str">
        <f>IFERROR(__xludf.DUMMYFUNCTION("GOOGLETRANSLATE(A4523, ""ar"", ""bn"")"),"একটি বিতর্কিত এলাকা")</f>
        <v>একটি বিতর্কিত এলাকা</v>
      </c>
    </row>
    <row r="4524">
      <c r="A4524" s="2" t="s">
        <v>1615</v>
      </c>
      <c r="B4524" s="3" t="str">
        <f>IFERROR(__xludf.DUMMYFUNCTION("GOOGLETRANSLATE(A4524, ""ar"", ""bn"")"),"নিরপেক্ষ জোন")</f>
        <v>নিরপেক্ষ জোন</v>
      </c>
    </row>
    <row r="4525">
      <c r="A4525" s="2" t="s">
        <v>1651</v>
      </c>
      <c r="B4525" s="3" t="str">
        <f>IFERROR(__xludf.DUMMYFUNCTION("GOOGLETRANSLATE(A4525, ""ar"", ""bn"")"),"অধিকৃত এলাকায়")</f>
        <v>অধিকৃত এলাকায়</v>
      </c>
    </row>
    <row r="4526">
      <c r="A4526" s="2" t="s">
        <v>2004</v>
      </c>
      <c r="B4526" s="3" t="str">
        <f>IFERROR(__xludf.DUMMYFUNCTION("GOOGLETRANSLATE(A4526, ""ar"", ""bn"")"),"আরয সাধরণ এলাকায়")</f>
        <v>আরয সাধরণ এলাকায়</v>
      </c>
    </row>
    <row r="4527">
      <c r="A4527" s="2" t="s">
        <v>2518</v>
      </c>
      <c r="B4527" s="3" t="str">
        <f>IFERROR(__xludf.DUMMYFUNCTION("GOOGLETRANSLATE(A4527, ""ar"", ""bn"")"),"সীমাবদ্ধ এলাকা")</f>
        <v>সীমাবদ্ধ এলাকা</v>
      </c>
    </row>
    <row r="4528">
      <c r="A4528" s="2" t="s">
        <v>278</v>
      </c>
      <c r="B4528" s="3" t="str">
        <f>IFERROR(__xludf.DUMMYFUNCTION("GOOGLETRANSLATE(A4528, ""ar"", ""bn"")"),"একটি সশস্ত্র এলাকায়")</f>
        <v>একটি সশস্ত্র এলাকায়</v>
      </c>
    </row>
    <row r="4529">
      <c r="A4529" s="2" t="s">
        <v>2165</v>
      </c>
      <c r="B4529" s="3" t="str">
        <f>IFERROR(__xludf.DUMMYFUNCTION("GOOGLETRANSLATE(A4529, ""ar"", ""bn"")"),"Dah এলাকায় evaluator")</f>
        <v>Dah এলাকায় evaluator</v>
      </c>
    </row>
    <row r="4530">
      <c r="A4530" s="2" t="s">
        <v>991</v>
      </c>
      <c r="B4530" s="3" t="str">
        <f>IFERROR(__xludf.DUMMYFUNCTION("GOOGLETRANSLATE(A4530, ""ar"", ""bn"")"),"নিষিদ্ধ এলাকায় তাদের সমীপবর্তী")</f>
        <v>নিষিদ্ধ এলাকায় তাদের সমীপবর্তী</v>
      </c>
    </row>
    <row r="4531">
      <c r="A4531" s="2" t="s">
        <v>2838</v>
      </c>
      <c r="B4531" s="3" t="str">
        <f>IFERROR(__xludf.DUMMYFUNCTION("GOOGLETRANSLATE(A4531, ""ar"", ""bn"")"),"অস্ত্র এলাকায় প্রবৃত্তি")</f>
        <v>অস্ত্র এলাকায় প্রবৃত্তি</v>
      </c>
    </row>
    <row r="4532">
      <c r="A4532" s="2" t="s">
        <v>1173</v>
      </c>
      <c r="B4532" s="3" t="str">
        <f>IFERROR(__xludf.DUMMYFUNCTION("GOOGLETRANSLATE(A4532, ""ar"", ""bn"")"),"বেলিফের অধিকারভুক্ত এলাকা")</f>
        <v>বেলিফের অধিকারভুক্ত এলাকা</v>
      </c>
    </row>
    <row r="4533">
      <c r="A4533" s="2" t="s">
        <v>1256</v>
      </c>
      <c r="B4533" s="3" t="str">
        <f>IFERROR(__xludf.DUMMYFUNCTION("GOOGLETRANSLATE(A4533, ""ar"", ""bn"")"),"আন্তর্জাতিক সংস্থা")</f>
        <v>আন্তর্জাতিক সংস্থা</v>
      </c>
    </row>
    <row r="4534">
      <c r="A4534" s="2" t="s">
        <v>2560</v>
      </c>
      <c r="B4534" s="3" t="str">
        <f>IFERROR(__xludf.DUMMYFUNCTION("GOOGLETRANSLATE(A4534, ""ar"", ""bn"")"),"জাতিসংঘের সংস্থা")</f>
        <v>জাতিসংঘের সংস্থা</v>
      </c>
    </row>
    <row r="4535">
      <c r="A4535" s="2" t="s">
        <v>2839</v>
      </c>
      <c r="B4535" s="3" t="str">
        <f>IFERROR(__xludf.DUMMYFUNCTION("GOOGLETRANSLATE(A4535, ""ar"", ""bn"")"),"জাতিসংঘের শিক্ষা, বিজ্ঞান")</f>
        <v>জাতিসংঘের শিক্ষা, বিজ্ঞান</v>
      </c>
    </row>
    <row r="4536">
      <c r="A4536" s="2" t="s">
        <v>2840</v>
      </c>
      <c r="B4536" s="3" t="str">
        <f>IFERROR(__xludf.DUMMYFUNCTION("GOOGLETRANSLATE(A4536, ""ar"", ""bn"")"),"সংস্কৃতি")</f>
        <v>সংস্কৃতি</v>
      </c>
    </row>
    <row r="4537">
      <c r="A4537" s="2" t="s">
        <v>2841</v>
      </c>
      <c r="B4537" s="3" t="str">
        <f>IFERROR(__xludf.DUMMYFUNCTION("GOOGLETRANSLATE(A4537, ""ar"", ""bn"")"),"আন্তর্জাতিক অপরাধ পুলিশ অর্গানাইজেশন")</f>
        <v>আন্তর্জাতিক অপরাধ পুলিশ অর্গানাইজেশন</v>
      </c>
    </row>
    <row r="4538">
      <c r="A4538" s="2" t="s">
        <v>2088</v>
      </c>
      <c r="B4538" s="3" t="str">
        <f>IFERROR(__xludf.DUMMYFUNCTION("GOOGLETRANSLATE(A4538, ""ar"", ""bn"")"),"রেড ক্রস অর্গানাইজেশন")</f>
        <v>রেড ক্রস অর্গানাইজেশন</v>
      </c>
    </row>
    <row r="4539">
      <c r="A4539" s="2" t="s">
        <v>1200</v>
      </c>
      <c r="B4539" s="3" t="str">
        <f>IFERROR(__xludf.DUMMYFUNCTION("GOOGLETRANSLATE(A4539, ""ar"", ""bn"")"),"এ্যামনেস্টি ইন্টারন্যাশনালের")</f>
        <v>এ্যামনেস্টি ইন্টারন্যাশনালের</v>
      </c>
    </row>
    <row r="4540">
      <c r="A4540" s="2" t="s">
        <v>2087</v>
      </c>
      <c r="B4540" s="3" t="str">
        <f>IFERROR(__xludf.DUMMYFUNCTION("GOOGLETRANSLATE(A4540, ""ar"", ""bn"")"),"রেড ক্রিসেন্ট অর্গানাইজেশন")</f>
        <v>রেড ক্রিসেন্ট অর্গানাইজেশন</v>
      </c>
    </row>
    <row r="4541">
      <c r="A4541" s="2" t="s">
        <v>918</v>
      </c>
      <c r="B4541" s="3" t="str">
        <f>IFERROR(__xludf.DUMMYFUNCTION("GOOGLETRANSLATE(A4541, ""ar"", ""bn"")"),"এম থেকে বঞ্চিত")</f>
        <v>এম থেকে বঞ্চিত</v>
      </c>
    </row>
    <row r="4542">
      <c r="A4542" s="2" t="s">
        <v>919</v>
      </c>
      <c r="B4542" s="3" t="str">
        <f>IFERROR(__xludf.DUMMYFUNCTION("GOOGLETRANSLATE(A4542, ""ar"", ""bn"")"),"এম থেকে বঞ্চিত")</f>
        <v>এম থেকে বঞ্চিত</v>
      </c>
    </row>
    <row r="4543">
      <c r="A4543" s="2" t="s">
        <v>861</v>
      </c>
      <c r="B4543" s="3" t="str">
        <f>IFERROR(__xludf.DUMMYFUNCTION("GOOGLETRANSLATE(A4543, ""ar"", ""bn"")"),"অভিবাসী")</f>
        <v>অভিবাসী</v>
      </c>
    </row>
    <row r="4544">
      <c r="A4544" s="2" t="s">
        <v>551</v>
      </c>
      <c r="B4544" s="3" t="str">
        <f>IFERROR(__xludf.DUMMYFUNCTION("GOOGLETRANSLATE(A4544, ""ar"", ""bn"")"),"সংবিধান কর্ম")</f>
        <v>সংবিধান কর্ম</v>
      </c>
    </row>
    <row r="4545">
      <c r="A4545" s="2" t="s">
        <v>2342</v>
      </c>
      <c r="B4545" s="3" t="str">
        <f>IFERROR(__xludf.DUMMYFUNCTION("GOOGLETRANSLATE(A4545, ""ar"", ""bn"")"),"রাজ্য ফাংশন")</f>
        <v>রাজ্য ফাংশন</v>
      </c>
    </row>
    <row r="4546">
      <c r="A4546" s="2" t="s">
        <v>1210</v>
      </c>
      <c r="B4546" s="3" t="str">
        <f>IFERROR(__xludf.DUMMYFUNCTION("GOOGLETRANSLATE(A4546, ""ar"", ""bn"")"),"আন্তর্জাতিক কেন্দ্র কার্যাবলী")</f>
        <v>আন্তর্জাতিক কেন্দ্র কার্যাবলী</v>
      </c>
    </row>
    <row r="4547">
      <c r="A4547" s="2" t="s">
        <v>2842</v>
      </c>
      <c r="B4547" s="3" t="str">
        <f>IFERROR(__xludf.DUMMYFUNCTION("GOOGLETRANSLATE(A4547, ""ar"", ""bn"")"),"এম গুরুত্বপূর্ণ কূটনৈতিক")</f>
        <v>এম গুরুত্বপূর্ণ কূটনৈতিক</v>
      </c>
    </row>
    <row r="4548">
      <c r="A4548" s="2" t="s">
        <v>1843</v>
      </c>
      <c r="B4548" s="3" t="str">
        <f>IFERROR(__xludf.DUMMYFUNCTION("GOOGLETRANSLATE(A4548, ""ar"", ""bn"")"),"রাজনৈতিক কর্ম")</f>
        <v>রাজনৈতিক কর্ম</v>
      </c>
    </row>
    <row r="4549">
      <c r="A4549" s="2" t="s">
        <v>1841</v>
      </c>
      <c r="B4549" s="3" t="str">
        <f>IFERROR(__xludf.DUMMYFUNCTION("GOOGLETRANSLATE(A4549, ""ar"", ""bn"")"),"রাজনৈতিক উত্সব")</f>
        <v>রাজনৈতিক উত্সব</v>
      </c>
    </row>
    <row r="4550">
      <c r="A4550" s="2" t="s">
        <v>931</v>
      </c>
      <c r="B4550" s="3" t="str">
        <f>IFERROR(__xludf.DUMMYFUNCTION("GOOGLETRANSLATE(A4550, ""ar"", ""bn"")"),"একটি অনুসন্ধানমূলক মিশন")</f>
        <v>একটি অনুসন্ধানমূলক মিশন</v>
      </c>
    </row>
    <row r="4551">
      <c r="A4551" s="2" t="s">
        <v>202</v>
      </c>
      <c r="B4551" s="3" t="str">
        <f>IFERROR(__xludf.DUMMYFUNCTION("GOOGLETRANSLATE(A4551, ""ar"", ""bn"")"),"গুরুত্বপূর্ণ ত্রাণ")</f>
        <v>গুরুত্বপূর্ণ ত্রাণ</v>
      </c>
    </row>
    <row r="4552">
      <c r="A4552" s="2" t="s">
        <v>2577</v>
      </c>
      <c r="B4552" s="3" t="str">
        <f>IFERROR(__xludf.DUMMYFUNCTION("GOOGLETRANSLATE(A4552, ""ar"", ""bn"")"),"জরুরী মানবিক মিশন")</f>
        <v>জরুরী মানবিক মিশন</v>
      </c>
    </row>
    <row r="4553">
      <c r="A4553" s="2" t="s">
        <v>1354</v>
      </c>
      <c r="B4553" s="3" t="str">
        <f>IFERROR(__xludf.DUMMYFUNCTION("GOOGLETRANSLATE(A4553, ""ar"", ""bn"")"),"এম গুরুত্বপূর্ণ বিধানিক")</f>
        <v>এম গুরুত্বপূর্ণ বিধানিক</v>
      </c>
    </row>
    <row r="4554">
      <c r="A4554" s="2" t="s">
        <v>1768</v>
      </c>
      <c r="B4554" s="3" t="str">
        <f>IFERROR(__xludf.DUMMYFUNCTION("GOOGLETRANSLATE(A4554, ""ar"", ""bn"")"),"এম স্থায়ী মিশন")</f>
        <v>এম স্থায়ী মিশন</v>
      </c>
    </row>
    <row r="4555">
      <c r="A4555" s="2" t="s">
        <v>756</v>
      </c>
      <c r="B4555" s="3" t="str">
        <f>IFERROR(__xludf.DUMMYFUNCTION("GOOGLETRANSLATE(A4555, ""ar"", ""bn"")"),"কূটনৈতিক মিশন")</f>
        <v>কূটনৈতিক মিশন</v>
      </c>
    </row>
    <row r="4556">
      <c r="A4556" s="2" t="s">
        <v>2241</v>
      </c>
      <c r="B4556" s="3" t="str">
        <f>IFERROR(__xludf.DUMMYFUNCTION("GOOGLETRANSLATE(A4556, ""ar"", ""bn"")"),"সিক্রেট মিশন")</f>
        <v>সিক্রেট মিশন</v>
      </c>
    </row>
    <row r="4557">
      <c r="A4557" s="2" t="s">
        <v>1860</v>
      </c>
      <c r="B4557" s="3" t="str">
        <f>IFERROR(__xludf.DUMMYFUNCTION("GOOGLETRANSLATE(A4557, ""ar"", ""bn"")"),"রাজনৈতিক মিশন")</f>
        <v>রাজনৈতিক মিশন</v>
      </c>
    </row>
    <row r="4558">
      <c r="A4558" s="2" t="s">
        <v>1972</v>
      </c>
      <c r="B4558" s="3" t="str">
        <f>IFERROR(__xludf.DUMMYFUNCTION("GOOGLETRANSLATE(A4558, ""ar"", ""bn"")"),"প্রেস মিশন")</f>
        <v>প্রেস মিশন</v>
      </c>
    </row>
    <row r="4559">
      <c r="A4559" s="2" t="s">
        <v>999</v>
      </c>
      <c r="B4559" s="3" t="str">
        <f>IFERROR(__xludf.DUMMYFUNCTION("GOOGLETRANSLATE(A4559, ""ar"", ""bn"")"),"পররাষ্ট্র সনদ")</f>
        <v>পররাষ্ট্র সনদ</v>
      </c>
    </row>
    <row r="4560">
      <c r="A4560" s="2" t="s">
        <v>1257</v>
      </c>
      <c r="B4560" s="3" t="str">
        <f>IFERROR(__xludf.DUMMYFUNCTION("GOOGLETRANSLATE(A4560, ""ar"", ""bn"")"),"আন্তর্জাতিক সনদ")</f>
        <v>আন্তর্জাতিক সনদ</v>
      </c>
    </row>
    <row r="4561">
      <c r="A4561" s="2" t="s">
        <v>1813</v>
      </c>
      <c r="B4561" s="3" t="str">
        <f>IFERROR(__xludf.DUMMYFUNCTION("GOOGLETRANSLATE(A4561, ""ar"", ""bn"")"),"এম রাজনৈতিক মোকাবিলার")</f>
        <v>এম রাজনৈতিক মোকাবিলার</v>
      </c>
    </row>
    <row r="4562">
      <c r="A4562" s="2" t="s">
        <v>934</v>
      </c>
      <c r="B4562" s="3" t="str">
        <f>IFERROR(__xludf.DUMMYFUNCTION("GOOGLETRANSLATE(A4562, ""ar"", ""bn"")"),"বিস্ফোরক পদার্থ")</f>
        <v>বিস্ফোরক পদার্থ</v>
      </c>
    </row>
    <row r="4563">
      <c r="A4563" s="2" t="s">
        <v>1576</v>
      </c>
      <c r="B4563" s="3" t="str">
        <f>IFERROR(__xludf.DUMMYFUNCTION("GOOGLETRANSLATE(A4563, ""ar"", ""bn"")"),"জাতীয় সম্পদ")</f>
        <v>জাতীয় সম্পদ</v>
      </c>
    </row>
    <row r="4564">
      <c r="A4564" s="2" t="s">
        <v>2843</v>
      </c>
      <c r="B4564" s="3" t="str">
        <f>IFERROR(__xludf.DUMMYFUNCTION("GOOGLETRANSLATE(A4564, ""ar"", ""bn"")"),"কূটনৈতিক আলোচনা বিষয়")</f>
        <v>কূটনৈতিক আলোচনা বিষয়</v>
      </c>
    </row>
    <row r="4565">
      <c r="A4565" s="2" t="s">
        <v>1736</v>
      </c>
      <c r="B4565" s="3" t="str">
        <f>IFERROR(__xludf.DUMMYFUNCTION("GOOGLETRANSLATE(A4565, ""ar"", ""bn"")"),"নাগরিক")</f>
        <v>নাগরিক</v>
      </c>
    </row>
    <row r="4566">
      <c r="A4566" s="2" t="s">
        <v>1585</v>
      </c>
      <c r="B4566" s="3" t="str">
        <f>IFERROR(__xludf.DUMMYFUNCTION("GOOGLETRANSLATE(A4566, ""ar"", ""bn"")"),"জন্ম পরিখা NH, অধীন এম")</f>
        <v>জন্ম পরিখা NH, অধীন এম</v>
      </c>
    </row>
    <row r="4567">
      <c r="A4567" s="2" t="s">
        <v>2515</v>
      </c>
      <c r="B4567" s="3" t="str">
        <f>IFERROR(__xludf.DUMMYFUNCTION("GOOGLETRANSLATE(A4567, ""ar"", ""bn"")"),"সর্বসম্মত অনুমোদন")</f>
        <v>সর্বসম্মত অনুমোদন</v>
      </c>
    </row>
    <row r="4568">
      <c r="A4568" s="2" t="s">
        <v>260</v>
      </c>
      <c r="B4568" s="3" t="str">
        <f>IFERROR(__xludf.DUMMYFUNCTION("GOOGLETRANSLATE(A4568, ""ar"", ""bn"")"),"অনুমোদন চিয়ার্স")</f>
        <v>অনুমোদন চিয়ার্স</v>
      </c>
    </row>
    <row r="4569">
      <c r="A4569" s="2" t="s">
        <v>1017</v>
      </c>
      <c r="B4569" s="3" t="str">
        <f>IFERROR(__xludf.DUMMYFUNCTION("GOOGLETRANSLATE(A4569, ""ar"", ""bn"")"),"আনুষ্ঠানিক অনুমোদন")</f>
        <v>আনুষ্ঠানিক অনুমোদন</v>
      </c>
    </row>
    <row r="4570">
      <c r="A4570" s="2" t="s">
        <v>2365</v>
      </c>
      <c r="B4570" s="3" t="str">
        <f>IFERROR(__xludf.DUMMYFUNCTION("GOOGLETRANSLATE(A4570, ""ar"", ""bn"")"),"কৌশলগত সাইট")</f>
        <v>কৌশলগত সাইট</v>
      </c>
    </row>
    <row r="4571">
      <c r="A4571" s="2" t="s">
        <v>334</v>
      </c>
      <c r="B4571" s="3" t="str">
        <f>IFERROR(__xludf.DUMMYFUNCTION("GOOGLETRANSLATE(A4571, ""ar"", ""bn"")"),"যুদ্ধ সাইট")</f>
        <v>যুদ্ধ সাইট</v>
      </c>
    </row>
    <row r="4572">
      <c r="A4572" s="2" t="s">
        <v>1130</v>
      </c>
      <c r="B4572" s="3" t="str">
        <f>IFERROR(__xludf.DUMMYFUNCTION("GOOGLETRANSLATE(A4572, ""ar"", ""bn"")"),"প্রতিবাদকারী হিউম্যান তরঙ্গ")</f>
        <v>প্রতিবাদকারী হিউম্যান তরঙ্গ</v>
      </c>
    </row>
    <row r="4573">
      <c r="A4573" s="2" t="s">
        <v>1759</v>
      </c>
      <c r="B4573" s="3" t="str">
        <f>IFERROR(__xludf.DUMMYFUNCTION("GOOGLETRANSLATE(A4573, ""ar"", ""bn"")"),"মানুষের উত্তরাধিকার")</f>
        <v>মানুষের উত্তরাধিকার</v>
      </c>
    </row>
    <row r="4574">
      <c r="A4574" s="2" t="s">
        <v>2472</v>
      </c>
      <c r="B4574" s="3" t="str">
        <f>IFERROR(__xludf.DUMMYFUNCTION("GOOGLETRANSLATE(A4574, ""ar"", ""bn"")"),"সন্ধির মেয়াদ শেষ হওয়ার তারিখ")</f>
        <v>সন্ধির মেয়াদ শেষ হওয়ার তারিখ</v>
      </c>
    </row>
    <row r="4575">
      <c r="A4575" s="2" t="s">
        <v>1658</v>
      </c>
      <c r="B4575" s="3" t="str">
        <f>IFERROR(__xludf.DUMMYFUNCTION("GOOGLETRANSLATE(A4575, ""ar"", ""bn"")"),"আনুষ্ঠানিক কূটনৈতিক অ্যাপয়েন্টমেন্ট")</f>
        <v>আনুষ্ঠানিক কূটনৈতিক অ্যাপয়েন্টমেন্ট</v>
      </c>
    </row>
    <row r="4576">
      <c r="A4576" s="2" t="s">
        <v>2474</v>
      </c>
      <c r="B4576" s="3" t="str">
        <f>IFERROR(__xludf.DUMMYFUNCTION("GOOGLETRANSLATE(A4576, ""ar"", ""bn"")"),"যুদ্ধবিরতি তারিখ")</f>
        <v>যুদ্ধবিরতি তারিখ</v>
      </c>
    </row>
    <row r="4577">
      <c r="A4577" s="2" t="s">
        <v>300</v>
      </c>
      <c r="B4577" s="3" t="str">
        <f>IFERROR(__xludf.DUMMYFUNCTION("GOOGLETRANSLATE(A4577, ""ar"", ""bn"")"),"তার নাগরিকদের প্রতি রাষ্ট্রের অবস্থান")</f>
        <v>তার নাগরিকদের প্রতি রাষ্ট্রের অবস্থান</v>
      </c>
    </row>
    <row r="4578">
      <c r="A4578" s="2" t="s">
        <v>1926</v>
      </c>
      <c r="B4578" s="3" t="str">
        <f>IFERROR(__xludf.DUMMYFUNCTION("GOOGLETRANSLATE(A4578, ""ar"", ""bn"")"),"কূটনীতিক ইতিবাচক মনোভাব")</f>
        <v>কূটনীতিক ইতিবাচক মনোভাব</v>
      </c>
    </row>
    <row r="4579">
      <c r="A4579" s="2" t="s">
        <v>1590</v>
      </c>
      <c r="B4579" s="3" t="str">
        <f>IFERROR(__xludf.DUMMYFUNCTION("GOOGLETRANSLATE(A4579, ""ar"", ""bn"")"),"কূটনৈতিক অবস্থান নেতিবাচক")</f>
        <v>কূটনৈতিক অবস্থান নেতিবাচক</v>
      </c>
    </row>
    <row r="4580">
      <c r="A4580" s="2" t="s">
        <v>959</v>
      </c>
      <c r="B4580" s="3" t="str">
        <f>IFERROR(__xludf.DUMMYFUNCTION("GOOGLETRANSLATE(A4580, ""ar"", ""bn"")"),"শুধু একটি কূটনৈতিক অবস্থান")</f>
        <v>শুধু একটি কূটনৈতিক অবস্থান</v>
      </c>
    </row>
    <row r="4581">
      <c r="A4581" s="2" t="s">
        <v>199</v>
      </c>
      <c r="B4581" s="3" t="str">
        <f>IFERROR(__xludf.DUMMYFUNCTION("GOOGLETRANSLATE(A4581, ""ar"", ""bn"")"),"বৈরী কূটনৈতিক অবস্থান")</f>
        <v>বৈরী কূটনৈতিক অবস্থান</v>
      </c>
    </row>
    <row r="4582">
      <c r="A4582" s="2" t="s">
        <v>1938</v>
      </c>
      <c r="B4582" s="3" t="str">
        <f>IFERROR(__xludf.DUMMYFUNCTION("GOOGLETRANSLATE(A4582, ""ar"", ""bn"")"),"কূটনৈতিক অবস্থান পক্ষপাতদুষ্ট")</f>
        <v>কূটনৈতিক অবস্থান পক্ষপাতদুষ্ট</v>
      </c>
    </row>
    <row r="4583">
      <c r="A4583" s="2" t="s">
        <v>1525</v>
      </c>
      <c r="B4583" s="3" t="str">
        <f>IFERROR(__xludf.DUMMYFUNCTION("GOOGLETRANSLATE(A4583, ""ar"", ""bn"")"),"মডারেট কূটনৈতিক ভঙ্গি")</f>
        <v>মডারেট কূটনৈতিক ভঙ্গি</v>
      </c>
    </row>
    <row r="4584">
      <c r="A4584" s="2" t="s">
        <v>1939</v>
      </c>
      <c r="B4584" s="3" t="str">
        <f>IFERROR(__xludf.DUMMYFUNCTION("GOOGLETRANSLATE(A4584, ""ar"", ""bn"")"),"রাজনৈতিক অবস্থান পক্ষপাতদুষ্ট")</f>
        <v>রাজনৈতিক অবস্থান পক্ষপাতদুষ্ট</v>
      </c>
    </row>
    <row r="4585">
      <c r="A4585" s="2" t="s">
        <v>1611</v>
      </c>
      <c r="B4585" s="3" t="str">
        <f>IFERROR(__xludf.DUMMYFUNCTION("GOOGLETRANSLATE(A4585, ""ar"", ""bn"")"),"নিরপেক্ষ রাজনৈতিক অবস্থান")</f>
        <v>নিরপেক্ষ রাজনৈতিক অবস্থান</v>
      </c>
    </row>
    <row r="4586">
      <c r="A4586" s="2" t="s">
        <v>2456</v>
      </c>
      <c r="B4586" s="3" t="str">
        <f>IFERROR(__xludf.DUMMYFUNCTION("GOOGLETRANSLATE(A4586, ""ar"", ""bn"")"),"আঞ্চলিক পানি")</f>
        <v>আঞ্চলিক পানি</v>
      </c>
    </row>
    <row r="4587">
      <c r="A4587" s="2" t="s">
        <v>1710</v>
      </c>
      <c r="B4587" s="3" t="str">
        <f>IFERROR(__xludf.DUMMYFUNCTION("GOOGLETRANSLATE(A4587, ""ar"", ""bn"")"),"চার্টার চুক্তি")</f>
        <v>চার্টার চুক্তি</v>
      </c>
    </row>
    <row r="4588">
      <c r="A4588" s="2" t="s">
        <v>2554</v>
      </c>
      <c r="B4588" s="3" t="str">
        <f>IFERROR(__xludf.DUMMYFUNCTION("GOOGLETRANSLATE(A4588, ""ar"", ""bn"")"),"জাতিসংঘের চার্টার")</f>
        <v>জাতিসংঘের চার্টার</v>
      </c>
    </row>
    <row r="4589">
      <c r="A4589" s="2" t="s">
        <v>264</v>
      </c>
      <c r="B4589" s="3" t="str">
        <f>IFERROR(__xludf.DUMMYFUNCTION("GOOGLETRANSLATE(A4589, ""ar"", ""bn"")"),"আরব লীগের চার্টার")</f>
        <v>আরব লীগের চার্টার</v>
      </c>
    </row>
    <row r="4590">
      <c r="A4590" s="2" t="s">
        <v>654</v>
      </c>
      <c r="B4590" s="3" t="str">
        <f>IFERROR(__xludf.DUMMYFUNCTION("GOOGLETRANSLATE(A4590, ""ar"", ""bn"")"),"প্রতিরক্ষা সনদ")</f>
        <v>প্রতিরক্ষা সনদ</v>
      </c>
    </row>
    <row r="4591">
      <c r="A4591" s="2" t="s">
        <v>1266</v>
      </c>
      <c r="B4591" s="3" t="str">
        <f>IFERROR(__xludf.DUMMYFUNCTION("GOOGLETRANSLATE(A4591, ""ar"", ""bn"")"),"আন্তর্জাতিক সামঞ্জস্যবিধান সনদ")</f>
        <v>আন্তর্জাতিক সামঞ্জস্যবিধান সনদ</v>
      </c>
    </row>
    <row r="4592">
      <c r="A4592" s="2" t="s">
        <v>427</v>
      </c>
      <c r="B4592" s="3" t="str">
        <f>IFERROR(__xludf.DUMMYFUNCTION("GOOGLETRANSLATE(A4592, ""ar"", ""bn"")"),"চার্টার বা যুগ")</f>
        <v>চার্টার বা যুগ</v>
      </c>
    </row>
    <row r="4593">
      <c r="A4593" s="2" t="s">
        <v>1620</v>
      </c>
      <c r="B4593" s="3" t="str">
        <f>IFERROR(__xludf.DUMMYFUNCTION("GOOGLETRANSLATE(A4593, ""ar"", ""bn"")"),"অনাক্রমণ সনদ")</f>
        <v>অনাক্রমণ সনদ</v>
      </c>
    </row>
    <row r="4594">
      <c r="A4594" s="2" t="s">
        <v>1551</v>
      </c>
      <c r="B4594" s="3" t="str">
        <f>IFERROR(__xludf.DUMMYFUNCTION("GOOGLETRANSLATE(A4594, ""ar"", ""bn"")"),"যৌথ প্রতিরক্ষা সনদ")</f>
        <v>যৌথ প্রতিরক্ষা সনদ</v>
      </c>
    </row>
    <row r="4595">
      <c r="A4595" s="2" t="s">
        <v>1321</v>
      </c>
      <c r="B4595" s="3" t="str">
        <f>IFERROR(__xludf.DUMMYFUNCTION("GOOGLETRANSLATE(A4595, ""ar"", ""bn"")"),"যুদ্ধের মাঠ ন্যায়পরায়ণতা")</f>
        <v>যুদ্ধের মাঠ ন্যায়পরায়ণতা</v>
      </c>
    </row>
    <row r="4596">
      <c r="A4596" s="2" t="s">
        <v>1463</v>
      </c>
      <c r="B4596" s="3" t="str">
        <f>IFERROR(__xludf.DUMMYFUNCTION("GOOGLETRANSLATE(A4596, ""ar"", ""bn"")"),"সেনাবাহিনী ক্ষেত্র অপারেশন")</f>
        <v>সেনাবাহিনী ক্ষেত্র অপারেশন</v>
      </c>
    </row>
    <row r="4597">
      <c r="A4597" s="2" t="s">
        <v>335</v>
      </c>
      <c r="B4597" s="3" t="str">
        <f>IFERROR(__xludf.DUMMYFUNCTION("GOOGLETRANSLATE(A4597, ""ar"", ""bn"")"),"যুদ্ধের স্কয়ার")</f>
        <v>যুদ্ধের স্কয়ার</v>
      </c>
    </row>
    <row r="4598">
      <c r="A4598" s="2" t="s">
        <v>1789</v>
      </c>
      <c r="B4598" s="3" t="str">
        <f>IFERROR(__xludf.DUMMYFUNCTION("GOOGLETRANSLATE(A4598, ""ar"", ""bn"")"),"রাজনৈতিক কর্তৃপক্ষের ভারসাম্য")</f>
        <v>রাজনৈতিক কর্তৃপক্ষের ভারসাম্য</v>
      </c>
    </row>
    <row r="4599">
      <c r="A4599" s="2" t="s">
        <v>325</v>
      </c>
      <c r="B4599" s="3" t="str">
        <f>IFERROR(__xludf.DUMMYFUNCTION("GOOGLETRANSLATE(A4599, ""ar"", ""bn"")"),"বিচারপতি স্কেল")</f>
        <v>বিচারপতি স্কেল</v>
      </c>
    </row>
    <row r="4600">
      <c r="A4600" s="2" t="s">
        <v>413</v>
      </c>
      <c r="B4600" s="3" t="str">
        <f>IFERROR(__xludf.DUMMYFUNCTION("GOOGLETRANSLATE(A4600, ""ar"", ""bn"")"),"এম ইয়েল সেন্ট্রালের")</f>
        <v>এম ইয়েল সেন্ট্রালের</v>
      </c>
    </row>
    <row r="4601">
      <c r="A4601" s="2" t="s">
        <v>923</v>
      </c>
      <c r="B4601" s="3" t="str">
        <f>IFERROR(__xludf.DUMMYFUNCTION("GOOGLETRANSLATE(A4601, ""ar"", ""bn"")"),"সম্প্রসারণবাদী প্রবণতার")</f>
        <v>সম্প্রসারণবাদী প্রবণতার</v>
      </c>
    </row>
    <row r="4602">
      <c r="A4602" s="2" t="s">
        <v>173</v>
      </c>
      <c r="B4602" s="3" t="str">
        <f>IFERROR(__xludf.DUMMYFUNCTION("GOOGLETRANSLATE(A4602, ""ar"", ""bn"")"),"সহকারী শাসনকর্তা")</f>
        <v>সহকারী শাসনকর্তা</v>
      </c>
    </row>
    <row r="4603">
      <c r="A4603" s="2" t="s">
        <v>2591</v>
      </c>
      <c r="B4603" s="3" t="str">
        <f>IFERROR(__xludf.DUMMYFUNCTION("GOOGLETRANSLATE(A4603, ""ar"", ""bn"")"),"উপরাষ্ট্রপতি")</f>
        <v>উপরাষ্ট্রপতি</v>
      </c>
    </row>
    <row r="4604">
      <c r="A4604" s="2" t="s">
        <v>460</v>
      </c>
      <c r="B4604" s="3" t="str">
        <f>IFERROR(__xludf.DUMMYFUNCTION("GOOGLETRANSLATE(A4604, ""ar"", ""bn"")"),"ভাইস চেয়ার")</f>
        <v>ভাইস চেয়ার</v>
      </c>
    </row>
    <row r="4605">
      <c r="A4605" s="2" t="s">
        <v>696</v>
      </c>
      <c r="B4605" s="3" t="str">
        <f>IFERROR(__xludf.DUMMYFUNCTION("GOOGLETRANSLATE(A4605, ""ar"", ""bn"")"),"সংসদে ডেপুটি")</f>
        <v>সংসদে ডেপুটি</v>
      </c>
    </row>
    <row r="4606">
      <c r="A4606" s="2" t="s">
        <v>2260</v>
      </c>
      <c r="B4606" s="3" t="str">
        <f>IFERROR(__xludf.DUMMYFUNCTION("GOOGLETRANSLATE(A4606, ""ar"", ""bn"")"),"সেনেট ডেপুটি")</f>
        <v>সেনেট ডেপুটি</v>
      </c>
    </row>
    <row r="4607">
      <c r="A4607" s="2" t="s">
        <v>2590</v>
      </c>
      <c r="B4607" s="3" t="str">
        <f>IFERROR(__xludf.DUMMYFUNCTION("GOOGLETRANSLATE(A4607, ""ar"", ""bn"")"),"ভাইস কনসাল")</f>
        <v>ভাইস কনসাল</v>
      </c>
    </row>
    <row r="4608">
      <c r="A4608" s="2" t="s">
        <v>697</v>
      </c>
      <c r="B4608" s="3" t="str">
        <f>IFERROR(__xludf.DUMMYFUNCTION("GOOGLETRANSLATE(A4608, ""ar"", ""bn"")"),"ভাইস Mpho জেড")</f>
        <v>ভাইস Mpho জেড</v>
      </c>
    </row>
    <row r="4609">
      <c r="A4609" s="2" t="s">
        <v>837</v>
      </c>
      <c r="B4609" s="3" t="str">
        <f>IFERROR(__xludf.DUMMYFUNCTION("GOOGLETRANSLATE(A4609, ""ar"", ""bn"")"),"ভোটার")</f>
        <v>ভোটার</v>
      </c>
    </row>
    <row r="4610">
      <c r="A4610" s="2" t="s">
        <v>1588</v>
      </c>
      <c r="B4610" s="3" t="str">
        <f>IFERROR(__xludf.DUMMYFUNCTION("GOOGLETRANSLATE(A4610, ""ar"", ""bn"")"),"নাত্সি")</f>
        <v>নাত্সি</v>
      </c>
    </row>
    <row r="4611">
      <c r="A4611" s="2" t="s">
        <v>774</v>
      </c>
      <c r="B4611" s="3" t="str">
        <f>IFERROR(__xludf.DUMMYFUNCTION("GOOGLETRANSLATE(A4611, ""ar"", ""bn"")"),"টকিং কূটনীতিক")</f>
        <v>টকিং কূটনীতিক</v>
      </c>
    </row>
    <row r="4612">
      <c r="A4612" s="2" t="s">
        <v>1666</v>
      </c>
      <c r="B4612" s="3" t="str">
        <f>IFERROR(__xludf.DUMMYFUNCTION("GOOGLETRANSLATE(A4612, ""ar"", ""bn"")"),"অফিসিয়াল মুখপাত্র")</f>
        <v>অফিসিয়াল মুখপাত্র</v>
      </c>
    </row>
    <row r="4613">
      <c r="A4613" s="2" t="s">
        <v>285</v>
      </c>
      <c r="B4613" s="3" t="str">
        <f>IFERROR(__xludf.DUMMYFUNCTION("GOOGLETRANSLATE(A4613, ""ar"", ""bn"")"),"সেনাবাহিনী মুখপাত্র")</f>
        <v>সেনাবাহিনী মুখপাত্র</v>
      </c>
    </row>
    <row r="4614">
      <c r="A4614" s="2" t="s">
        <v>2626</v>
      </c>
      <c r="B4614" s="3" t="str">
        <f>IFERROR(__xludf.DUMMYFUNCTION("GOOGLETRANSLATE(A4614, ""ar"", ""bn"")"),"ভোট দানের ফলাফলগুলি")</f>
        <v>ভোট দানের ফলাফলগুলি</v>
      </c>
    </row>
    <row r="4615">
      <c r="A4615" s="2" t="s">
        <v>2646</v>
      </c>
      <c r="B4615" s="3" t="str">
        <f>IFERROR(__xludf.DUMMYFUNCTION("GOOGLETRANSLATE(A4615, ""ar"", ""bn"")"),"যুদ্ধের ফলাফল")</f>
        <v>যুদ্ধের ফলাফল</v>
      </c>
    </row>
    <row r="4616">
      <c r="A4616" s="2" t="s">
        <v>1704</v>
      </c>
      <c r="B4616" s="3" t="str">
        <f>IFERROR(__xludf.DUMMYFUNCTION("GOOGLETRANSLATE(A4616, ""ar"", ""bn"")"),"কূটনৈতিক আলোচনা ফলাফল")</f>
        <v>কূটনৈতিক আলোচনা ফলাফল</v>
      </c>
    </row>
    <row r="4617">
      <c r="A4617" s="2" t="s">
        <v>1832</v>
      </c>
      <c r="B4617" s="3" t="str">
        <f>IFERROR(__xludf.DUMMYFUNCTION("GOOGLETRANSLATE(A4617, ""ar"", ""bn"")"),"রাজনৈতিক Nmbh")</f>
        <v>রাজনৈতিক Nmbh</v>
      </c>
    </row>
    <row r="4618">
      <c r="A4618" s="2" t="s">
        <v>1306</v>
      </c>
      <c r="B4618" s="3" t="str">
        <f>IFERROR(__xludf.DUMMYFUNCTION("GOOGLETRANSLATE(A4618, ""ar"", ""bn"")"),"শান্তির জন্য জয়েন্ট আন্তর্জাতিক আবেদন")</f>
        <v>শান্তির জন্য জয়েন্ট আন্তর্জাতিক আবেদন</v>
      </c>
    </row>
    <row r="4619">
      <c r="A4619" s="2" t="s">
        <v>1303</v>
      </c>
      <c r="B4619" s="3" t="str">
        <f>IFERROR(__xludf.DUMMYFUNCTION("GOOGLETRANSLATE(A4619, ""ar"", ""bn"")"),"যুগ্ম আপীল")</f>
        <v>যুগ্ম আপীল</v>
      </c>
    </row>
    <row r="4620">
      <c r="A4620" s="2" t="s">
        <v>2844</v>
      </c>
      <c r="B4620" s="3" t="str">
        <f>IFERROR(__xludf.DUMMYFUNCTION("GOOGLETRANSLATE(A4620, ""ar"", ""bn"")"),"স্বাধীন রাষ্ট্রের যৌথ আপীল")</f>
        <v>স্বাধীন রাষ্ট্রের যৌথ আপীল</v>
      </c>
    </row>
    <row r="4621">
      <c r="A4621" s="2" t="s">
        <v>1278</v>
      </c>
      <c r="B4621" s="3" t="str">
        <f>IFERROR(__xludf.DUMMYFUNCTION("GOOGLETRANSLATE(A4621, ""ar"", ""bn"")"),"আন্তর্জাতিক সিম্পোজিয়াম")</f>
        <v>আন্তর্জাতিক সিম্পোজিয়াম</v>
      </c>
    </row>
    <row r="4622">
      <c r="A4622" s="2" t="s">
        <v>710</v>
      </c>
      <c r="B4622" s="3" t="str">
        <f>IFERROR(__xludf.DUMMYFUNCTION("GOOGLETRANSLATE(A4622, ""ar"", ""bn"")"),"দেশের মধ্যে এন দ্বান্দ্বিক দ্বন্দ্ব")</f>
        <v>দেশের মধ্যে এন দ্বান্দ্বিক দ্বন্দ্ব</v>
      </c>
    </row>
    <row r="4623">
      <c r="A4623" s="2" t="s">
        <v>2053</v>
      </c>
      <c r="B4623" s="3" t="str">
        <f>IFERROR(__xludf.DUMMYFUNCTION("GOOGLETRANSLATE(A4623, ""ar"", ""bn"")"),"এন দ্বন্দ্ব অপরিহার্য উপাদান ঞ")</f>
        <v>এন দ্বন্দ্ব অপরিহার্য উপাদান ঞ</v>
      </c>
    </row>
    <row r="4624">
      <c r="A4624" s="2" t="s">
        <v>273</v>
      </c>
      <c r="B4624" s="3" t="str">
        <f>IFERROR(__xludf.DUMMYFUNCTION("GOOGLETRANSLATE(A4624, ""ar"", ""bn"")"),"এন এইচ মজা দ্বন্দ্ব")</f>
        <v>এন এইচ মজা দ্বন্দ্ব</v>
      </c>
    </row>
    <row r="4625">
      <c r="A4625" s="2" t="s">
        <v>1233</v>
      </c>
      <c r="B4625" s="3" t="str">
        <f>IFERROR(__xludf.DUMMYFUNCTION("GOOGLETRANSLATE(A4625, ""ar"", ""bn"")"),"এন আন্তর্জাতিক বিরোধ ক বিতর্ক করে")</f>
        <v>এন আন্তর্জাতিক বিরোধ ক বিতর্ক করে</v>
      </c>
    </row>
    <row r="4626">
      <c r="A4626" s="2" t="s">
        <v>2571</v>
      </c>
      <c r="B4626" s="3" t="str">
        <f>IFERROR(__xludf.DUMMYFUNCTION("GOOGLETRANSLATE(A4626, ""ar"", ""bn"")"),"আন্তর্জাতিক দ্বন্দ্ব ভিত্তিক")</f>
        <v>আন্তর্জাতিক দ্বন্দ্ব ভিত্তিক</v>
      </c>
    </row>
    <row r="4627">
      <c r="A4627" s="2" t="s">
        <v>1578</v>
      </c>
      <c r="B4627" s="3" t="str">
        <f>IFERROR(__xludf.DUMMYFUNCTION("GOOGLETRANSLATE(A4627, ""ar"", ""bn"")"),"এন জাতীয় সার্বভৌমত্ব বিরোধ")</f>
        <v>এন জাতীয় সার্বভৌমত্ব বিরোধ</v>
      </c>
    </row>
    <row r="4628">
      <c r="A4628" s="2" t="s">
        <v>2845</v>
      </c>
      <c r="B4628" s="3" t="str">
        <f>IFERROR(__xludf.DUMMYFUNCTION("GOOGLETRANSLATE(A4628, ""ar"", ""bn"")"),"এন নিরস্ত্রীকরণ")</f>
        <v>এন নিরস্ত্রীকরণ</v>
      </c>
    </row>
    <row r="4629">
      <c r="A4629" s="2" t="s">
        <v>1152</v>
      </c>
      <c r="B4629" s="3" t="str">
        <f>IFERROR(__xludf.DUMMYFUNCTION("GOOGLETRANSLATE(A4629, ""ar"", ""bn"")"),"এন বিতরণ ঔপনিবেশিক")</f>
        <v>এন বিতরণ ঔপনিবেশিক</v>
      </c>
    </row>
    <row r="4630">
      <c r="A4630" s="2" t="s">
        <v>2846</v>
      </c>
      <c r="B4630" s="3" t="str">
        <f>IFERROR(__xludf.DUMMYFUNCTION("GOOGLETRANSLATE(A4630, ""ar"", ""bn"")"),"এন নিয়ন্ত্রণ বিতরণ")</f>
        <v>এন নিয়ন্ত্রণ বিতরণ</v>
      </c>
    </row>
    <row r="4631">
      <c r="A4631" s="2" t="s">
        <v>1139</v>
      </c>
      <c r="B4631" s="3" t="str">
        <f>IFERROR(__xludf.DUMMYFUNCTION("GOOGLETRANSLATE(A4631, ""ar"", ""bn"")"),"এন মতাদর্শগত বিতরণ")</f>
        <v>এন মতাদর্শগত বিতরণ</v>
      </c>
    </row>
    <row r="4632">
      <c r="A4632" s="2" t="s">
        <v>1795</v>
      </c>
      <c r="B4632" s="3" t="str">
        <f>IFERROR(__xludf.DUMMYFUNCTION("GOOGLETRANSLATE(A4632, ""ar"", ""bn"")"),"রাজনৈতিক কার্যকলাপ")</f>
        <v>রাজনৈতিক কার্যকলাপ</v>
      </c>
    </row>
    <row r="4633">
      <c r="A4633" s="2" t="s">
        <v>1121</v>
      </c>
      <c r="B4633" s="3" t="str">
        <f>IFERROR(__xludf.DUMMYFUNCTION("GOOGLETRANSLATE(A4633, ""ar"", ""bn"")"),"ভ্রমণ আক্রমনাত্মক")</f>
        <v>ভ্রমণ আক্রমনাত্মক</v>
      </c>
    </row>
    <row r="4634">
      <c r="A4634" s="2" t="s">
        <v>1807</v>
      </c>
      <c r="B4634" s="3" t="str">
        <f>IFERROR(__xludf.DUMMYFUNCTION("GOOGLETRANSLATE(A4634, ""ar"", ""bn"")"),"রাজনৈতিক বুলেটিন")</f>
        <v>রাজনৈতিক বুলেটিন</v>
      </c>
    </row>
    <row r="4635">
      <c r="A4635" s="2" t="s">
        <v>1336</v>
      </c>
      <c r="B4635" s="3" t="str">
        <f>IFERROR(__xludf.DUMMYFUNCTION("GOOGLETRANSLATE(A4635, ""ar"", ""bn"")"),"একটি ছোট বুলেটিন")</f>
        <v>একটি ছোট বুলেটিন</v>
      </c>
    </row>
    <row r="4636">
      <c r="A4636" s="2" t="s">
        <v>2593</v>
      </c>
      <c r="B4636" s="3" t="str">
        <f>IFERROR(__xludf.DUMMYFUNCTION("GOOGLETRANSLATE(A4636, ""ar"", ""bn"")"),"নাশিদ টেক্সট")</f>
        <v>নাশিদ টেক্সট</v>
      </c>
    </row>
    <row r="4637">
      <c r="A4637" s="2" t="s">
        <v>987</v>
      </c>
      <c r="B4637" s="3" t="str">
        <f>IFERROR(__xludf.DUMMYFUNCTION("GOOGLETRANSLATE(A4637, ""ar"", ""bn"")"),"সপ্রশংস স্বীকৃতি প্রদান পতাকা অভিবাদন জানিয়ে বলতে")</f>
        <v>সপ্রশংস স্বীকৃতি প্রদান পতাকা অভিবাদন জানিয়ে বলতে</v>
      </c>
    </row>
    <row r="4638">
      <c r="A4638" s="2" t="s">
        <v>1560</v>
      </c>
      <c r="B4638" s="3" t="str">
        <f>IFERROR(__xludf.DUMMYFUNCTION("GOOGLETRANSLATE(A4638, ""ar"", ""bn"")"),"জাতীয় সক্রিয়")</f>
        <v>জাতীয় সক্রিয়</v>
      </c>
    </row>
    <row r="4639">
      <c r="A4639" s="2" t="s">
        <v>842</v>
      </c>
      <c r="B4639" s="3" t="str">
        <f>IFERROR(__xludf.DUMMYFUNCTION("GOOGLETRANSLATE(A4639, ""ar"", ""bn"")"),"মনোনয়নের জন্য কোরাম")</f>
        <v>মনোনয়নের জন্য কোরাম</v>
      </c>
    </row>
    <row r="4640">
      <c r="A4640" s="2" t="s">
        <v>1859</v>
      </c>
      <c r="B4640" s="3" t="str">
        <f>IFERROR(__xludf.DUMMYFUNCTION("GOOGLETRANSLATE(A4640, ""ar"", ""bn"")"),"রাজনৈতিক পূর্ণতা")</f>
        <v>রাজনৈতিক পূর্ণতা</v>
      </c>
    </row>
    <row r="4641">
      <c r="A4641" s="2" t="s">
        <v>307</v>
      </c>
      <c r="B4641" s="3" t="str">
        <f>IFERROR(__xludf.DUMMYFUNCTION("GOOGLETRANSLATE(A4641, ""ar"", ""bn"")"),"ক্ষমতা পরিসীমা")</f>
        <v>ক্ষমতা পরিসীমা</v>
      </c>
    </row>
    <row r="4642">
      <c r="A4642" s="2" t="s">
        <v>748</v>
      </c>
      <c r="B4642" s="3" t="str">
        <f>IFERROR(__xludf.DUMMYFUNCTION("GOOGLETRANSLATE(A4642, ""ar"", ""bn"")"),"কূটনৈতিক প্রভাব পরিধি")</f>
        <v>কূটনৈতিক প্রভাব পরিধি</v>
      </c>
    </row>
    <row r="4643">
      <c r="A4643" s="2" t="s">
        <v>307</v>
      </c>
      <c r="B4643" s="3" t="str">
        <f>IFERROR(__xludf.DUMMYFUNCTION("GOOGLETRANSLATE(A4643, ""ar"", ""bn"")"),"ক্ষমতা পরিসীমা")</f>
        <v>ক্ষমতা পরিসীমা</v>
      </c>
    </row>
    <row r="4644">
      <c r="A4644" s="2" t="s">
        <v>814</v>
      </c>
      <c r="B4644" s="3" t="str">
        <f>IFERROR(__xludf.DUMMYFUNCTION("GOOGLETRANSLATE(A4644, ""ar"", ""bn"")"),"সাংবিধানিক কর্তৃপক্ষের পরিধি")</f>
        <v>সাংবিধানিক কর্তৃপক্ষের পরিধি</v>
      </c>
    </row>
    <row r="4645">
      <c r="A4645" s="2" t="s">
        <v>815</v>
      </c>
      <c r="B4645" s="3" t="str">
        <f>IFERROR(__xludf.DUMMYFUNCTION("GOOGLETRANSLATE(A4645, ""ar"", ""bn"")"),"কূটনৈতিক দায়িত্ব পরিধি")</f>
        <v>কূটনৈতিক দায়িত্ব পরিধি</v>
      </c>
    </row>
    <row r="4646">
      <c r="A4646" s="2" t="s">
        <v>816</v>
      </c>
      <c r="B4646" s="3" t="str">
        <f>IFERROR(__xludf.DUMMYFUNCTION("GOOGLETRANSLATE(A4646, ""ar"", ""bn"")"),"রাজনৈতিক দায়িত্ব পরিধি")</f>
        <v>রাজনৈতিক দায়িত্ব পরিধি</v>
      </c>
    </row>
    <row r="4647">
      <c r="A4647" s="2" t="s">
        <v>2287</v>
      </c>
      <c r="B4647" s="3" t="str">
        <f>IFERROR(__xludf.DUMMYFUNCTION("GOOGLETRANSLATE(A4647, ""ar"", ""bn"")"),"একটি সামাজিক ব্যবস্থা")</f>
        <v>একটি সামাজিক ব্যবস্থা</v>
      </c>
    </row>
    <row r="4648">
      <c r="A4648" s="2" t="s">
        <v>980</v>
      </c>
      <c r="B4648" s="3" t="str">
        <f>IFERROR(__xludf.DUMMYFUNCTION("GOOGLETRANSLATE(A4648, ""ar"", ""bn"")"),"সামন্ততন্ত্রের সিস্টেম")</f>
        <v>সামন্ততন্ত্রের সিস্টেম</v>
      </c>
    </row>
    <row r="4649">
      <c r="A4649" s="2" t="s">
        <v>2022</v>
      </c>
      <c r="B4649" s="3" t="str">
        <f>IFERROR(__xludf.DUMMYFUNCTION("GOOGLETRANSLATE(A4649, ""ar"", ""bn"")"),"প্রোটোকল সিস্টেম")</f>
        <v>প্রোটোকল সিস্টেম</v>
      </c>
    </row>
    <row r="4650">
      <c r="A4650" s="2" t="s">
        <v>1677</v>
      </c>
      <c r="B4650" s="3" t="str">
        <f>IFERROR(__xludf.DUMMYFUNCTION("GOOGLETRANSLATE(A4650, ""ar"", ""bn"")"),"একদলীয় ব্যবস্থা")</f>
        <v>একদলীয় ব্যবস্থা</v>
      </c>
    </row>
    <row r="4651">
      <c r="A4651" s="2" t="s">
        <v>920</v>
      </c>
      <c r="B4651" s="3" t="str">
        <f>IFERROR(__xludf.DUMMYFUNCTION("GOOGLETRANSLATE(A4651, ""ar"", ""bn"")"),"বিদ্যমান ব্যবস্থার")</f>
        <v>বিদ্যমান ব্যবস্থার</v>
      </c>
    </row>
    <row r="4652">
      <c r="A4652" s="2" t="s">
        <v>416</v>
      </c>
      <c r="B4652" s="3" t="str">
        <f>IFERROR(__xludf.DUMMYFUNCTION("GOOGLETRANSLATE(A4652, ""ar"", ""bn"")"),"প্রোটোকল সিস্টেম")</f>
        <v>প্রোটোকল সিস্টেম</v>
      </c>
    </row>
    <row r="4653">
      <c r="A4653" s="2" t="s">
        <v>2508</v>
      </c>
      <c r="B4653" s="3" t="str">
        <f>IFERROR(__xludf.DUMMYFUNCTION("GOOGLETRANSLATE(A4653, ""ar"", ""bn"")"),"ন্যাসরক্ষা সিস্টেম")</f>
        <v>ন্যাসরক্ষা সিস্টেম</v>
      </c>
    </row>
    <row r="4654">
      <c r="A4654" s="2" t="s">
        <v>1725</v>
      </c>
      <c r="B4654" s="3" t="str">
        <f>IFERROR(__xludf.DUMMYFUNCTION("GOOGLETRANSLATE(A4654, ""ar"", ""bn"")"),"সংসদীয় শাসন ব্যবস্থা")</f>
        <v>সংসদীয় শাসন ব্যবস্থা</v>
      </c>
    </row>
    <row r="4655">
      <c r="A4655" s="2" t="s">
        <v>2144</v>
      </c>
      <c r="B4655" s="3" t="str">
        <f>IFERROR(__xludf.DUMMYFUNCTION("GOOGLETRANSLATE(A4655, ""ar"", ""bn"")"),"সরকারের রিপাবলিকান ফর্ম")</f>
        <v>সরকারের রিপাবলিকান ফর্ম</v>
      </c>
    </row>
    <row r="4656">
      <c r="A4656" s="2" t="s">
        <v>464</v>
      </c>
      <c r="B4656" s="3" t="str">
        <f>IFERROR(__xludf.DUMMYFUNCTION("GOOGLETRANSLATE(A4656, ""ar"", ""bn"")"),"স্বেচ্ছাচারি শাসন")</f>
        <v>স্বেচ্ছাচারি শাসন</v>
      </c>
    </row>
    <row r="4657">
      <c r="A4657" s="2" t="s">
        <v>2467</v>
      </c>
      <c r="B4657" s="3" t="str">
        <f>IFERROR(__xludf.DUMMYFUNCTION("GOOGLETRANSLATE(A4657, ""ar"", ""bn"")"),"ধর্মীয় নিয়ম সিস্টেম")</f>
        <v>ধর্মীয় নিয়ম সিস্টেম</v>
      </c>
    </row>
    <row r="4658">
      <c r="A4658" s="2" t="s">
        <v>1966</v>
      </c>
      <c r="B4658" s="3" t="str">
        <f>IFERROR(__xludf.DUMMYFUNCTION("GOOGLETRANSLATE(A4658, ""ar"", ""bn"")"),"সরকারের প্রেসিডেন্ট পদ্ধতির")</f>
        <v>সরকারের প্রেসিডেন্ট পদ্ধতির</v>
      </c>
    </row>
    <row r="4659">
      <c r="A4659" s="2" t="s">
        <v>2482</v>
      </c>
      <c r="B4659" s="3" t="str">
        <f>IFERROR(__xludf.DUMMYFUNCTION("GOOGLETRANSLATE(A4659, ""ar"", ""bn"")"),"একটি সর্বগ্রাসী শাসন শাসন")</f>
        <v>একটি সর্বগ্রাসী শাসন শাসন</v>
      </c>
    </row>
    <row r="4660">
      <c r="A4660" s="2" t="s">
        <v>238</v>
      </c>
      <c r="B4660" s="3" t="str">
        <f>IFERROR(__xludf.DUMMYFUNCTION("GOOGLETRANSLATE(A4660, ""ar"", ""bn"")"),"বিশৃঙ্খল সিস্টেমের নিয়ম")</f>
        <v>বিশৃঙ্খল সিস্টেমের নিয়ম</v>
      </c>
    </row>
    <row r="4661">
      <c r="A4661" s="2" t="s">
        <v>974</v>
      </c>
      <c r="B4661" s="3" t="str">
        <f>IFERROR(__xludf.DUMMYFUNCTION("GOOGLETRANSLATE(A4661, ""ar"", ""bn"")"),"একটি ফেডারেল সিস্টেম শাসন")</f>
        <v>একটি ফেডারেল সিস্টেম শাসন</v>
      </c>
    </row>
    <row r="4662">
      <c r="A4662" s="2" t="s">
        <v>544</v>
      </c>
      <c r="B4662" s="3" t="str">
        <f>IFERROR(__xludf.DUMMYFUNCTION("GOOGLETRANSLATE(A4662, ""ar"", ""bn"")"),"নিয়ম সিস্টেম গভর্নর")</f>
        <v>নিয়ম সিস্টেম গভর্নর</v>
      </c>
    </row>
    <row r="4663">
      <c r="A4663" s="2" t="s">
        <v>2103</v>
      </c>
      <c r="B4663" s="3" t="str">
        <f>IFERROR(__xludf.DUMMYFUNCTION("GOOGLETRANSLATE(A4663, ""ar"", ""bn"")"),"একটি সরকার ব্যবস্থা")</f>
        <v>একটি সরকার ব্যবস্থা</v>
      </c>
    </row>
    <row r="4664">
      <c r="A4664" s="2" t="s">
        <v>1886</v>
      </c>
      <c r="B4664" s="3" t="str">
        <f>IFERROR(__xludf.DUMMYFUNCTION("GOOGLETRANSLATE(A4664, ""ar"", ""bn"")"),"রাজনৈতিক ব্যবস্থা")</f>
        <v>রাজনৈতিক ব্যবস্থা</v>
      </c>
    </row>
    <row r="4665">
      <c r="A4665" s="2" t="s">
        <v>1886</v>
      </c>
      <c r="B4665" s="3" t="str">
        <f>IFERROR(__xludf.DUMMYFUNCTION("GOOGLETRANSLATE(A4665, ""ar"", ""bn"")"),"রাজনৈতিক ব্যবস্থা")</f>
        <v>রাজনৈতিক ব্যবস্থা</v>
      </c>
    </row>
    <row r="4666">
      <c r="A4666" s="2" t="s">
        <v>2281</v>
      </c>
      <c r="B4666" s="3" t="str">
        <f>IFERROR(__xludf.DUMMYFUNCTION("GOOGLETRANSLATE(A4666, ""ar"", ""bn"")"),"কঠোর রাজনৈতিক ব্যবস্থা")</f>
        <v>কঠোর রাজনৈতিক ব্যবস্থা</v>
      </c>
    </row>
    <row r="4667">
      <c r="A4667" s="2" t="s">
        <v>2039</v>
      </c>
      <c r="B4667" s="3" t="str">
        <f>IFERROR(__xludf.DUMMYFUNCTION("GOOGLETRANSLATE(A4667, ""ar"", ""bn"")"),"সাধারণ সিস্টেম")</f>
        <v>সাধারণ সিস্টেম</v>
      </c>
    </row>
    <row r="4668">
      <c r="A4668" s="2" t="s">
        <v>1530</v>
      </c>
      <c r="B4668" s="3" t="str">
        <f>IFERROR(__xludf.DUMMYFUNCTION("GOOGLETRANSLATE(A4668, ""ar"", ""bn"")"),"অনুক্রমে সিস্টেম")</f>
        <v>অনুক্রমে সিস্টেম</v>
      </c>
    </row>
    <row r="4669">
      <c r="A4669" s="2" t="s">
        <v>315</v>
      </c>
      <c r="B4669" s="3" t="str">
        <f>IFERROR(__xludf.DUMMYFUNCTION("GOOGLETRANSLATE(A4669, ""ar"", ""bn"")"),"পরম তত্ত্ব")</f>
        <v>পরম তত্ত্ব</v>
      </c>
    </row>
    <row r="4670">
      <c r="A4670" s="2" t="s">
        <v>1901</v>
      </c>
      <c r="B4670" s="3" t="str">
        <f>IFERROR(__xludf.DUMMYFUNCTION("GOOGLETRANSLATE(A4670, ""ar"", ""bn"")"),"স্বৈরতন্ত্র")</f>
        <v>স্বৈরতন্ত্র</v>
      </c>
    </row>
    <row r="4671">
      <c r="A4671" s="2" t="s">
        <v>428</v>
      </c>
      <c r="B4671" s="3" t="str">
        <f>IFERROR(__xludf.DUMMYFUNCTION("GOOGLETRANSLATE(A4671, ""ar"", ""bn"")"),"Horsefly জাতীয়")</f>
        <v>Horsefly জাতীয়</v>
      </c>
    </row>
    <row r="4672">
      <c r="A4672" s="2" t="s">
        <v>2043</v>
      </c>
      <c r="B4672" s="3" t="str">
        <f>IFERROR(__xludf.DUMMYFUNCTION("GOOGLETRANSLATE(A4672, ""ar"", ""bn"")"),"জন উপকার")</f>
        <v>জন উপকার</v>
      </c>
    </row>
    <row r="4673">
      <c r="A4673" s="2" t="s">
        <v>1002</v>
      </c>
      <c r="B4673" s="3" t="str">
        <f>IFERROR(__xludf.DUMMYFUNCTION("GOOGLETRANSLATE(A4673, ""ar"", ""bn"")"),"পররাষ্ট্র প্রভাব")</f>
        <v>পররাষ্ট্র প্রভাব</v>
      </c>
    </row>
    <row r="4674">
      <c r="A4674" s="2" t="s">
        <v>1848</v>
      </c>
      <c r="B4674" s="3" t="str">
        <f>IFERROR(__xludf.DUMMYFUNCTION("GOOGLETRANSLATE(A4674, ""ar"", ""bn"")"),"রাজনৈতিক প্রভাব")</f>
        <v>রাজনৈতিক প্রভাব</v>
      </c>
    </row>
    <row r="4675">
      <c r="A4675" s="2" t="s">
        <v>1769</v>
      </c>
      <c r="B4675" s="3" t="str">
        <f>IFERROR(__xludf.DUMMYFUNCTION("GOOGLETRANSLATE(A4675, ""ar"", ""bn"")"),"অস্বীকৃত যাবজ্জীবন সাজা")</f>
        <v>অস্বীকৃত যাবজ্জীবন সাজা</v>
      </c>
    </row>
    <row r="4676">
      <c r="A4676" s="2" t="s">
        <v>2847</v>
      </c>
      <c r="B4676" s="3" t="str">
        <f>IFERROR(__xludf.DUMMYFUNCTION("GOOGLETRANSLATE(A4676, ""ar"", ""bn"")"),"আলোচনায় মূল পয়েন্ট")</f>
        <v>আলোচনায় মূল পয়েন্ট</v>
      </c>
    </row>
    <row r="4677">
      <c r="A4677" s="2" t="s">
        <v>585</v>
      </c>
      <c r="B4677" s="3" t="str">
        <f>IFERROR(__xludf.DUMMYFUNCTION("GOOGLETRANSLATE(A4677, ""ar"", ""bn"")"),"রাজনৈতিক মতানৈক্য পয়েন্ট")</f>
        <v>রাজনৈতিক মতানৈক্য পয়েন্ট</v>
      </c>
    </row>
    <row r="4678">
      <c r="A4678" s="2" t="s">
        <v>584</v>
      </c>
      <c r="B4678" s="3" t="str">
        <f>IFERROR(__xludf.DUMMYFUNCTION("GOOGLETRANSLATE(A4678, ""ar"", ""bn"")"),"আলোচনায় পয়েন্ট স্টিকিং")</f>
        <v>আলোচনায় পয়েন্ট স্টিকিং</v>
      </c>
    </row>
    <row r="4679">
      <c r="A4679" s="2" t="s">
        <v>1591</v>
      </c>
      <c r="B4679" s="3" t="str">
        <f>IFERROR(__xludf.DUMMYFUNCTION("GOOGLETRANSLATE(A4679, ""ar"", ""bn"")"),"সংলাপে নেতিবাচক পয়েন্ট")</f>
        <v>সংলাপে নেতিবাচক পয়েন্ট</v>
      </c>
    </row>
    <row r="4680">
      <c r="A4680" s="2" t="s">
        <v>1818</v>
      </c>
      <c r="B4680" s="3" t="str">
        <f>IFERROR(__xludf.DUMMYFUNCTION("GOOGLETRANSLATE(A4680, ""ar"", ""bn"")"),"রাজনৈতিক সমালোচনা")</f>
        <v>রাজনৈতিক সমালোচনা</v>
      </c>
    </row>
    <row r="4681">
      <c r="A4681" s="2" t="s">
        <v>370</v>
      </c>
      <c r="B4681" s="3" t="str">
        <f>IFERROR(__xludf.DUMMYFUNCTION("GOOGLETRANSLATE(A4681, ""ar"", ""bn"")"),"অঙ্গীকার ভঙ্গের")</f>
        <v>অঙ্গীকার ভঙ্গের</v>
      </c>
    </row>
    <row r="4682">
      <c r="A4682" s="2" t="s">
        <v>2589</v>
      </c>
      <c r="B4682" s="3" t="str">
        <f>IFERROR(__xludf.DUMMYFUNCTION("GOOGLETRANSLATE(A4682, ""ar"", ""bn"")"),"সরাইয়া সিদ্ধান্ত সেট")</f>
        <v>সরাইয়া সিদ্ধান্ত সেট</v>
      </c>
    </row>
    <row r="4683">
      <c r="A4683" s="2" t="s">
        <v>200</v>
      </c>
      <c r="B4683" s="3" t="str">
        <f>IFERROR(__xludf.DUMMYFUNCTION("GOOGLETRANSLATE(A4683, ""ar"", ""bn"")"),"আক্রমনাত্মক উদ্দেশ্য")</f>
        <v>আক্রমনাত্মক উদ্দেশ্য</v>
      </c>
    </row>
    <row r="4684">
      <c r="A4684" s="2" t="s">
        <v>2706</v>
      </c>
      <c r="B4684" s="3" t="str">
        <f>IFERROR(__xludf.DUMMYFUNCTION("GOOGLETRANSLATE(A4684, ""ar"", ""bn"")"),"নে টি উপনিবেশবাদ")</f>
        <v>নে টি উপনিবেশবাদ</v>
      </c>
    </row>
    <row r="4685">
      <c r="A4685" s="2" t="s">
        <v>862</v>
      </c>
      <c r="B4685" s="3" t="str">
        <f>IFERROR(__xludf.DUMMYFUNCTION("GOOGLETRANSLATE(A4685, ""ar"", ""bn"")"),"অভিপ্রয়াণ")</f>
        <v>অভিপ্রয়াণ</v>
      </c>
    </row>
    <row r="4686">
      <c r="A4686" s="2" t="s">
        <v>364</v>
      </c>
      <c r="B4686" s="3" t="str">
        <f>IFERROR(__xludf.DUMMYFUNCTION("GOOGLETRANSLATE(A4686, ""ar"", ""bn"")"),"মস্তিষ্ক Imigrante")</f>
        <v>মস্তিষ্ক Imigrante</v>
      </c>
    </row>
    <row r="4687">
      <c r="A4687" s="2" t="s">
        <v>1141</v>
      </c>
      <c r="B4687" s="3" t="str">
        <f>IFERROR(__xludf.DUMMYFUNCTION("GOOGLETRANSLATE(A4687, ""ar"", ""bn"")"),"অবৈধ অভিবাসন")</f>
        <v>অবৈধ অভিবাসন</v>
      </c>
    </row>
    <row r="4688">
      <c r="A4688" s="2" t="s">
        <v>2464</v>
      </c>
      <c r="B4688" s="3" t="str">
        <f>IFERROR(__xludf.DUMMYFUNCTION("GOOGLETRANSLATE(A4688, ""ar"", ""bn"")"),"জঙ্গি হামলা")</f>
        <v>জঙ্গি হামলা</v>
      </c>
    </row>
    <row r="4689">
      <c r="A4689" s="2" t="s">
        <v>2393</v>
      </c>
      <c r="B4689" s="3" t="str">
        <f>IFERROR(__xludf.DUMMYFUNCTION("GOOGLETRANSLATE(A4689, ""ar"", ""bn"")"),"সুইসাইড হামলার")</f>
        <v>সুইসাইড হামলার</v>
      </c>
    </row>
    <row r="4690">
      <c r="A4690" s="2" t="s">
        <v>2211</v>
      </c>
      <c r="B4690" s="3" t="str">
        <f>IFERROR(__xludf.DUMMYFUNCTION("GOOGLETRANSLATE(A4690, ""ar"", ""bn"")"),"রকেট হামলার")</f>
        <v>রকেট হামলার</v>
      </c>
    </row>
    <row r="4691">
      <c r="A4691" s="2" t="s">
        <v>1209</v>
      </c>
      <c r="B4691" s="3" t="str">
        <f>IFERROR(__xludf.DUMMYFUNCTION("GOOGLETRANSLATE(A4691, ""ar"", ""bn"")"),"একটি আন্তর্জাতিক হামলা")</f>
        <v>একটি আন্তর্জাতিক হামলা</v>
      </c>
    </row>
    <row r="4692">
      <c r="A4692" s="2" t="s">
        <v>211</v>
      </c>
      <c r="B4692" s="3" t="str">
        <f>IFERROR(__xludf.DUMMYFUNCTION("GOOGLETRANSLATE(A4692, ""ar"", ""bn"")"),"আক্রমণ বিমান")</f>
        <v>আক্রমণ বিমান</v>
      </c>
    </row>
    <row r="4693">
      <c r="A4693" s="2" t="s">
        <v>146</v>
      </c>
      <c r="B4693" s="3" t="str">
        <f>IFERROR(__xludf.DUMMYFUNCTION("GOOGLETRANSLATE(A4693, ""ar"", ""bn"")"),"সেনাবাহিনী হামলা ব্যর্থ")</f>
        <v>সেনাবাহিনী হামলা ব্যর্থ</v>
      </c>
    </row>
    <row r="4694">
      <c r="A4694" s="2" t="s">
        <v>1435</v>
      </c>
      <c r="B4694" s="3" t="str">
        <f>IFERROR(__xludf.DUMMYFUNCTION("GOOGLETRANSLATE(A4694, ""ar"", ""bn"")"),"ভারি সামরিক আক্রমণের")</f>
        <v>ভারি সামরিক আক্রমণের</v>
      </c>
    </row>
    <row r="4695">
      <c r="A4695" s="2" t="s">
        <v>603</v>
      </c>
      <c r="B4695" s="3" t="str">
        <f>IFERROR(__xludf.DUMMYFUNCTION("GOOGLETRANSLATE(A4695, ""ar"", ""bn"")"),"কাউন্টার পাল্টা আক্রমণ")</f>
        <v>কাউন্টার পাল্টা আক্রমণ</v>
      </c>
    </row>
    <row r="4696">
      <c r="A4696" s="2" t="s">
        <v>2223</v>
      </c>
      <c r="B4696" s="3" t="str">
        <f>IFERROR(__xludf.DUMMYFUNCTION("GOOGLETRANSLATE(A4696, ""ar"", ""bn"")"),"অতর্কিত আক্রমণ")</f>
        <v>অতর্কিত আক্রমণ</v>
      </c>
    </row>
    <row r="4697">
      <c r="A4697" s="2" t="s">
        <v>280</v>
      </c>
      <c r="B4697" s="3" t="str">
        <f>IFERROR(__xludf.DUMMYFUNCTION("GOOGLETRANSLATE(A4697, ""ar"", ""bn"")"),"সাময়িক যুদ্ধবিরতি")</f>
        <v>সাময়িক যুদ্ধবিরতি</v>
      </c>
    </row>
    <row r="4698">
      <c r="A4698" s="2" t="s">
        <v>2579</v>
      </c>
      <c r="B4698" s="3" t="str">
        <f>IFERROR(__xludf.DUMMYFUNCTION("GOOGLETRANSLATE(A4698, ""ar"", ""bn"")"),"জরুরী সাময়িক যুদ্ধবিরতি")</f>
        <v>জরুরী সাময়িক যুদ্ধবিরতি</v>
      </c>
    </row>
    <row r="4699">
      <c r="A4699" s="2" t="s">
        <v>2681</v>
      </c>
      <c r="B4699" s="3" t="str">
        <f>IFERROR(__xludf.DUMMYFUNCTION("GOOGLETRANSLATE(A4699, ""ar"", ""bn"")"),"বিশ্বব্যাপী শেক")</f>
        <v>বিশ্বব্যাপী শেক</v>
      </c>
    </row>
    <row r="4700">
      <c r="A4700" s="2" t="s">
        <v>647</v>
      </c>
      <c r="B4700" s="3" t="str">
        <f>IFERROR(__xludf.DUMMYFUNCTION("GOOGLETRANSLATE(A4700, ""ar"", ""bn"")"),"পরাজয়")</f>
        <v>পরাজয়</v>
      </c>
    </row>
    <row r="4701">
      <c r="A4701" s="2" t="s">
        <v>1820</v>
      </c>
      <c r="B4701" s="3" t="str">
        <f>IFERROR(__xludf.DUMMYFUNCTION("GOOGLETRANSLATE(A4701, ""ar"", ""bn"")"),"রাজনৈতিক পরাজয়")</f>
        <v>রাজনৈতিক পরাজয়</v>
      </c>
    </row>
    <row r="4702">
      <c r="A4702" s="2" t="s">
        <v>486</v>
      </c>
      <c r="B4702" s="3" t="str">
        <f>IFERROR(__xludf.DUMMYFUNCTION("GOOGLETRANSLATE(A4702, ""ar"", ""bn"")"),"যুগ্ম রাজনৈতিক সংস্থা")</f>
        <v>যুগ্ম রাজনৈতিক সংস্থা</v>
      </c>
    </row>
    <row r="4703">
      <c r="A4703" s="2" t="s">
        <v>187</v>
      </c>
      <c r="B4703" s="3" t="str">
        <f>IFERROR(__xludf.DUMMYFUNCTION("GOOGLETRANSLATE(A4703, ""ar"", ""bn"")"),"অ্যাডভাইসারির শরীর")</f>
        <v>অ্যাডভাইসারির শরীর</v>
      </c>
    </row>
    <row r="4704">
      <c r="A4704" s="2" t="s">
        <v>357</v>
      </c>
      <c r="B4704" s="3" t="str">
        <f>IFERROR(__xludf.DUMMYFUNCTION("GOOGLETRANSLATE(A4704, ""ar"", ""bn"")"),"তদন্ত কমিশন")</f>
        <v>তদন্ত কমিশন</v>
      </c>
    </row>
    <row r="4705">
      <c r="A4705" s="2" t="s">
        <v>1351</v>
      </c>
      <c r="B4705" s="3" t="str">
        <f>IFERROR(__xludf.DUMMYFUNCTION("GOOGLETRANSLATE(A4705, ""ar"", ""bn"")"),"আইন-সভা")</f>
        <v>আইন-সভা</v>
      </c>
    </row>
    <row r="4706">
      <c r="A4706" s="2" t="s">
        <v>1062</v>
      </c>
      <c r="B4706" s="3" t="str">
        <f>IFERROR(__xludf.DUMMYFUNCTION("GOOGLETRANSLATE(A4706, ""ar"", ""bn"")"),"পরিচালনা পর্ষদ")</f>
        <v>পরিচালনা পর্ষদ</v>
      </c>
    </row>
    <row r="4707">
      <c r="A4707" s="2" t="s">
        <v>258</v>
      </c>
      <c r="B4707" s="3" t="str">
        <f>IFERROR(__xludf.DUMMYFUNCTION("GOOGLETRANSLATE(A4707, ""ar"", ""bn"")"),"একটি উপযুক্ত শরীর")</f>
        <v>একটি উপযুক্ত শরীর</v>
      </c>
    </row>
    <row r="4708">
      <c r="A4708" s="2" t="s">
        <v>2848</v>
      </c>
      <c r="B4708" s="3" t="str">
        <f>IFERROR(__xludf.DUMMYFUNCTION("GOOGLETRANSLATE(A4708, ""ar"", ""bn"")"),"পরিকল্পনা বিকাশ উপযুক্ত কর্তৃপক্ষ")</f>
        <v>পরিকল্পনা বিকাশ উপযুক্ত কর্তৃপক্ষ</v>
      </c>
    </row>
    <row r="4709">
      <c r="A4709" s="2" t="s">
        <v>468</v>
      </c>
      <c r="B4709" s="3" t="str">
        <f>IFERROR(__xludf.DUMMYFUNCTION("GOOGLETRANSLATE(A4709, ""ar"", ""bn"")"),"রাজনৈতিক")</f>
        <v>রাজনৈতিক</v>
      </c>
    </row>
    <row r="4710">
      <c r="A4710" s="2" t="s">
        <v>838</v>
      </c>
      <c r="B4710" s="3" t="str">
        <f>IFERROR(__xludf.DUMMYFUNCTION("GOOGLETRANSLATE(A4710, ""ar"", ""bn"")"),"নির্বাচকমণ্ডলী")</f>
        <v>নির্বাচকমণ্ডলী</v>
      </c>
    </row>
    <row r="4711">
      <c r="A4711" s="2" t="s">
        <v>730</v>
      </c>
      <c r="B4711" s="3" t="str">
        <f>IFERROR(__xludf.DUMMYFUNCTION("GOOGLETRANSLATE(A4711, ""ar"", ""bn"")"),"কূটনৈতিক কমিটি")</f>
        <v>কূটনৈতিক কমিটি</v>
      </c>
    </row>
    <row r="4712">
      <c r="A4712" s="2" t="s">
        <v>1814</v>
      </c>
      <c r="B4712" s="3" t="str">
        <f>IFERROR(__xludf.DUMMYFUNCTION("GOOGLETRANSLATE(A4712, ""ar"", ""bn"")"),"একটি রাজনৈতিক শরীর")</f>
        <v>একটি রাজনৈতিক শরীর</v>
      </c>
    </row>
    <row r="4713">
      <c r="A4713" s="2" t="s">
        <v>1472</v>
      </c>
      <c r="B4713" s="3" t="str">
        <f>IFERROR(__xludf.DUMMYFUNCTION("GOOGLETRANSLATE(A4713, ""ar"", ""bn"")"),"সেনাবাহিনী আধিপত্য")</f>
        <v>সেনাবাহিনী আধিপত্য</v>
      </c>
    </row>
    <row r="4714">
      <c r="A4714" s="2" t="s">
        <v>2225</v>
      </c>
      <c r="B4714" s="3" t="str">
        <f>IFERROR(__xludf.DUMMYFUNCTION("GOOGLETRANSLATE(A4714, ""ar"", ""bn"")"),"পবিত্র জাতীয় দায়িত্ব")</f>
        <v>পবিত্র জাতীয় দায়িত্ব</v>
      </c>
    </row>
    <row r="4715">
      <c r="A4715" s="2" t="s">
        <v>2344</v>
      </c>
      <c r="B4715" s="3" t="str">
        <f>IFERROR(__xludf.DUMMYFUNCTION("GOOGLETRANSLATE(A4715, ""ar"", ""bn"")"),"যুক্তরাষ্ট্রের দায়িত্ব")</f>
        <v>যুক্তরাষ্ট্রের দায়িত্ব</v>
      </c>
    </row>
    <row r="4716">
      <c r="A4716" s="2" t="s">
        <v>2076</v>
      </c>
      <c r="B4716" s="3" t="str">
        <f>IFERROR(__xludf.DUMMYFUNCTION("GOOGLETRANSLATE(A4716, ""ar"", ""bn"")"),"পারস্পরিক আন্ত রাষ্ট্রের দায়িত্ব")</f>
        <v>পারস্পরিক আন্ত রাষ্ট্রের দায়িত্ব</v>
      </c>
    </row>
    <row r="4717">
      <c r="A4717" s="2" t="s">
        <v>2698</v>
      </c>
      <c r="B4717" s="3" t="str">
        <f>IFERROR(__xludf.DUMMYFUNCTION("GOOGLETRANSLATE(A4717, ""ar"", ""bn"")"),"ওয়াইড আন্তর্জাতিক প্রচলন")</f>
        <v>ওয়াইড আন্তর্জাতিক প্রচলন</v>
      </c>
    </row>
    <row r="4718">
      <c r="A4718" s="2" t="s">
        <v>1660</v>
      </c>
      <c r="B4718" s="3" t="str">
        <f>IFERROR(__xludf.DUMMYFUNCTION("GOOGLETRANSLATE(A4718, ""ar"", ""bn"")"),"অফিসের নথিপত্র")</f>
        <v>অফিসের নথিপত্র</v>
      </c>
    </row>
    <row r="4719">
      <c r="A4719" s="2" t="s">
        <v>1343</v>
      </c>
      <c r="B4719" s="3" t="str">
        <f>IFERROR(__xludf.DUMMYFUNCTION("GOOGLETRANSLATE(A4719, ""ar"", ""bn"")"),"বৈধ নথিপত্র বা বৈধ কাগজপত্র")</f>
        <v>বৈধ নথিপত্র বা বৈধ কাগজপত্র</v>
      </c>
    </row>
    <row r="4720">
      <c r="A4720" s="2" t="s">
        <v>763</v>
      </c>
      <c r="B4720" s="3" t="str">
        <f>IFERROR(__xludf.DUMMYFUNCTION("GOOGLETRANSLATE(A4720, ""ar"", ""bn"")"),"কূটনৈতিক দৃষ্টিকোণ")</f>
        <v>কূটনৈতিক দৃষ্টিকোণ</v>
      </c>
    </row>
    <row r="4721">
      <c r="A4721" s="2" t="s">
        <v>1871</v>
      </c>
      <c r="B4721" s="3" t="str">
        <f>IFERROR(__xludf.DUMMYFUNCTION("GOOGLETRANSLATE(A4721, ""ar"", ""bn"")"),"দৃশ্য রাজনৈতিক বিন্দু")</f>
        <v>দৃশ্য রাজনৈতিক বিন্দু</v>
      </c>
    </row>
    <row r="4722">
      <c r="A4722" s="2" t="s">
        <v>1476</v>
      </c>
      <c r="B4722" s="3" t="str">
        <f>IFERROR(__xludf.DUMMYFUNCTION("GOOGLETRANSLATE(A4722, ""ar"", ""bn"")"),"সেনাবাহিনী ইউনিট")</f>
        <v>সেনাবাহিনী ইউনিট</v>
      </c>
    </row>
    <row r="4723">
      <c r="A4723" s="2" t="s">
        <v>2546</v>
      </c>
      <c r="B4723" s="3" t="str">
        <f>IFERROR(__xludf.DUMMYFUNCTION("GOOGLETRANSLATE(A4723, ""ar"", ""bn"")"),"একা")</f>
        <v>একা</v>
      </c>
    </row>
    <row r="4724">
      <c r="A4724" s="2" t="s">
        <v>268</v>
      </c>
      <c r="B4724" s="3" t="str">
        <f>IFERROR(__xludf.DUMMYFUNCTION("GOOGLETRANSLATE(A4724, ""ar"", ""bn"")"),"আরবি ইউনিয়ন")</f>
        <v>আরবি ইউনিয়ন</v>
      </c>
    </row>
    <row r="4725">
      <c r="A4725" s="2" t="s">
        <v>2565</v>
      </c>
      <c r="B4725" s="3" t="str">
        <f>IFERROR(__xludf.DUMMYFUNCTION("GOOGLETRANSLATE(A4725, ""ar"", ""bn"")"),"মানুষের জাতিগত ঐক্য")</f>
        <v>মানুষের জাতিগত ঐক্য</v>
      </c>
    </row>
    <row r="4726">
      <c r="A4726" s="2" t="s">
        <v>1904</v>
      </c>
      <c r="B4726" s="3" t="str">
        <f>IFERROR(__xludf.DUMMYFUNCTION("GOOGLETRANSLATE(A4726, ""ar"", ""bn"")"),"রাজনৈতিক ঐক্য")</f>
        <v>রাজনৈতিক ঐক্য</v>
      </c>
    </row>
    <row r="4727">
      <c r="A4727" s="2" t="s">
        <v>1579</v>
      </c>
      <c r="B4727" s="3" t="str">
        <f>IFERROR(__xludf.DUMMYFUNCTION("GOOGLETRANSLATE(A4727, ""ar"", ""bn"")"),"ঐক্য")</f>
        <v>ঐক্য</v>
      </c>
    </row>
    <row r="4728">
      <c r="A4728" s="2" t="s">
        <v>2551</v>
      </c>
      <c r="B4728" s="3" t="str">
        <f>IFERROR(__xludf.DUMMYFUNCTION("GOOGLETRANSLATE(A4728, ""ar"", ""bn"")"),"ইউনিয়নগুলোর")</f>
        <v>ইউনিয়নগুলোর</v>
      </c>
    </row>
    <row r="4729">
      <c r="A4729" s="2" t="s">
        <v>1483</v>
      </c>
      <c r="B4729" s="3" t="str">
        <f>IFERROR(__xludf.DUMMYFUNCTION("GOOGLETRANSLATE(A4729, ""ar"", ""bn"")"),"মন্ত্রণালয়")</f>
        <v>মন্ত্রণালয়</v>
      </c>
    </row>
    <row r="4730">
      <c r="A4730" s="2" t="s">
        <v>459</v>
      </c>
      <c r="B4730" s="3" t="str">
        <f>IFERROR(__xludf.DUMMYFUNCTION("GOOGLETRANSLATE(A4730, ""ar"", ""bn"")"),"মন্ত্রণালয় জোট")</f>
        <v>মন্ত্রণালয় জোট</v>
      </c>
    </row>
    <row r="4731">
      <c r="A4731" s="2" t="s">
        <v>1488</v>
      </c>
      <c r="B4731" s="3" t="str">
        <f>IFERROR(__xludf.DUMMYFUNCTION("GOOGLETRANSLATE(A4731, ""ar"", ""bn"")"),"যোগাযোগ মন্ত্রণালয়")</f>
        <v>যোগাযোগ মন্ত্রণালয়</v>
      </c>
    </row>
    <row r="4732">
      <c r="A4732" s="2" t="s">
        <v>1504</v>
      </c>
      <c r="B4732" s="3" t="str">
        <f>IFERROR(__xludf.DUMMYFUNCTION("GOOGLETRANSLATE(A4732, ""ar"", ""bn"")"),"স্থানীয় প্রশাসন মন্ত্রণালয়")</f>
        <v>স্থানীয় প্রশাসন মন্ত্রণালয়</v>
      </c>
    </row>
    <row r="4733">
      <c r="A4733" s="2" t="s">
        <v>1506</v>
      </c>
      <c r="B4733" s="3" t="str">
        <f>IFERROR(__xludf.DUMMYFUNCTION("GOOGLETRANSLATE(A4733, ""ar"", ""bn"")"),"জাতীয় গাইডেন্স মন্ত্রণালয়")</f>
        <v>জাতীয় গাইডেন্স মন্ত্রণালয়</v>
      </c>
    </row>
    <row r="4734">
      <c r="A4734" s="2" t="s">
        <v>1509</v>
      </c>
      <c r="B4734" s="3" t="str">
        <f>IFERROR(__xludf.DUMMYFUNCTION("GOOGLETRANSLATE(A4734, ""ar"", ""bn"")"),"গণপূর্ত মন্ত্রণালয়ের")</f>
        <v>গণপূর্ত মন্ত্রণালয়ের</v>
      </c>
    </row>
    <row r="4735">
      <c r="A4735" s="2" t="s">
        <v>1500</v>
      </c>
      <c r="B4735" s="3" t="str">
        <f>IFERROR(__xludf.DUMMYFUNCTION("GOOGLETRANSLATE(A4735, ""ar"", ""bn"")"),"তথ্য মন্ত্রণালয়")</f>
        <v>তথ্য মন্ত্রণালয়</v>
      </c>
    </row>
    <row r="4736">
      <c r="A4736" s="2" t="s">
        <v>1505</v>
      </c>
      <c r="B4736" s="3" t="str">
        <f>IFERROR(__xludf.DUMMYFUNCTION("GOOGLETRANSLATE(A4736, ""ar"", ""bn"")"),"জাতীয় অর্থনীতি মন্ত্রণালয়")</f>
        <v>জাতীয় অর্থনীতি মন্ত্রণালয়</v>
      </c>
    </row>
    <row r="4737">
      <c r="A4737" s="2" t="s">
        <v>1492</v>
      </c>
      <c r="B4737" s="3" t="str">
        <f>IFERROR(__xludf.DUMMYFUNCTION("GOOGLETRANSLATE(A4737, ""ar"", ""bn"")"),"পরিবেশ মন্ত্রণালয়")</f>
        <v>পরিবেশ মন্ত্রণালয়</v>
      </c>
    </row>
    <row r="4738">
      <c r="A4738" s="2" t="s">
        <v>1487</v>
      </c>
      <c r="B4738" s="3" t="str">
        <f>IFERROR(__xludf.DUMMYFUNCTION("GOOGLETRANSLATE(A4738, ""ar"", ""bn"")"),"বাণিজ্য মন্ত্রণালয়")</f>
        <v>বাণিজ্য মন্ত্রণালয়</v>
      </c>
    </row>
    <row r="4739">
      <c r="A4739" s="2" t="s">
        <v>1495</v>
      </c>
      <c r="B4739" s="3" t="str">
        <f>IFERROR(__xludf.DUMMYFUNCTION("GOOGLETRANSLATE(A4739, ""ar"", ""bn"")"),"বৈদেশিক বানিজ্য মন্ত্রণালয়")</f>
        <v>বৈদেশিক বানিজ্য মন্ত্রণালয়</v>
      </c>
    </row>
    <row r="4740">
      <c r="A4740" s="2" t="s">
        <v>1508</v>
      </c>
      <c r="B4740" s="3" t="str">
        <f>IFERROR(__xludf.DUMMYFUNCTION("GOOGLETRANSLATE(A4740, ""ar"", ""bn"")"),"পরিকল্পনা মন্ত্রণালয়ের")</f>
        <v>পরিকল্পনা মন্ত্রণালয়ের</v>
      </c>
    </row>
    <row r="4741">
      <c r="A4741" s="2" t="s">
        <v>1490</v>
      </c>
      <c r="B4741" s="3" t="str">
        <f>IFERROR(__xludf.DUMMYFUNCTION("GOOGLETRANSLATE(A4741, ""ar"", ""bn"")"),"শিক্ষা মন্ত্রণালয়")</f>
        <v>শিক্ষা মন্ত্রণালয়</v>
      </c>
    </row>
    <row r="4742">
      <c r="A4742" s="2" t="s">
        <v>1498</v>
      </c>
      <c r="B4742" s="3" t="str">
        <f>IFERROR(__xludf.DUMMYFUNCTION("GOOGLETRANSLATE(A4742, ""ar"", ""bn"")"),"উচ্চ শিক্ষা মন্ত্রণালয়")</f>
        <v>উচ্চ শিক্ষা মন্ত্রণালয়</v>
      </c>
    </row>
    <row r="4743">
      <c r="A4743" s="2" t="s">
        <v>1511</v>
      </c>
      <c r="B4743" s="3" t="str">
        <f>IFERROR(__xludf.DUMMYFUNCTION("GOOGLETRANSLATE(A4743, ""ar"", ""bn"")"),"Ministryof সাপ্লাই")</f>
        <v>Ministryof সাপ্লাই</v>
      </c>
    </row>
    <row r="4744">
      <c r="A4744" s="2" t="s">
        <v>1006</v>
      </c>
      <c r="B4744" s="3" t="str">
        <f>IFERROR(__xludf.DUMMYFUNCTION("GOOGLETRANSLATE(A4744, ""ar"", ""bn"")"),"পররাষ্ট্র মন্ত্রণালয়")</f>
        <v>পররাষ্ট্র মন্ত্রণালয়</v>
      </c>
    </row>
    <row r="4745">
      <c r="A4745" s="2" t="s">
        <v>1501</v>
      </c>
      <c r="B4745" s="3" t="str">
        <f>IFERROR(__xludf.DUMMYFUNCTION("GOOGLETRANSLATE(A4745, ""ar"", ""bn"")"),"স্বরাষ্ট্র মন্ত্রণালয়")</f>
        <v>স্বরাষ্ট্র মন্ত্রণালয়</v>
      </c>
    </row>
    <row r="4746">
      <c r="A4746" s="2" t="s">
        <v>1489</v>
      </c>
      <c r="B4746" s="3" t="str">
        <f>IFERROR(__xludf.DUMMYFUNCTION("GOOGLETRANSLATE(A4746, ""ar"", ""bn"")"),"প্রতিরক্ষা মন্ত্রণালয়")</f>
        <v>প্রতিরক্ষা মন্ত্রণালয়</v>
      </c>
    </row>
    <row r="4747">
      <c r="A4747" s="2" t="s">
        <v>1485</v>
      </c>
      <c r="B4747" s="3" t="str">
        <f>IFERROR(__xludf.DUMMYFUNCTION("GOOGLETRANSLATE(A4747, ""ar"", ""bn"")"),"কৃষি মন্ত্রণালয়")</f>
        <v>কৃষি মন্ত্রণালয়</v>
      </c>
    </row>
    <row r="4748">
      <c r="A4748" s="2" t="s">
        <v>1512</v>
      </c>
      <c r="B4748" s="3" t="str">
        <f>IFERROR(__xludf.DUMMYFUNCTION("GOOGLETRANSLATE(A4748, ""ar"", ""bn"")"),"পর্যটন মন্ত্রণালয়")</f>
        <v>পর্যটন মন্ত্রণালয়</v>
      </c>
    </row>
    <row r="4749">
      <c r="A4749" s="2" t="s">
        <v>1510</v>
      </c>
      <c r="B4749" s="3" t="str">
        <f>IFERROR(__xludf.DUMMYFUNCTION("GOOGLETRANSLATE(A4749, ""ar"", ""bn"")"),"সামাজিক বিষয়ক মন্ত্রণালয়")</f>
        <v>সামাজিক বিষয়ক মন্ত্রণালয়</v>
      </c>
    </row>
    <row r="4750">
      <c r="A4750" s="2" t="s">
        <v>1494</v>
      </c>
      <c r="B4750" s="3" t="str">
        <f>IFERROR(__xludf.DUMMYFUNCTION("GOOGLETRANSLATE(A4750, ""ar"", ""bn"")"),"পররাষ্ট্র মন্ত্রণালয়")</f>
        <v>পররাষ্ট্র মন্ত্রণালয়</v>
      </c>
    </row>
    <row r="4751">
      <c r="A4751" s="2" t="s">
        <v>1497</v>
      </c>
      <c r="B4751" s="3" t="str">
        <f>IFERROR(__xludf.DUMMYFUNCTION("GOOGLETRANSLATE(A4751, ""ar"", ""bn"")"),"স্বাস্থ্য মন্ত্রণালয়")</f>
        <v>স্বাস্থ্য মন্ত্রণালয়</v>
      </c>
    </row>
    <row r="4752">
      <c r="A4752" s="2" t="s">
        <v>1499</v>
      </c>
      <c r="B4752" s="3" t="str">
        <f>IFERROR(__xludf.DUMMYFUNCTION("GOOGLETRANSLATE(A4752, ""ar"", ""bn"")"),"শিল্প মন্ত্রণালয়")</f>
        <v>শিল্প মন্ত্রণালয়</v>
      </c>
    </row>
    <row r="4753">
      <c r="A4753" s="2" t="s">
        <v>1486</v>
      </c>
      <c r="B4753" s="3" t="str">
        <f>IFERROR(__xludf.DUMMYFUNCTION("GOOGLETRANSLATE(A4753, ""ar"", ""bn"")"),"বিমান চলাচল মন্ত্রণালয়ের")</f>
        <v>বিমান চলাচল মন্ত্রণালয়ের</v>
      </c>
    </row>
    <row r="4754">
      <c r="A4754" s="2" t="s">
        <v>1502</v>
      </c>
      <c r="B4754" s="3" t="str">
        <f>IFERROR(__xludf.DUMMYFUNCTION("GOOGLETRANSLATE(A4754, ""ar"", ""bn"")"),"বিচার মন্ত্রণালয়")</f>
        <v>বিচার মন্ত্রণালয়</v>
      </c>
    </row>
    <row r="4755">
      <c r="A4755" s="2" t="s">
        <v>1503</v>
      </c>
      <c r="B4755" s="3" t="str">
        <f>IFERROR(__xludf.DUMMYFUNCTION("GOOGLETRANSLATE(A4755, ""ar"", ""bn"")"),"শ্রম মন্ত্রণালয়")</f>
        <v>শ্রম মন্ত্রণালয়</v>
      </c>
    </row>
    <row r="4756">
      <c r="A4756" s="2" t="s">
        <v>1491</v>
      </c>
      <c r="B4756" s="3" t="str">
        <f>IFERROR(__xludf.DUMMYFUNCTION("GOOGLETRANSLATE(A4756, ""ar"", ""bn"")"),"বিদ্যুৎ মন্ত্রণালয়")</f>
        <v>বিদ্যুৎ মন্ত্রণালয়</v>
      </c>
    </row>
    <row r="4757">
      <c r="A4757" s="2" t="s">
        <v>1496</v>
      </c>
      <c r="B4757" s="3" t="str">
        <f>IFERROR(__xludf.DUMMYFUNCTION("GOOGLETRANSLATE(A4757, ""ar"", ""bn"")"),"অর্থ মন্ত্রণালয়")</f>
        <v>অর্থ মন্ত্রণালয়</v>
      </c>
    </row>
    <row r="4758">
      <c r="A4758" s="2" t="s">
        <v>1493</v>
      </c>
      <c r="B4758" s="3" t="str">
        <f>IFERROR(__xludf.DUMMYFUNCTION("GOOGLETRANSLATE(A4758, ""ar"", ""bn"")"),"প্রবাসী মন্ত্রণালয়")</f>
        <v>প্রবাসী মন্ত্রণালয়</v>
      </c>
    </row>
    <row r="4759">
      <c r="A4759" s="2" t="s">
        <v>1507</v>
      </c>
      <c r="B4759" s="3" t="str">
        <f>IFERROR(__xludf.DUMMYFUNCTION("GOOGLETRANSLATE(A4759, ""ar"", ""bn"")"),"তেল ও খনিজ সম্পদ মন্ত্রণালয়")</f>
        <v>তেল ও খনিজ সম্পদ মন্ত্রণালয়</v>
      </c>
    </row>
    <row r="4760">
      <c r="A4760" s="2" t="s">
        <v>1513</v>
      </c>
      <c r="B4760" s="3" t="str">
        <f>IFERROR(__xludf.DUMMYFUNCTION("GOOGLETRANSLATE(A4760, ""ar"", ""bn"")"),"পরিবহন মন্ত্রণালয়")</f>
        <v>পরিবহন মন্ত্রণালয়</v>
      </c>
    </row>
    <row r="4761">
      <c r="A4761" s="2" t="s">
        <v>2490</v>
      </c>
      <c r="B4761" s="3" t="str">
        <f>IFERROR(__xludf.DUMMYFUNCTION("GOOGLETRANSLATE(A4761, ""ar"", ""bn"")"),"মন্ত্রণালয় রূপান্তরটি")</f>
        <v>মন্ত্রণালয় রূপান্তরটি</v>
      </c>
    </row>
    <row r="4762">
      <c r="A4762" s="2" t="s">
        <v>1514</v>
      </c>
      <c r="B4762" s="3" t="str">
        <f>IFERROR(__xludf.DUMMYFUNCTION("GOOGLETRANSLATE(A4762, ""ar"", ""bn"")"),"যুদ্ধ মন্ত্রণালয়ের")</f>
        <v>যুদ্ধ মন্ত্রণালয়ের</v>
      </c>
    </row>
    <row r="4763">
      <c r="A4763" s="2" t="s">
        <v>2278</v>
      </c>
      <c r="B4763" s="3" t="str">
        <f>IFERROR(__xludf.DUMMYFUNCTION("GOOGLETRANSLATE(A4763, ""ar"", ""bn"")"),"মন্ত্রণালয়ের অধীনে")</f>
        <v>মন্ত্রণালয়ের অধীনে</v>
      </c>
    </row>
    <row r="4764">
      <c r="A4764" s="2" t="s">
        <v>1479</v>
      </c>
      <c r="B4764" s="3" t="str">
        <f>IFERROR(__xludf.DUMMYFUNCTION("GOOGLETRANSLATE(A4764, ""ar"", ""bn"")"),"মন্ত্রী")</f>
        <v>মন্ত্রী</v>
      </c>
    </row>
    <row r="4765">
      <c r="A4765" s="2" t="s">
        <v>1005</v>
      </c>
      <c r="B4765" s="3" t="str">
        <f>IFERROR(__xludf.DUMMYFUNCTION("GOOGLETRANSLATE(A4765, ""ar"", ""bn"")"),"পররাষ্ট্র মন্ত্রী")</f>
        <v>পররাষ্ট্র মন্ত্রী</v>
      </c>
    </row>
    <row r="4766">
      <c r="A4766" s="2" t="s">
        <v>174</v>
      </c>
      <c r="B4766" s="3" t="str">
        <f>IFERROR(__xludf.DUMMYFUNCTION("GOOGLETRANSLATE(A4766, ""ar"", ""bn"")"),"ভারপ্রাপ্ত মন্ত্রী")</f>
        <v>ভারপ্রাপ্ত মন্ত্রী</v>
      </c>
    </row>
    <row r="4767">
      <c r="A4767" s="2" t="s">
        <v>2246</v>
      </c>
      <c r="B4767" s="3" t="str">
        <f>IFERROR(__xludf.DUMMYFUNCTION("GOOGLETRANSLATE(A4767, ""ar"", ""bn"")"),"প্রতিমন্ত্রী")</f>
        <v>প্রতিমন্ত্রী</v>
      </c>
    </row>
    <row r="4768">
      <c r="A4768" s="2" t="s">
        <v>1022</v>
      </c>
      <c r="B4768" s="3" t="str">
        <f>IFERROR(__xludf.DUMMYFUNCTION("GOOGLETRANSLATE(A4768, ""ar"", ""bn"")"),"সাবেক মন্ত্রী")</f>
        <v>সাবেক মন্ত্রী</v>
      </c>
    </row>
    <row r="4769">
      <c r="A4769" s="2" t="s">
        <v>1482</v>
      </c>
      <c r="B4769" s="3" t="str">
        <f>IFERROR(__xludf.DUMMYFUNCTION("GOOGLETRANSLATE(A4769, ""ar"", ""bn"")"),"মন্ত্রী")</f>
        <v>মন্ত্রী</v>
      </c>
    </row>
    <row r="4770">
      <c r="A4770" s="2" t="s">
        <v>1443</v>
      </c>
      <c r="B4770" s="3" t="str">
        <f>IFERROR(__xludf.DUMMYFUNCTION("GOOGLETRANSLATE(A4770, ""ar"", ""bn"")"),"মিডিয়া")</f>
        <v>মিডিয়া</v>
      </c>
    </row>
    <row r="4771">
      <c r="A4771" s="2" t="s">
        <v>1444</v>
      </c>
      <c r="B4771" s="3" t="str">
        <f>IFERROR(__xludf.DUMMYFUNCTION("GOOGLETRANSLATE(A4771, ""ar"", ""bn"")"),"প্রকাশ করা মিডিয়া এবং বিজ্ঞাপন")</f>
        <v>প্রকাশ করা মিডিয়া এবং বিজ্ঞাপন</v>
      </c>
    </row>
    <row r="4772">
      <c r="A4772" s="2" t="s">
        <v>753</v>
      </c>
      <c r="B4772" s="3" t="str">
        <f>IFERROR(__xludf.DUMMYFUNCTION("GOOGLETRANSLATE(A4772, ""ar"", ""bn"")"),"কূটনৈতিক মধ্যস্থতা")</f>
        <v>কূটনৈতিক মধ্যস্থতা</v>
      </c>
    </row>
    <row r="4773">
      <c r="A4773" s="2" t="s">
        <v>1252</v>
      </c>
      <c r="B4773" s="3" t="str">
        <f>IFERROR(__xludf.DUMMYFUNCTION("GOOGLETRANSLATE(A4773, ""ar"", ""bn"")"),"আন্তর্জাতিক মধ্যস্থতা")</f>
        <v>আন্তর্জাতিক মধ্যস্থতা</v>
      </c>
    </row>
    <row r="4774">
      <c r="A4774" s="2" t="s">
        <v>1700</v>
      </c>
      <c r="B4774" s="3" t="str">
        <f>IFERROR(__xludf.DUMMYFUNCTION("GOOGLETRANSLATE(A4774, ""ar"", ""bn"")"),"অর্ডার অফ মেরিট")</f>
        <v>অর্ডার অফ মেরিট</v>
      </c>
    </row>
    <row r="4775">
      <c r="A4775" s="2" t="s">
        <v>1135</v>
      </c>
      <c r="B4775" s="3" t="str">
        <f>IFERROR(__xludf.DUMMYFUNCTION("GOOGLETRANSLATE(A4775, ""ar"", ""bn"")"),"বন্দীদের মানবিক অবস্থা")</f>
        <v>বন্দীদের মানবিক অবস্থা</v>
      </c>
    </row>
    <row r="4776">
      <c r="A4776" s="2" t="s">
        <v>1895</v>
      </c>
      <c r="B4776" s="3" t="str">
        <f>IFERROR(__xludf.DUMMYFUNCTION("GOOGLETRANSLATE(A4776, ""ar"", ""bn"")"),"রাজনৈতিক অবস্থা")</f>
        <v>রাজনৈতিক অবস্থা</v>
      </c>
    </row>
    <row r="4777">
      <c r="A4777" s="2" t="s">
        <v>1282</v>
      </c>
      <c r="B4777" s="3" t="str">
        <f>IFERROR(__xludf.DUMMYFUNCTION("GOOGLETRANSLATE(A4777, ""ar"", ""bn"")"),"আন্তর্জাতিক রাজনৈতিক পরিস্থিতি")</f>
        <v>আন্তর্জাতিক রাজনৈতিক পরিস্থিতি</v>
      </c>
    </row>
    <row r="4778">
      <c r="A4778" s="2" t="s">
        <v>2693</v>
      </c>
      <c r="B4778" s="3" t="str">
        <f>IFERROR(__xludf.DUMMYFUNCTION("GOOGLETRANSLATE(A4778, ""ar"", ""bn"")"),"বিশ্বব্যাপী রাজনৈতিক পরিস্থিতি")</f>
        <v>বিশ্বব্যাপী রাজনৈতিক পরিস্থিতি</v>
      </c>
    </row>
    <row r="4779">
      <c r="A4779" s="2" t="s">
        <v>1470</v>
      </c>
      <c r="B4779" s="3" t="str">
        <f>IFERROR(__xludf.DUMMYFUNCTION("GOOGLETRANSLATE(A4779, ""ar"", ""bn"")"),"সামরিক অবস্থা")</f>
        <v>সামরিক অবস্থা</v>
      </c>
    </row>
    <row r="4780">
      <c r="A4780" s="2" t="s">
        <v>2689</v>
      </c>
      <c r="B4780" s="3" t="str">
        <f>IFERROR(__xludf.DUMMYFUNCTION("GOOGLETRANSLATE(A4780, ""ar"", ""bn"")"),"আন্তর্জাতিক সামরিক অবস্থা")</f>
        <v>আন্তর্জাতিক সামরিক অবস্থা</v>
      </c>
    </row>
    <row r="4781">
      <c r="A4781" s="2" t="s">
        <v>1348</v>
      </c>
      <c r="B4781" s="3" t="str">
        <f>IFERROR(__xludf.DUMMYFUNCTION("GOOGLETRANSLATE(A4781, ""ar"", ""bn"")"),"বিদেশীদের আইনি অবস্থা")</f>
        <v>বিদেশীদের আইনি অবস্থা</v>
      </c>
    </row>
    <row r="4782">
      <c r="A4782" s="2" t="s">
        <v>2849</v>
      </c>
      <c r="B4782" s="3" t="str">
        <f>IFERROR(__xludf.DUMMYFUNCTION("GOOGLETRANSLATE(A4782, ""ar"", ""bn"")"),"সঠিক কূটনৈতিক অবস্থা বা শেক জ")</f>
        <v>সঠিক কূটনৈতিক অবস্থা বা শেক জ</v>
      </c>
    </row>
    <row r="4783">
      <c r="A4783" s="2" t="s">
        <v>626</v>
      </c>
      <c r="B4783" s="3" t="str">
        <f>IFERROR(__xludf.DUMMYFUNCTION("GOOGLETRANSLATE(A4783, ""ar"", ""bn"")"),"আন্তর্জাতিক পরিস্থিতি সঠিক বা কম্পনের জ")</f>
        <v>আন্তর্জাতিক পরিস্থিতি সঠিক বা কম্পনের জ</v>
      </c>
    </row>
    <row r="4784">
      <c r="A4784" s="2" t="s">
        <v>2627</v>
      </c>
      <c r="B4784" s="3" t="str">
        <f>IFERROR(__xludf.DUMMYFUNCTION("GOOGLETRANSLATE(A4784, ""ar"", ""bn"")"),"রাজনৈতিক পরিস্থিতি বাঁধানো ঘ")</f>
        <v>রাজনৈতিক পরিস্থিতি বাঁধানো ঘ</v>
      </c>
    </row>
    <row r="4785">
      <c r="A4785" s="2" t="s">
        <v>859</v>
      </c>
      <c r="B4785" s="3" t="str">
        <f>IFERROR(__xludf.DUMMYFUNCTION("GOOGLETRANSLATE(A4785, ""ar"", ""bn"")"),"জরুরি অবস্থা")</f>
        <v>জরুরি অবস্থা</v>
      </c>
    </row>
    <row r="4786">
      <c r="A4786" s="2" t="s">
        <v>2850</v>
      </c>
      <c r="B4786" s="3" t="str">
        <f>IFERROR(__xludf.DUMMYFUNCTION("GOOGLETRANSLATE(A4786, ""ar"", ""bn"")"),"জন্মভূমি দেশ মাথা খোলস")</f>
        <v>জন্মভূমি দেশ মাথা খোলস</v>
      </c>
    </row>
    <row r="4787">
      <c r="A4787" s="2" t="s">
        <v>337</v>
      </c>
      <c r="B4787" s="3" t="str">
        <f>IFERROR(__xludf.DUMMYFUNCTION("GOOGLETRANSLATE(A4787, ""ar"", ""bn"")"),"বেলফোর ঘোষণা")</f>
        <v>বেলফোর ঘোষণা</v>
      </c>
    </row>
    <row r="4788">
      <c r="A4788" s="2" t="s">
        <v>667</v>
      </c>
      <c r="B4788" s="3" t="str">
        <f>IFERROR(__xludf.DUMMYFUNCTION("GOOGLETRANSLATE(A4788, ""ar"", ""bn"")"),"প্রতিনিধিদল")</f>
        <v>প্রতিনিধিদল</v>
      </c>
    </row>
    <row r="4789">
      <c r="A4789" s="2" t="s">
        <v>735</v>
      </c>
      <c r="B4789" s="3" t="str">
        <f>IFERROR(__xludf.DUMMYFUNCTION("GOOGLETRANSLATE(A4789, ""ar"", ""bn"")"),"কূটনৈতিক প্রতিনিধিদল")</f>
        <v>কূটনৈতিক প্রতিনিধিদল</v>
      </c>
    </row>
    <row r="4790">
      <c r="A4790" s="2" t="s">
        <v>1821</v>
      </c>
      <c r="B4790" s="3" t="str">
        <f>IFERROR(__xludf.DUMMYFUNCTION("GOOGLETRANSLATE(A4790, ""ar"", ""bn"")"),"রাজনৈতিক প্রতিনিধি দল")</f>
        <v>রাজনৈতিক প্রতিনিধি দল</v>
      </c>
    </row>
    <row r="4791">
      <c r="A4791" s="2" t="s">
        <v>1445</v>
      </c>
      <c r="B4791" s="3" t="str">
        <f>IFERROR(__xludf.DUMMYFUNCTION("GOOGLETRANSLATE(A4791, ""ar"", ""bn"")"),"ঐতিহাসিক ঘটনা সত্যায়িত")</f>
        <v>ঐতিহাসিক ঘটনা সত্যায়িত</v>
      </c>
    </row>
    <row r="4792">
      <c r="A4792" s="2" t="s">
        <v>401</v>
      </c>
      <c r="B4792" s="3" t="str">
        <f>IFERROR(__xludf.DUMMYFUNCTION("GOOGLETRANSLATE(A4792, ""ar"", ""bn"")"),"যুদ্ধবিরতি")</f>
        <v>যুদ্ধবিরতি</v>
      </c>
    </row>
    <row r="4793">
      <c r="A4793" s="2" t="s">
        <v>2425</v>
      </c>
      <c r="B4793" s="3" t="str">
        <f>IFERROR(__xludf.DUMMYFUNCTION("GOOGLETRANSLATE(A4793, ""ar"", ""bn"")"),"একটি স্থায়ী যুদ্ধবিরতির")</f>
        <v>একটি স্থায়ী যুদ্ধবিরতির</v>
      </c>
    </row>
    <row r="4794">
      <c r="A4794" s="2" t="s">
        <v>1655</v>
      </c>
      <c r="B4794" s="3" t="str">
        <f>IFERROR(__xludf.DUMMYFUNCTION("GOOGLETRANSLATE(A4794, ""ar"", ""bn"")"),"এক কর্মকর্তা স্টপ যুদ্ধ")</f>
        <v>এক কর্মকর্তা স্টপ যুদ্ধ</v>
      </c>
    </row>
    <row r="4795">
      <c r="A4795" s="2" t="s">
        <v>1038</v>
      </c>
      <c r="B4795" s="3" t="str">
        <f>IFERROR(__xludf.DUMMYFUNCTION("GOOGLETRANSLATE(A4795, ""ar"", ""bn"")"),"কম্প্রিহেনসিভ যুদ্ধবিরতি")</f>
        <v>কম্প্রিহেনসিভ যুদ্ধবিরতি</v>
      </c>
    </row>
    <row r="4796">
      <c r="A4796" s="2" t="s">
        <v>2851</v>
      </c>
      <c r="B4796" s="3" t="str">
        <f>IFERROR(__xludf.DUMMYFUNCTION("GOOGLETRANSLATE(A4796, ""ar"", ""bn"")"),"একটি নিঃশর্ত যুদ্ধবিরতি")</f>
        <v>একটি নিঃশর্ত যুদ্ধবিরতি</v>
      </c>
    </row>
    <row r="4797">
      <c r="A4797" s="2" t="s">
        <v>1143</v>
      </c>
      <c r="B4797" s="3" t="str">
        <f>IFERROR(__xludf.DUMMYFUNCTION("GOOGLETRANSLATE(A4797, ""ar"", ""bn"")"),"তাৎক্ষণিক যুদ্ধবিরতি")</f>
        <v>তাৎক্ষণিক যুদ্ধবিরতি</v>
      </c>
    </row>
    <row r="4798">
      <c r="A4798" s="2" t="s">
        <v>2421</v>
      </c>
      <c r="B4798" s="3" t="str">
        <f>IFERROR(__xludf.DUMMYFUNCTION("GOOGLETRANSLATE(A4798, ""ar"", ""bn"")"),"যুদ্ধ একটি অস্থায়ী স্থগিত")</f>
        <v>যুদ্ধ একটি অস্থায়ী স্থগিত</v>
      </c>
    </row>
    <row r="4799">
      <c r="A4799" s="2" t="s">
        <v>1207</v>
      </c>
      <c r="B4799" s="3" t="str">
        <f>IFERROR(__xludf.DUMMYFUNCTION("GOOGLETRANSLATE(A4799, ""ar"", ""bn"")"),"ইন্টারন্যাশনাল এনার্জি এজেন্সির পিষিয়া মিহি গুঁড়া ইয়ে")</f>
        <v>ইন্টারন্যাশনাল এনার্জি এজেন্সির পিষিয়া মিহি গুঁড়া ইয়ে</v>
      </c>
    </row>
    <row r="4800">
      <c r="A4800" s="2" t="s">
        <v>310</v>
      </c>
      <c r="B4800" s="3" t="str">
        <f>IFERROR(__xludf.DUMMYFUNCTION("GOOGLETRANSLATE(A4800, ""ar"", ""bn"")"),"অনুমোদিত প্রতিনিধি")</f>
        <v>অনুমোদিত প্রতিনিধি</v>
      </c>
    </row>
    <row r="4801">
      <c r="A4801" s="2" t="s">
        <v>2852</v>
      </c>
      <c r="B4801" s="3" t="str">
        <f>IFERROR(__xludf.DUMMYFUNCTION("GOOGLETRANSLATE(A4801, ""ar"", ""bn"")"),"আর অনুগত বশ্যতা")</f>
        <v>আর অনুগত বশ্যতা</v>
      </c>
    </row>
    <row r="4802">
      <c r="A4802" s="2" t="s">
        <v>1570</v>
      </c>
      <c r="B4802" s="3" t="str">
        <f>IFERROR(__xludf.DUMMYFUNCTION("GOOGLETRANSLATE(A4802, ""ar"", ""bn"")"),"জাতীয় আনুগত্য")</f>
        <v>জাতীয় আনুগত্য</v>
      </c>
    </row>
    <row r="4803">
      <c r="A4803" s="2" t="s">
        <v>221</v>
      </c>
      <c r="B4803" s="3" t="str">
        <f>IFERROR(__xludf.DUMMYFUNCTION("GOOGLETRANSLATE(A4803, ""ar"", ""bn"")"),"রাষ্ট্র আনুগত্য")</f>
        <v>রাষ্ট্র আনুগত্য</v>
      </c>
    </row>
    <row r="4804">
      <c r="A4804" s="2" t="s">
        <v>2630</v>
      </c>
      <c r="B4804" s="3" t="str">
        <f>IFERROR(__xludf.DUMMYFUNCTION("GOOGLETRANSLATE(A4804, ""ar"", ""bn"")"),"যুদ্ধের চাবুক")</f>
        <v>যুদ্ধের চাবুক</v>
      </c>
    </row>
    <row r="4805">
      <c r="A4805" s="2" t="s">
        <v>1448</v>
      </c>
      <c r="B4805" s="3" t="str">
        <f>IFERROR(__xludf.DUMMYFUNCTION("GOOGLETRANSLATE(A4805, ""ar"", ""bn"")"),"ইতিহাস দিন")</f>
        <v>ইতিহাস দিন</v>
      </c>
    </row>
    <row r="4806">
      <c r="A4806" s="2" t="s">
        <v>2204</v>
      </c>
      <c r="B4806" s="3" t="str">
        <f>IFERROR(__xludf.DUMMYFUNCTION("GOOGLETRANSLATE(A4806, ""ar"", ""bn"")"),"অধিকার")</f>
        <v>অধিকার</v>
      </c>
    </row>
    <row r="4807">
      <c r="A4807" s="2" t="s">
        <v>950</v>
      </c>
      <c r="B4807" s="3" t="str">
        <f>IFERROR(__xludf.DUMMYFUNCTION("GOOGLETRANSLATE(A4807, ""ar"", ""bn"")"),"পি-ডান Mttr")</f>
        <v>পি-ডান Mttr</v>
      </c>
    </row>
    <row r="4808">
      <c r="A4808" s="2" t="s">
        <v>558</v>
      </c>
      <c r="B4808" s="3" t="str">
        <f>IFERROR(__xludf.DUMMYFUNCTION("GOOGLETRANSLATE(A4808, ""ar"", ""bn"")"),"সংবিধান আনুগত্যের শপথ")</f>
        <v>সংবিধান আনুগত্যের শপথ</v>
      </c>
    </row>
    <row r="4809">
      <c r="A4809" s="2" t="s">
        <v>219</v>
      </c>
      <c r="B4809" s="3" t="str">
        <f>IFERROR(__xludf.DUMMYFUNCTION("GOOGLETRANSLATE(A4809, ""ar"", ""bn"")"),"স্বদেশে আনুগত্যের শপথ")</f>
        <v>স্বদেশে আনুগত্যের শপথ</v>
      </c>
    </row>
    <row r="4810">
      <c r="A4810" s="2" t="s">
        <v>2853</v>
      </c>
      <c r="B4810" s="3" t="str">
        <f>IFERROR(__xludf.DUMMYFUNCTION("GOOGLETRANSLATE(A4810, ""ar"", ""bn"")"),"তৃতীয় অংশ")</f>
        <v>তৃতীয় অংশ</v>
      </c>
    </row>
    <row r="4811">
      <c r="A4811" s="2" t="s">
        <v>2854</v>
      </c>
      <c r="B4811" s="3" t="str">
        <f>IFERROR(__xludf.DUMMYFUNCTION("GOOGLETRANSLATE(A4811, ""ar"", ""bn"")"),"ক্রিয়ার তালিকা কূটনীতি ব্যবহৃত")</f>
        <v>ক্রিয়ার তালিকা কূটনীতি ব্যবহৃত</v>
      </c>
    </row>
    <row r="4812">
      <c r="A4812" s="2" t="s">
        <v>2855</v>
      </c>
      <c r="B4812" s="3" t="str">
        <f>IFERROR(__xludf.DUMMYFUNCTION("GOOGLETRANSLATE(A4812, ""ar"", ""bn"")"),"নীতি")</f>
        <v>নীতি</v>
      </c>
    </row>
    <row r="4813">
      <c r="A4813" s="2" t="s">
        <v>177</v>
      </c>
      <c r="B4813" s="3" t="str">
        <f>IFERROR(__xludf.DUMMYFUNCTION("GOOGLETRANSLATE(A4813, ""ar"", ""bn"")"),"কূটনৈতিক আলোচনার জন্য Amaj")</f>
        <v>কূটনৈতিক আলোচনার জন্য Amaj</v>
      </c>
    </row>
    <row r="4814">
      <c r="A4814" s="2" t="s">
        <v>657</v>
      </c>
      <c r="B4814" s="3" t="str">
        <f>IFERROR(__xludf.DUMMYFUNCTION("GOOGLETRANSLATE(A4814, ""ar"", ""bn"")"),"Amagel বর্ণন")</f>
        <v>Amagel বর্ণন</v>
      </c>
    </row>
    <row r="4815">
      <c r="A4815" s="2" t="s">
        <v>158</v>
      </c>
      <c r="B4815" s="3" t="str">
        <f>IFERROR(__xludf.DUMMYFUNCTION("GOOGLETRANSLATE(A4815, ""ar"", ""bn"")"),"কূটনৈতিক মিশন বাড়ে")</f>
        <v>কূটনৈতিক মিশন বাড়ে</v>
      </c>
    </row>
    <row r="4816">
      <c r="A4816" s="2" t="s">
        <v>530</v>
      </c>
      <c r="B4816" s="3" t="str">
        <f>IFERROR(__xludf.DUMMYFUNCTION("GOOGLETRANSLATE(A4816, ""ar"", ""bn"")"),"রাজনৈতিক পরিস্থিতির উপর Amakd")</f>
        <v>রাজনৈতিক পরিস্থিতির উপর Amakd</v>
      </c>
    </row>
    <row r="4817">
      <c r="A4817" s="2" t="s">
        <v>2024</v>
      </c>
      <c r="B4817" s="3" t="str">
        <f>IFERROR(__xludf.DUMMYFUNCTION("GOOGLETRANSLATE(A4817, ""ar"", ""bn"")"),"Amam এন মানবিক সাহায্য")</f>
        <v>Amam এন মানবিক সাহায্য</v>
      </c>
    </row>
    <row r="4818">
      <c r="A4818" s="2" t="s">
        <v>2424</v>
      </c>
      <c r="B4818" s="3" t="str">
        <f>IFERROR(__xludf.DUMMYFUNCTION("GOOGLETRANSLATE(A4818, ""ar"", ""bn"")"),"Amaad রাজনৈতিক সিদ্ধান্ত")</f>
        <v>Amaad রাজনৈতিক সিদ্ধান্ত</v>
      </c>
    </row>
    <row r="4819">
      <c r="A4819" s="2" t="s">
        <v>2440</v>
      </c>
      <c r="B4819" s="3" t="str">
        <f>IFERROR(__xludf.DUMMYFUNCTION("GOOGLETRANSLATE(A4819, ""ar"", ""bn"")"),"একাউন্টে গ্রহণ সুপারিশ")</f>
        <v>একাউন্টে গ্রহণ সুপারিশ</v>
      </c>
    </row>
    <row r="4820">
      <c r="A4820" s="2" t="s">
        <v>184</v>
      </c>
      <c r="B4820" s="3" t="str">
        <f>IFERROR(__xludf.DUMMYFUNCTION("GOOGLETRANSLATE(A4820, ""ar"", ""bn"")"),"এটা তোলে সংখ্যাগরিষ্ঠের মতামত নেয়")</f>
        <v>এটা তোলে সংখ্যাগরিষ্ঠের মতামত নেয়</v>
      </c>
    </row>
    <row r="4821">
      <c r="A4821" s="2" t="s">
        <v>182</v>
      </c>
      <c r="B4821" s="3" t="str">
        <f>IFERROR(__xludf.DUMMYFUNCTION("GOOGLETRANSLATE(A4821, ""ar"", ""bn"")"),"এটা তোলে পণ্ডিতদের মতামত নেয়")</f>
        <v>এটা তোলে পণ্ডিতদের মতামত নেয়</v>
      </c>
    </row>
    <row r="4822">
      <c r="A4822" s="2" t="s">
        <v>2429</v>
      </c>
      <c r="B4822" s="3" t="str">
        <f>IFERROR(__xludf.DUMMYFUNCTION("GOOGLETRANSLATE(A4822, ""ar"", ""bn"")"),"এটা তোলে নেতৃত্ব লাগে")</f>
        <v>এটা তোলে নেতৃত্ব লাগে</v>
      </c>
    </row>
    <row r="4823">
      <c r="A4823" s="2" t="s">
        <v>2856</v>
      </c>
      <c r="B4823" s="3" t="str">
        <f>IFERROR(__xludf.DUMMYFUNCTION("GOOGLETRANSLATE(A4823, ""ar"", ""bn"")"),"এটা তোলে কূটনৈতিক উদ্যোগের লাগাম লাগে")</f>
        <v>এটা তোলে কূটনৈতিক উদ্যোগের লাগাম লাগে</v>
      </c>
    </row>
    <row r="4824">
      <c r="A4824" s="2" t="s">
        <v>2432</v>
      </c>
      <c r="B4824" s="3" t="str">
        <f>IFERROR(__xludf.DUMMYFUNCTION("GOOGLETRANSLATE(A4824, ""ar"", ""bn"")"),"বিবেচনা করা")</f>
        <v>বিবেচনা করা</v>
      </c>
    </row>
    <row r="4825">
      <c r="A4825" s="2" t="s">
        <v>2857</v>
      </c>
      <c r="B4825" s="3" t="str">
        <f>IFERROR(__xludf.DUMMYFUNCTION("GOOGLETRANSLATE(A4825, ""ar"", ""bn"")"),"এটা রাজনৈতিক ঘটনা লক্ষ করেন")</f>
        <v>এটা রাজনৈতিক ঘটনা লক্ষ করেন</v>
      </c>
    </row>
    <row r="4826">
      <c r="A4826" s="2" t="s">
        <v>2438</v>
      </c>
      <c r="B4826" s="3" t="str">
        <f>IFERROR(__xludf.DUMMYFUNCTION("GOOGLETRANSLATE(A4826, ""ar"", ""bn"")"),"Ambaght শত্রু")</f>
        <v>Ambaght শত্রু</v>
      </c>
    </row>
    <row r="4827">
      <c r="A4827" s="2" t="s">
        <v>989</v>
      </c>
      <c r="B4827" s="3" t="str">
        <f>IFERROR(__xludf.DUMMYFUNCTION("GOOGLETRANSLATE(A4827, ""ar"", ""bn"")"),"Amtaba রাজনৈতিক ঘটনা")</f>
        <v>Amtaba রাজনৈতিক ঘটনা</v>
      </c>
    </row>
    <row r="4828">
      <c r="A4828" s="2" t="s">
        <v>157</v>
      </c>
      <c r="B4828" s="3" t="str">
        <f>IFERROR(__xludf.DUMMYFUNCTION("GOOGLETRANSLATE(A4828, ""ar"", ""bn"")"),"রাজনৈতিক পরিস্থিতি মানিয়ে")</f>
        <v>রাজনৈতিক পরিস্থিতি মানিয়ে</v>
      </c>
    </row>
    <row r="4829">
      <c r="A4829" s="2" t="s">
        <v>2858</v>
      </c>
      <c r="B4829" s="3" t="str">
        <f>IFERROR(__xludf.DUMMYFUNCTION("GOOGLETRANSLATE(A4829, ""ar"", ""bn"")"),"প্রস্তাবনা বা ধীরতা মতে NIE অনুশোচিত")</f>
        <v>প্রস্তাবনা বা ধীরতা মতে NIE অনুশোচিত</v>
      </c>
    </row>
    <row r="4830">
      <c r="A4830" s="2" t="s">
        <v>183</v>
      </c>
      <c r="B4830" s="3" t="str">
        <f>IFERROR(__xludf.DUMMYFUNCTION("GOOGLETRANSLATE(A4830, ""ar"", ""bn"")"),"রাজনৈতিক মতামত গ্রহণ")</f>
        <v>রাজনৈতিক মতামত গ্রহণ</v>
      </c>
    </row>
    <row r="4831">
      <c r="A4831" s="2" t="s">
        <v>181</v>
      </c>
      <c r="B4831" s="3" t="str">
        <f>IFERROR(__xludf.DUMMYFUNCTION("GOOGLETRANSLATE(A4831, ""ar"", ""bn"")"),"জেড কূটনৈতিক প্রস্তাব গ্রহণ")</f>
        <v>জেড কূটনৈতিক প্রস্তাব গ্রহণ</v>
      </c>
    </row>
    <row r="4832">
      <c r="A4832" s="2" t="s">
        <v>795</v>
      </c>
      <c r="B4832" s="3" t="str">
        <f>IFERROR(__xludf.DUMMYFUNCTION("GOOGLETRANSLATE(A4832, ""ar"", ""bn"")"),"উপেক্ষা করে সতর্কবার্তা")</f>
        <v>উপেক্ষা করে সতর্কবার্তা</v>
      </c>
    </row>
    <row r="4833">
      <c r="A4833" s="2" t="s">
        <v>794</v>
      </c>
      <c r="B4833" s="3" t="str">
        <f>IFERROR(__xludf.DUMMYFUNCTION("GOOGLETRANSLATE(A4833, ""ar"", ""bn"")"),"উপেক্ষা করে সতর্কবার্তা")</f>
        <v>উপেক্ষা করে সতর্কবার্তা</v>
      </c>
    </row>
    <row r="4834">
      <c r="A4834" s="2" t="s">
        <v>2859</v>
      </c>
      <c r="B4834" s="3" t="str">
        <f>IFERROR(__xludf.DUMMYFUNCTION("GOOGLETRANSLATE(A4834, ""ar"", ""bn"")"),"মানুষের আকাঙ্খার সাড়া")</f>
        <v>মানুষের আকাঙ্খার সাড়া</v>
      </c>
    </row>
    <row r="4835">
      <c r="A4835" s="2" t="s">
        <v>1706</v>
      </c>
      <c r="B4835" s="3" t="str">
        <f>IFERROR(__xludf.DUMMYFUNCTION("GOOGLETRANSLATE(A4835, ""ar"", ""bn"")"),"রাজনৈতিক অবমুক্ত বিয়ন্ড")</f>
        <v>রাজনৈতিক অবমুক্ত বিয়ন্ড</v>
      </c>
    </row>
    <row r="4836">
      <c r="A4836" s="2" t="s">
        <v>319</v>
      </c>
      <c r="B4836" s="3" t="str">
        <f>IFERROR(__xludf.DUMMYFUNCTION("GOOGLETRANSLATE(A4836, ""ar"", ""bn"")"),"এড়াতে মোকাবিলার")</f>
        <v>এড়াতে মোকাবিলার</v>
      </c>
    </row>
    <row r="4837">
      <c r="A4837" s="2" t="s">
        <v>665</v>
      </c>
      <c r="B4837" s="3" t="str">
        <f>IFERROR(__xludf.DUMMYFUNCTION("GOOGLETRANSLATE(A4837, ""ar"", ""bn"")"),"জেড জনমত সম্মিলন")</f>
        <v>জেড জনমত সম্মিলন</v>
      </c>
    </row>
    <row r="4838">
      <c r="A4838" s="2" t="s">
        <v>664</v>
      </c>
      <c r="B4838" s="3" t="str">
        <f>IFERROR(__xludf.DUMMYFUNCTION("GOOGLETRANSLATE(A4838, ""ar"", ""bn"")"),"জেড আন্তর্জাতিক জনমত সম্মিলন")</f>
        <v>জেড আন্তর্জাতিক জনমত সম্মিলন</v>
      </c>
    </row>
    <row r="4839">
      <c r="A4839" s="2" t="s">
        <v>2435</v>
      </c>
      <c r="B4839" s="3" t="str">
        <f>IFERROR(__xludf.DUMMYFUNCTION("GOOGLETRANSLATE(A4839, ""ar"", ""bn"")"),"পূর্ব সতর্কতা গ্রহন করুন")</f>
        <v>পূর্ব সতর্কতা গ্রহন করুন</v>
      </c>
    </row>
    <row r="4840">
      <c r="A4840" s="2" t="s">
        <v>2436</v>
      </c>
      <c r="B4840" s="3" t="str">
        <f>IFERROR(__xludf.DUMMYFUNCTION("GOOGLETRANSLATE(A4840, ""ar"", ""bn"")"),"জে আশ্রয় নেবে")</f>
        <v>জে আশ্রয় নেবে</v>
      </c>
    </row>
    <row r="4841">
      <c r="A4841" s="2" t="s">
        <v>2437</v>
      </c>
      <c r="B4841" s="3" t="str">
        <f>IFERROR(__xludf.DUMMYFUNCTION("GOOGLETRANSLATE(A4841, ""ar"", ""bn"")"),"জে আত্মরক্ষামূলক নেবে")</f>
        <v>জে আত্মরক্ষামূলক নেবে</v>
      </c>
    </row>
    <row r="4842">
      <c r="A4842" s="2" t="s">
        <v>2439</v>
      </c>
      <c r="B4842" s="3" t="str">
        <f>IFERROR(__xludf.DUMMYFUNCTION("GOOGLETRANSLATE(A4842, ""ar"", ""bn"")"),"জে আক্রমণের অবস্থান নেবে")</f>
        <v>জে আক্রমণের অবস্থান নেবে</v>
      </c>
    </row>
    <row r="4843">
      <c r="A4843" s="2" t="s">
        <v>2582</v>
      </c>
      <c r="B4843" s="3" t="str">
        <f>IFERROR(__xludf.DUMMYFUNCTION("GOOGLETRANSLATE(A4843, ""ar"", ""bn"")"),"পোস্টটি পরিত্যাগ")</f>
        <v>পোস্টটি পরিত্যাগ</v>
      </c>
    </row>
    <row r="4844">
      <c r="A4844" s="2" t="s">
        <v>546</v>
      </c>
      <c r="B4844" s="3" t="str">
        <f>IFERROR(__xludf.DUMMYFUNCTION("GOOGLETRANSLATE(A4844, ""ar"", ""bn"")"),"Atdarc আন্তর্জাতিক পরিস্থিতি")</f>
        <v>Atdarc আন্তর্জাতিক পরিস্থিতি</v>
      </c>
    </row>
    <row r="4845">
      <c r="A4845" s="2" t="s">
        <v>400</v>
      </c>
      <c r="B4845" s="3" t="str">
        <f>IFERROR(__xludf.DUMMYFUNCTION("GOOGLETRANSLATE(A4845, ""ar"", ""bn"")"),"তসরূফ করা")</f>
        <v>তসরূফ করা</v>
      </c>
    </row>
    <row r="4846">
      <c r="A4846" s="2" t="s">
        <v>171</v>
      </c>
      <c r="B4846" s="3" t="str">
        <f>IFERROR(__xludf.DUMMYFUNCTION("GOOGLETRANSLATE(A4846, ""ar"", ""bn"")"),"একটি সরকারী ক্ষমতার এটিএস")</f>
        <v>একটি সরকারী ক্ষমতার এটিএস</v>
      </c>
    </row>
    <row r="4847">
      <c r="A4847" s="2" t="s">
        <v>169</v>
      </c>
      <c r="B4847" s="3" t="str">
        <f>IFERROR(__xludf.DUMMYFUNCTION("GOOGLETRANSLATE(A4847, ""ar"", ""bn"")"),"আইন অনুযায়ী এটিএস")</f>
        <v>আইন অনুযায়ী এটিএস</v>
      </c>
    </row>
    <row r="4848">
      <c r="A4848" s="2" t="s">
        <v>634</v>
      </c>
      <c r="B4848" s="3" t="str">
        <f>IFERROR(__xludf.DUMMYFUNCTION("GOOGLETRANSLATE(A4848, ""ar"", ""bn"")"),"আন্তর্জাতিক অভিযোগ সঙ্গে পুলিশ")</f>
        <v>আন্তর্জাতিক অভিযোগ সঙ্গে পুলিশ</v>
      </c>
    </row>
    <row r="4849">
      <c r="A4849" s="2" t="s">
        <v>2477</v>
      </c>
      <c r="B4849" s="3" t="str">
        <f>IFERROR(__xludf.DUMMYFUNCTION("GOOGLETRANSLATE(A4849, ""ar"", ""bn"")"),"সহিংসতার এক্সপোজার")</f>
        <v>সহিংসতার এক্সপোজার</v>
      </c>
    </row>
    <row r="4850">
      <c r="A4850" s="2" t="s">
        <v>2476</v>
      </c>
      <c r="B4850" s="3" t="str">
        <f>IFERROR(__xludf.DUMMYFUNCTION("GOOGLETRANSLATE(A4850, ""ar"", ""bn"")"),"দমন মরেছে")</f>
        <v>দমন মরেছে</v>
      </c>
    </row>
    <row r="4851">
      <c r="A4851" s="2" t="s">
        <v>2860</v>
      </c>
      <c r="B4851" s="3" t="str">
        <f>IFERROR(__xludf.DUMMYFUNCTION("GOOGLETRANSLATE(A4851, ""ar"", ""bn"")"),"Atvh r কূটনৈতিক রিপোর্ট")</f>
        <v>Atvh r কূটনৈতিক রিপোর্ট</v>
      </c>
    </row>
    <row r="4852">
      <c r="A4852" s="2" t="s">
        <v>201</v>
      </c>
      <c r="B4852" s="3" t="str">
        <f>IFERROR(__xludf.DUMMYFUNCTION("GOOGLETRANSLATE(A4852, ""ar"", ""bn"")"),"সমঝোতার ব্যাপারে একমত")</f>
        <v>সমঝোতার ব্যাপারে একমত</v>
      </c>
    </row>
    <row r="4853">
      <c r="A4853" s="2" t="s">
        <v>2383</v>
      </c>
      <c r="B4853" s="3" t="str">
        <f>IFERROR(__xludf.DUMMYFUNCTION("GOOGLETRANSLATE(A4853, ""ar"", ""bn"")"),"গন্গনে পথিমধ্যে")</f>
        <v>গন্গনে পথিমধ্যে</v>
      </c>
    </row>
    <row r="4854">
      <c r="A4854" s="2" t="s">
        <v>2382</v>
      </c>
      <c r="B4854" s="3" t="str">
        <f>IFERROR(__xludf.DUMMYFUNCTION("GOOGLETRANSLATE(A4854, ""ar"", ""bn"")"),"প্রস্তাব গন্গনে")</f>
        <v>প্রস্তাব গন্গনে</v>
      </c>
    </row>
    <row r="4855">
      <c r="A4855" s="2" t="s">
        <v>1331</v>
      </c>
      <c r="B4855" s="3" t="str">
        <f>IFERROR(__xludf.DUMMYFUNCTION("GOOGLETRANSLATE(A4855, ""ar"", ""bn"")"),"গন্গনে অভিযোগ")</f>
        <v>গন্গনে অভিযোগ</v>
      </c>
    </row>
    <row r="4856">
      <c r="A4856" s="2" t="s">
        <v>1946</v>
      </c>
      <c r="B4856" s="3" t="str">
        <f>IFERROR(__xludf.DUMMYFUNCTION("GOOGLETRANSLATE(A4856, ""ar"", ""bn"")"),"কূটনৈতিক পিটিশন গন্গনে")</f>
        <v>কূটনৈতিক পিটিশন গন্গনে</v>
      </c>
    </row>
    <row r="4857">
      <c r="A4857" s="2" t="s">
        <v>1109</v>
      </c>
      <c r="B4857" s="3" t="str">
        <f>IFERROR(__xludf.DUMMYFUNCTION("GOOGLETRANSLATE(A4857, ""ar"", ""bn"")"),"ডি Atql অস্ত্র")</f>
        <v>ডি Atql অস্ত্র</v>
      </c>
    </row>
    <row r="4858">
      <c r="A4858" s="2" t="s">
        <v>506</v>
      </c>
      <c r="B4858" s="3" t="str">
        <f>IFERROR(__xludf.DUMMYFUNCTION("GOOGLETRANSLATE(A4858, ""ar"", ""bn"")"),"ডি ভয় সিস্টেম")</f>
        <v>ডি ভয় সিস্টেম</v>
      </c>
    </row>
    <row r="4859">
      <c r="A4859" s="2" t="s">
        <v>505</v>
      </c>
      <c r="B4859" s="3" t="str">
        <f>IFERROR(__xludf.DUMMYFUNCTION("GOOGLETRANSLATE(A4859, ""ar"", ""bn"")"),"D আইন মান্য")</f>
        <v>D আইন মান্য</v>
      </c>
    </row>
    <row r="4860">
      <c r="A4860" s="2" t="s">
        <v>504</v>
      </c>
      <c r="B4860" s="3" t="str">
        <f>IFERROR(__xludf.DUMMYFUNCTION("GOOGLETRANSLATE(A4860, ""ar"", ""bn"")"),"আন্তর্জাতিক সিস্টেমের সাথে মেনে চলতে")</f>
        <v>আন্তর্জাতিক সিস্টেমের সাথে মেনে চলতে</v>
      </c>
    </row>
    <row r="4861">
      <c r="A4861" s="2" t="s">
        <v>503</v>
      </c>
      <c r="B4861" s="3" t="str">
        <f>IFERROR(__xludf.DUMMYFUNCTION("GOOGLETRANSLATE(A4861, ""ar"", ""bn"")"),"সন্ধির শর্ত মেনে চলতে")</f>
        <v>সন্ধির শর্ত মেনে চলতে</v>
      </c>
    </row>
    <row r="4862">
      <c r="A4862" s="2" t="s">
        <v>1772</v>
      </c>
      <c r="B4862" s="3" t="str">
        <f>IFERROR(__xludf.DUMMYFUNCTION("GOOGLETRANSLATE(A4862, ""ar"", ""bn"")"),"শব্দের ম্যানিপুলেশন")</f>
        <v>শব্দের ম্যানিপুলেশন</v>
      </c>
    </row>
    <row r="4863">
      <c r="A4863" s="2" t="s">
        <v>1424</v>
      </c>
      <c r="B4863" s="3" t="str">
        <f>IFERROR(__xludf.DUMMYFUNCTION("GOOGLETRANSLATE(A4863, ""ar"", ""bn"")"),"কাজে ব্যবহৃত নির্বাচনে")</f>
        <v>কাজে ব্যবহৃত নির্বাচনে</v>
      </c>
    </row>
    <row r="4864">
      <c r="A4864" s="2" t="s">
        <v>1425</v>
      </c>
      <c r="B4864" s="3" t="str">
        <f>IFERROR(__xludf.DUMMYFUNCTION("GOOGLETRANSLATE(A4864, ""ar"", ""bn"")"),"জে মানুষের ভাগ্য নিপূণভাবে")</f>
        <v>জে মানুষের ভাগ্য নিপূণভাবে</v>
      </c>
    </row>
    <row r="4865">
      <c r="A4865" s="2" t="s">
        <v>2628</v>
      </c>
      <c r="B4865" s="3" t="str">
        <f>IFERROR(__xludf.DUMMYFUNCTION("GOOGLETRANSLATE(A4865, ""ar"", ""bn"")"),"ইমিউনিটি দাবিত্যাগ")</f>
        <v>ইমিউনিটি দাবিত্যাগ</v>
      </c>
    </row>
    <row r="4866">
      <c r="A4866" s="2" t="s">
        <v>701</v>
      </c>
      <c r="B4866" s="3" t="str">
        <f>IFERROR(__xludf.DUMMYFUNCTION("GOOGLETRANSLATE(A4866, ""ar"", ""bn"")"),"অন্য রাষ্ট্রের পক্ষে সিংহাসন")</f>
        <v>অন্য রাষ্ট্রের পক্ষে সিংহাসন</v>
      </c>
    </row>
    <row r="4867">
      <c r="A4867" s="2" t="s">
        <v>2861</v>
      </c>
      <c r="B4867" s="3" t="str">
        <f>IFERROR(__xludf.DUMMYFUNCTION("GOOGLETRANSLATE(A4867, ""ar"", ""bn"")"),"দেশের মধ্যে একটি সাধারণ বোঝার পৌঁছাতে")</f>
        <v>দেশের মধ্যে একটি সাধারণ বোঝার পৌঁছাতে</v>
      </c>
    </row>
    <row r="4868">
      <c r="A4868" s="2" t="s">
        <v>2862</v>
      </c>
      <c r="B4868" s="3" t="str">
        <f>IFERROR(__xludf.DUMMYFUNCTION("GOOGLETRANSLATE(A4868, ""ar"", ""bn"")"),"আন্তর্জাতিক সঙ্কটের একটি যৌথ সমাধান পৌঁছানো")</f>
        <v>আন্তর্জাতিক সঙ্কটের একটি যৌথ সমাধান পৌঁছানো</v>
      </c>
    </row>
    <row r="4869">
      <c r="A4869" s="2" t="s">
        <v>397</v>
      </c>
      <c r="B4869" s="3" t="str">
        <f>IFERROR(__xludf.DUMMYFUNCTION("GOOGLETRANSLATE(A4869, ""ar"", ""bn"")"),"রাজনৈতিক কর্তৃপক্ষ")</f>
        <v>রাজনৈতিক কর্তৃপক্ষ</v>
      </c>
    </row>
    <row r="4870">
      <c r="A4870" s="2" t="s">
        <v>398</v>
      </c>
      <c r="B4870" s="3" t="str">
        <f>IFERROR(__xludf.DUMMYFUNCTION("GOOGLETRANSLATE(A4870, ""ar"", ""bn"")"),"রাজনৈতিক দায়িত্ব")</f>
        <v>রাজনৈতিক দায়িত্ব</v>
      </c>
    </row>
    <row r="4871">
      <c r="A4871" s="2" t="s">
        <v>290</v>
      </c>
      <c r="B4871" s="3" t="str">
        <f>IFERROR(__xludf.DUMMYFUNCTION("GOOGLETRANSLATE(A4871, ""ar"", ""bn"")"),"রাজনৈতিক কার্যালয়ে")</f>
        <v>রাজনৈতিক কার্যালয়ে</v>
      </c>
    </row>
    <row r="4872">
      <c r="A4872" s="2" t="s">
        <v>291</v>
      </c>
      <c r="B4872" s="3" t="str">
        <f>IFERROR(__xludf.DUMMYFUNCTION("GOOGLETRANSLATE(A4872, ""ar"", ""bn"")"),"ক্ষমতার লাগাম")</f>
        <v>ক্ষমতার লাগাম</v>
      </c>
    </row>
    <row r="4873">
      <c r="A4873" s="2" t="s">
        <v>2584</v>
      </c>
      <c r="B4873" s="3" t="str">
        <f>IFERROR(__xludf.DUMMYFUNCTION("GOOGLETRANSLATE(A4873, ""ar"", ""bn"")"),"এম জে পরীক্ষিত আইনগত স্বাস্থ্য")</f>
        <v>এম জে পরীক্ষিত আইনগত স্বাস্থ্য</v>
      </c>
    </row>
    <row r="4874">
      <c r="A4874" s="2" t="s">
        <v>1542</v>
      </c>
      <c r="B4874" s="3" t="str">
        <f>IFERROR(__xludf.DUMMYFUNCTION("GOOGLETRANSLATE(A4874, ""ar"", ""bn"")"),"আলোচনা Thier এম ঞ")</f>
        <v>আলোচনা Thier এম ঞ</v>
      </c>
    </row>
    <row r="4875">
      <c r="A4875" s="2" t="s">
        <v>695</v>
      </c>
      <c r="B4875" s="3" t="str">
        <f>IFERROR(__xludf.DUMMYFUNCTION("GOOGLETRANSLATE(A4875, ""ar"", ""bn"")"),"রাজনৈতিক অধিকার Amejrd")</f>
        <v>রাজনৈতিক অধিকার Amejrd</v>
      </c>
    </row>
    <row r="4876">
      <c r="A4876" s="2" t="s">
        <v>2863</v>
      </c>
      <c r="B4876" s="3" t="str">
        <f>IFERROR(__xludf.DUMMYFUNCTION("GOOGLETRANSLATE(A4876, ""ar"", ""bn"")"),"কূটনৈতিক পরিচিতি চিত্রাবলী")</f>
        <v>কূটনৈতিক পরিচিতি চিত্রাবলী</v>
      </c>
    </row>
    <row r="4877">
      <c r="A4877" s="2" t="s">
        <v>348</v>
      </c>
      <c r="B4877" s="3" t="str">
        <f>IFERROR(__xludf.DUMMYFUNCTION("GOOGLETRANSLATE(A4877, ""ar"", ""bn"")"),"Amhasr ভবন")</f>
        <v>Amhasr ভবন</v>
      </c>
    </row>
    <row r="4878">
      <c r="A4878" s="2" t="s">
        <v>338</v>
      </c>
      <c r="B4878" s="3" t="str">
        <f>IFERROR(__xludf.DUMMYFUNCTION("GOOGLETRANSLATE(A4878, ""ar"", ""bn"")"),"Amhasr শহর")</f>
        <v>Amhasr শহর</v>
      </c>
    </row>
    <row r="4879">
      <c r="A4879" s="2" t="s">
        <v>2019</v>
      </c>
      <c r="B4879" s="3" t="str">
        <f>IFERROR(__xludf.DUMMYFUNCTION("GOOGLETRANSLATE(A4879, ""ar"", ""bn"")"),"আপত্তি")</f>
        <v>আপত্তি</v>
      </c>
    </row>
    <row r="4880">
      <c r="A4880" s="2" t="s">
        <v>2158</v>
      </c>
      <c r="B4880" s="3" t="str">
        <f>IFERROR(__xludf.DUMMYFUNCTION("GOOGLETRANSLATE(A4880, ""ar"", ""bn"")"),"যে শ্রদ্ধা সাংস্কৃতিক ইস নিন")</f>
        <v>যে শ্রদ্ধা সাংস্কৃতিক ইস নিন</v>
      </c>
    </row>
    <row r="4881">
      <c r="A4881" s="2" t="s">
        <v>2159</v>
      </c>
      <c r="B4881" s="3" t="str">
        <f>IFERROR(__xludf.DUMMYFUNCTION("GOOGLETRANSLATE(A4881, ""ar"", ""bn"")"),"মানুষের মর্যাদা জন্য সম্মান")</f>
        <v>মানুষের মর্যাদা জন্য সম্মান</v>
      </c>
    </row>
    <row r="4882">
      <c r="A4882" s="2" t="s">
        <v>2173</v>
      </c>
      <c r="B4882" s="3" t="str">
        <f>IFERROR(__xludf.DUMMYFUNCTION("GOOGLETRANSLATE(A4882, ""ar"", ""bn"")"),"ধর্মীয় বিশ্বাসের প্রতি শ্রদ্ধাশীল")</f>
        <v>ধর্মীয় বিশ্বাসের প্রতি শ্রদ্ধাশীল</v>
      </c>
    </row>
    <row r="4883">
      <c r="A4883" s="2" t="s">
        <v>1532</v>
      </c>
      <c r="B4883" s="3" t="str">
        <f>IFERROR(__xludf.DUMMYFUNCTION("GOOGLETRANSLATE(A4883, ""ar"", ""bn"")"),"রাজনৈতিক কর্তৃপক্ষ monopolizing")</f>
        <v>রাজনৈতিক কর্তৃপক্ষ monopolizing</v>
      </c>
    </row>
    <row r="4884">
      <c r="A4884" s="2" t="s">
        <v>1533</v>
      </c>
      <c r="B4884" s="3" t="str">
        <f>IFERROR(__xludf.DUMMYFUNCTION("GOOGLETRANSLATE(A4884, ""ar"", ""bn"")"),"monopolizing ক্ষমতা")</f>
        <v>monopolizing ক্ষমতা</v>
      </c>
    </row>
    <row r="4885">
      <c r="A4885" s="2" t="s">
        <v>662</v>
      </c>
      <c r="B4885" s="3" t="str">
        <f>IFERROR(__xludf.DUMMYFUNCTION("GOOGLETRANSLATE(A4885, ""ar"", ""bn"")"),"Amahdd রাজনৈতিক উদ্দেশ্য")</f>
        <v>Amahdd রাজনৈতিক উদ্দেশ্য</v>
      </c>
    </row>
    <row r="4886">
      <c r="A4886" s="2" t="s">
        <v>663</v>
      </c>
      <c r="B4886" s="3" t="str">
        <f>IFERROR(__xludf.DUMMYFUNCTION("GOOGLETRANSLATE(A4886, ""ar"", ""bn"")"),"Amahd ঘ রাজনৈতিক পরিকল্পনা")</f>
        <v>Amahd ঘ রাজনৈতিক পরিকল্পনা</v>
      </c>
    </row>
    <row r="4887">
      <c r="A4887" s="2" t="s">
        <v>2864</v>
      </c>
      <c r="B4887" s="3" t="str">
        <f>IFERROR(__xludf.DUMMYFUNCTION("GOOGLETRANSLATE(A4887, ""ar"", ""bn"")"),"ডি Amahd কূটনৈতিক দায়িত্ব")</f>
        <v>ডি Amahd কূটনৈতিক দায়িত্ব</v>
      </c>
    </row>
    <row r="4888">
      <c r="A4888" s="2" t="s">
        <v>659</v>
      </c>
      <c r="B4888" s="3" t="str">
        <f>IFERROR(__xludf.DUMMYFUNCTION("GOOGLETRANSLATE(A4888, ""ar"", ""bn"")"),"Amahd ঘ কূটনৈতিক অবস্থান")</f>
        <v>Amahd ঘ কূটনৈতিক অবস্থান</v>
      </c>
    </row>
    <row r="4889">
      <c r="A4889" s="2" t="s">
        <v>661</v>
      </c>
      <c r="B4889" s="3" t="str">
        <f>IFERROR(__xludf.DUMMYFUNCTION("GOOGLETRANSLATE(A4889, ""ar"", ""bn"")"),"Amahd ঘ রাজনৈতিক কর্ম পরিকল্পনা")</f>
        <v>Amahd ঘ রাজনৈতিক কর্ম পরিকল্পনা</v>
      </c>
    </row>
    <row r="4890">
      <c r="A4890" s="2" t="s">
        <v>1366</v>
      </c>
      <c r="B4890" s="3" t="str">
        <f>IFERROR(__xludf.DUMMYFUNCTION("GOOGLETRANSLATE(A4890, ""ar"", ""bn"")"),"Amahr টি বন্দীদের")</f>
        <v>Amahr টি বন্দীদের</v>
      </c>
    </row>
    <row r="4891">
      <c r="A4891" s="2" t="s">
        <v>1165</v>
      </c>
      <c r="B4891" s="3" t="str">
        <f>IFERROR(__xludf.DUMMYFUNCTION("GOOGLETRANSLATE(A4891, ""ar"", ""bn"")"),"সিস্টেমের একটি ভঙ্গ জেড Amahr")</f>
        <v>সিস্টেমের একটি ভঙ্গ জেড Amahr</v>
      </c>
    </row>
    <row r="4892">
      <c r="A4892" s="2" t="s">
        <v>1166</v>
      </c>
      <c r="B4892" s="3" t="str">
        <f>IFERROR(__xludf.DUMMYFUNCTION("GOOGLETRANSLATE(A4892, ""ar"", ""bn"")"),"Amahr জেড যুদ্ধ")</f>
        <v>Amahr জেড যুদ্ধ</v>
      </c>
    </row>
    <row r="4893">
      <c r="A4893" s="2" t="s">
        <v>2865</v>
      </c>
      <c r="B4893" s="3" t="str">
        <f>IFERROR(__xludf.DUMMYFUNCTION("GOOGLETRANSLATE(A4893, ""ar"", ""bn"")"),"Amahr পি ঐতিহাসিক ঘটনা")</f>
        <v>Amahr পি ঐতিহাসিক ঘটনা</v>
      </c>
    </row>
    <row r="4894">
      <c r="A4894" s="2" t="s">
        <v>377</v>
      </c>
      <c r="B4894" s="3" t="str">
        <f>IFERROR(__xludf.DUMMYFUNCTION("GOOGLETRANSLATE(A4894, ""ar"", ""bn"")"),"বিদেশ পতাকা বার্ন")</f>
        <v>বিদেশ পতাকা বার্ন</v>
      </c>
    </row>
    <row r="4895">
      <c r="A4895" s="2" t="s">
        <v>2866</v>
      </c>
      <c r="B4895" s="3" t="str">
        <f>IFERROR(__xludf.DUMMYFUNCTION("GOOGLETRANSLATE(A4895, ""ar"", ""bn"")"),"রাজনৈতিক আলোচনার যেমন Amahr স্ট্রিং")</f>
        <v>রাজনৈতিক আলোচনার যেমন Amahr স্ট্রিং</v>
      </c>
    </row>
    <row r="4896">
      <c r="A4896" s="2" t="s">
        <v>1644</v>
      </c>
      <c r="B4896" s="3" t="str">
        <f>IFERROR(__xludf.DUMMYFUNCTION("GOOGLETRANSLATE(A4896, ""ar"", ""bn"")"),"স্বাধীনতা পায়")</f>
        <v>স্বাধীনতা পায়</v>
      </c>
    </row>
    <row r="4897">
      <c r="A4897" s="2" t="s">
        <v>2867</v>
      </c>
      <c r="B4897" s="3" t="str">
        <f>IFERROR(__xludf.DUMMYFUNCTION("GOOGLETRANSLATE(A4897, ""ar"", ""bn"")"),"আইনি নোটিশ সম্প্রসারণ পায়")</f>
        <v>আইনি নোটিশ সম্প্রসারণ পায়</v>
      </c>
    </row>
    <row r="4898">
      <c r="A4898" s="2" t="s">
        <v>2001</v>
      </c>
      <c r="B4898" s="3" t="str">
        <f>IFERROR(__xludf.DUMMYFUNCTION("GOOGLETRANSLATE(A4898, ""ar"", ""bn"")"),"সহিংসতার Amahz টি ব্যবহার")</f>
        <v>সহিংসতার Amahz টি ব্যবহার</v>
      </c>
    </row>
    <row r="4899">
      <c r="A4899" s="2" t="s">
        <v>2000</v>
      </c>
      <c r="B4899" s="3" t="str">
        <f>IFERROR(__xludf.DUMMYFUNCTION("GOOGLETRANSLATE(A4899, ""ar"", ""bn"")"),"অর্পণ এর Amahz টি জ")</f>
        <v>অর্পণ এর Amahz টি জ</v>
      </c>
    </row>
    <row r="4900">
      <c r="A4900" s="2" t="s">
        <v>2002</v>
      </c>
      <c r="B4900" s="3" t="str">
        <f>IFERROR(__xludf.DUMMYFUNCTION("GOOGLETRANSLATE(A4900, ""ar"", ""bn"")"),"যুদ্ধে Amahz টি অবলম্বন")</f>
        <v>যুদ্ধে Amahz টি অবলম্বন</v>
      </c>
    </row>
    <row r="4901">
      <c r="A4901" s="2" t="s">
        <v>2868</v>
      </c>
      <c r="B4901" s="3" t="str">
        <f>IFERROR(__xludf.DUMMYFUNCTION("GOOGLETRANSLATE(A4901, ""ar"", ""bn"")"),"Imhak টি বন্দীদের")</f>
        <v>Imhak টি বন্দীদের</v>
      </c>
    </row>
    <row r="4902">
      <c r="A4902" s="2" t="s">
        <v>296</v>
      </c>
      <c r="B4902" s="3" t="str">
        <f>IFERROR(__xludf.DUMMYFUNCTION("GOOGLETRANSLATE(A4902, ""ar"", ""bn"")"),"Imhak গুলি সংখ্যাগরিষ্ঠ")</f>
        <v>Imhak গুলি সংখ্যাগরিষ্ঠ</v>
      </c>
    </row>
    <row r="4903">
      <c r="A4903" s="2" t="s">
        <v>165</v>
      </c>
      <c r="B4903" s="3" t="str">
        <f>IFERROR(__xludf.DUMMYFUNCTION("GOOGLETRANSLATE(A4903, ""ar"", ""bn"")"),"Amhakq রাজনৈতিক উদ্দেশ্য")</f>
        <v>Amhakq রাজনৈতিক উদ্দেশ্য</v>
      </c>
    </row>
    <row r="4904">
      <c r="A4904" s="2" t="s">
        <v>1037</v>
      </c>
      <c r="B4904" s="3" t="str">
        <f>IFERROR(__xludf.DUMMYFUNCTION("GOOGLETRANSLATE(A4904, ""ar"", ""bn"")"),"Amhakq বিচারপতি")</f>
        <v>Amhakq বিচারপতি</v>
      </c>
    </row>
    <row r="4905">
      <c r="A4905" s="2" t="s">
        <v>298</v>
      </c>
      <c r="B4905" s="3" t="str">
        <f>IFERROR(__xludf.DUMMYFUNCTION("GOOGLETRANSLATE(A4905, ""ar"", ""bn"")"),"Imhak গুলি কোরাম")</f>
        <v>Imhak গুলি কোরাম</v>
      </c>
    </row>
    <row r="4906">
      <c r="A4906" s="2" t="s">
        <v>1975</v>
      </c>
      <c r="B4906" s="3" t="str">
        <f>IFERROR(__xludf.DUMMYFUNCTION("GOOGLETRANSLATE(A4906, ""ar"", ""bn"")"),"উদ্বুদ্ধ রক্ত")</f>
        <v>উদ্বুদ্ধ রক্ত</v>
      </c>
    </row>
    <row r="4907">
      <c r="A4907" s="2" t="s">
        <v>1060</v>
      </c>
      <c r="B4907" s="3" t="str">
        <f>IFERROR(__xludf.DUMMYFUNCTION("GOOGLETRANSLATE(A4907, ""ar"", ""bn"")"),"বিচার")</f>
        <v>বিচার</v>
      </c>
    </row>
    <row r="4908">
      <c r="A4908" s="2" t="s">
        <v>170</v>
      </c>
      <c r="B4908" s="3" t="str">
        <f>IFERROR(__xludf.DUMMYFUNCTION("GOOGLETRANSLATE(A4908, ""ar"", ""bn"")"),"চেহারাগুলো উপর ভিত্তি করে বিচার")</f>
        <v>চেহারাগুলো উপর ভিত্তি করে বিচার</v>
      </c>
    </row>
    <row r="4909">
      <c r="A4909" s="2" t="s">
        <v>2298</v>
      </c>
      <c r="B4909" s="3" t="str">
        <f>IFERROR(__xludf.DUMMYFUNCTION("GOOGLETRANSLATE(A4909, ""ar"", ""bn"")"),"কূটনৈতিক সঙ্কট সমাধানের")</f>
        <v>কূটনৈতিক সঙ্কট সমাধানের</v>
      </c>
    </row>
    <row r="4910">
      <c r="A4910" s="2" t="s">
        <v>2869</v>
      </c>
      <c r="B4910" s="3" t="str">
        <f>IFERROR(__xludf.DUMMYFUNCTION("GOOGLETRANSLATE(A4910, ""ar"", ""bn"")"),"সংসদ ভেঙ্গে")</f>
        <v>সংসদ ভেঙ্গে</v>
      </c>
    </row>
    <row r="4911">
      <c r="A4911" s="2" t="s">
        <v>235</v>
      </c>
      <c r="B4911" s="3" t="str">
        <f>IFERROR(__xludf.DUMMYFUNCTION("GOOGLETRANSLATE(A4911, ""ar"", ""bn"")"),"Amahl আন্তর্জাতিক সমস্যার")</f>
        <v>Amahl আন্তর্জাতিক সমস্যার</v>
      </c>
    </row>
    <row r="4912">
      <c r="A4912" s="2" t="s">
        <v>2227</v>
      </c>
      <c r="B4912" s="3" t="str">
        <f>IFERROR(__xludf.DUMMYFUNCTION("GOOGLETRANSLATE(A4912, ""ar"", ""bn"")"),"রক্ষা")</f>
        <v>রক্ষা</v>
      </c>
    </row>
    <row r="4913">
      <c r="A4913" s="2" t="s">
        <v>2226</v>
      </c>
      <c r="B4913" s="3" t="str">
        <f>IFERROR(__xludf.DUMMYFUNCTION("GOOGLETRANSLATE(A4913, ""ar"", ""bn"")"),"এটা রাষ্ট্র রক্ষা করে")</f>
        <v>এটা রাষ্ট্র রক্ষা করে</v>
      </c>
    </row>
    <row r="4914">
      <c r="A4914" s="2" t="s">
        <v>1950</v>
      </c>
      <c r="B4914" s="3" t="str">
        <f>IFERROR(__xludf.DUMMYFUNCTION("GOOGLETRANSLATE(A4914, ""ar"", ""bn"")"),"শান্তি রক্ষা করে")</f>
        <v>শান্তি রক্ষা করে</v>
      </c>
    </row>
    <row r="4915">
      <c r="A4915" s="2" t="s">
        <v>2228</v>
      </c>
      <c r="B4915" s="3" t="str">
        <f>IFERROR(__xludf.DUMMYFUNCTION("GOOGLETRANSLATE(A4915, ""ar"", ""bn"")"),"বেসামরিক রক্ষা করে")</f>
        <v>বেসামরিক রক্ষা করে</v>
      </c>
    </row>
    <row r="4916">
      <c r="A4916" s="2" t="s">
        <v>2229</v>
      </c>
      <c r="B4916" s="3" t="str">
        <f>IFERROR(__xludf.DUMMYFUNCTION("GOOGLETRANSLATE(A4916, ""ar"", ""bn"")"),"এটা তোলে স্বদেশ রক্ষা করে")</f>
        <v>এটা তোলে স্বদেশ রক্ষা করে</v>
      </c>
    </row>
    <row r="4917">
      <c r="A4917" s="2" t="s">
        <v>2870</v>
      </c>
      <c r="B4917" s="3" t="str">
        <f>IFERROR(__xludf.DUMMYFUNCTION("GOOGLETRANSLATE(A4917, ""ar"", ""bn"")"),"প্রতিবেদন Amahil আন্তর্জাতিক ট্রাইব্যুনাল")</f>
        <v>প্রতিবেদন Amahil আন্তর্জাতিক ট্রাইব্যুনাল</v>
      </c>
    </row>
    <row r="4918">
      <c r="A4918" s="2" t="s">
        <v>1179</v>
      </c>
      <c r="B4918" s="3" t="str">
        <f>IFERROR(__xludf.DUMMYFUNCTION("GOOGLETRANSLATE(A4918, ""ar"", ""bn"")"),"Imkhalv সিস্টেম")</f>
        <v>Imkhalv সিস্টেম</v>
      </c>
    </row>
    <row r="4919">
      <c r="A4919" s="2" t="s">
        <v>372</v>
      </c>
      <c r="B4919" s="3" t="str">
        <f>IFERROR(__xludf.DUMMYFUNCTION("GOOGLETRANSLATE(A4919, ""ar"", ""bn"")"),"আকাশসীমা পশা")</f>
        <v>আকাশসীমা পশা</v>
      </c>
    </row>
    <row r="4920">
      <c r="A4920" s="2" t="s">
        <v>2275</v>
      </c>
      <c r="B4920" s="3" t="str">
        <f>IFERROR(__xludf.DUMMYFUNCTION("GOOGLETRANSLATE(A4920, ""ar"", ""bn"")"),"শান্তি পরিবেশন করা")</f>
        <v>শান্তি পরিবেশন করা</v>
      </c>
    </row>
    <row r="4921">
      <c r="A4921" s="2" t="s">
        <v>2595</v>
      </c>
      <c r="B4921" s="3" t="str">
        <f>IFERROR(__xludf.DUMMYFUNCTION("GOOGLETRANSLATE(A4921, ""ar"", ""bn"")"),"যুদ্ধবিরতি চুক্তি লঙ্ঘন করে")</f>
        <v>যুদ্ধবিরতি চুক্তি লঙ্ঘন করে</v>
      </c>
    </row>
    <row r="4922">
      <c r="A4922" s="2" t="s">
        <v>2380</v>
      </c>
      <c r="B4922" s="3" t="str">
        <f>IFERROR(__xludf.DUMMYFUNCTION("GOOGLETRANSLATE(A4922, ""ar"", ""bn"")"),"Amkhadda নাগরিকদের")</f>
        <v>Amkhadda নাগরিকদের</v>
      </c>
    </row>
    <row r="4923">
      <c r="A4923" s="2" t="s">
        <v>2486</v>
      </c>
      <c r="B4923" s="3" t="str">
        <f>IFERROR(__xludf.DUMMYFUNCTION("GOOGLETRANSLATE(A4923, ""ar"", ""bn"")"),"লাইন বা সীমানা অঙ্কন")</f>
        <v>লাইন বা সীমানা অঙ্কন</v>
      </c>
    </row>
    <row r="4924">
      <c r="A4924" s="2" t="s">
        <v>2871</v>
      </c>
      <c r="B4924" s="3" t="str">
        <f>IFERROR(__xludf.DUMMYFUNCTION("GOOGLETRANSLATE(A4924, ""ar"", ""bn"")"),"Amkhvv কূটনৈতিক টান")</f>
        <v>Amkhvv কূটনৈতিক টান</v>
      </c>
    </row>
    <row r="4925">
      <c r="A4925" s="2" t="s">
        <v>2092</v>
      </c>
      <c r="B4925" s="3" t="str">
        <f>IFERROR(__xludf.DUMMYFUNCTION("GOOGLETRANSLATE(A4925, ""ar"", ""bn"")"),"Amkhvv আন্তর্জাতিক চাপের")</f>
        <v>Amkhvv আন্তর্জাতিক চাপের</v>
      </c>
    </row>
    <row r="4926">
      <c r="A4926" s="2" t="s">
        <v>2576</v>
      </c>
      <c r="B4926" s="3" t="str">
        <f>IFERROR(__xludf.DUMMYFUNCTION("GOOGLETRANSLATE(A4926, ""ar"", ""bn"")"),"Amakhl আন্তর্জাতিক ভারসাম্য")</f>
        <v>Amakhl আন্তর্জাতিক ভারসাম্য</v>
      </c>
    </row>
    <row r="4927">
      <c r="A4927" s="2" t="s">
        <v>2574</v>
      </c>
      <c r="B4927" s="3" t="str">
        <f>IFERROR(__xludf.DUMMYFUNCTION("GOOGLETRANSLATE(A4927, ""ar"", ""bn"")"),"Amakhl রাজনৈতিক ভারসাম্য")</f>
        <v>Amakhl রাজনৈতিক ভারসাম্য</v>
      </c>
    </row>
    <row r="4928">
      <c r="A4928" s="2" t="s">
        <v>2575</v>
      </c>
      <c r="B4928" s="3" t="str">
        <f>IFERROR(__xludf.DUMMYFUNCTION("GOOGLETRANSLATE(A4928, ""ar"", ""bn"")"),"উই ভারসাম্য পরিমাণ জন্য M ঞ এক্স")</f>
        <v>উই ভারসাম্য পরিমাণ জন্য M ঞ এক্স</v>
      </c>
    </row>
    <row r="4929">
      <c r="A4929" s="2" t="s">
        <v>2596</v>
      </c>
      <c r="B4929" s="3" t="str">
        <f>IFERROR(__xludf.DUMMYFUNCTION("GOOGLETRANSLATE(A4929, ""ar"", ""bn"")"),"নিরপেক্ষতার Amakhl অবস্থার")</f>
        <v>নিরপেক্ষতার Amakhl অবস্থার</v>
      </c>
    </row>
    <row r="4930">
      <c r="A4930" s="2" t="s">
        <v>477</v>
      </c>
      <c r="B4930" s="3" t="str">
        <f>IFERROR(__xludf.DUMMYFUNCTION("GOOGLETRANSLATE(A4930, ""ar"", ""bn"")"),"ডি Amakhl শহীদদের স্মরণে")</f>
        <v>ডি Amakhl শহীদদের স্মরণে</v>
      </c>
    </row>
    <row r="4931">
      <c r="A4931" s="2" t="s">
        <v>621</v>
      </c>
      <c r="B4931" s="3" t="str">
        <f>IFERROR(__xludf.DUMMYFUNCTION("GOOGLETRANSLATE(A4931, ""ar"", ""bn"")"),"অস্থিরতা তৈরি করে")</f>
        <v>অস্থিরতা তৈরি করে</v>
      </c>
    </row>
    <row r="4932">
      <c r="A4932" s="2" t="s">
        <v>620</v>
      </c>
      <c r="B4932" s="3" t="str">
        <f>IFERROR(__xludf.DUMMYFUNCTION("GOOGLETRANSLATE(A4932, ""ar"", ""bn"")"),"জে আতঙ্ক তৈরি")</f>
        <v>জে আতঙ্ক তৈরি</v>
      </c>
    </row>
    <row r="4933">
      <c r="A4933" s="2" t="s">
        <v>619</v>
      </c>
      <c r="B4933" s="3" t="str">
        <f>IFERROR(__xludf.DUMMYFUNCTION("GOOGLETRANSLATE(A4933, ""ar"", ""bn"")"),"বিশৃঙ্খলার তৈরি করে")</f>
        <v>বিশৃঙ্খলার তৈরি করে</v>
      </c>
    </row>
    <row r="4934">
      <c r="A4934" s="2" t="s">
        <v>2872</v>
      </c>
      <c r="B4934" s="3" t="str">
        <f>IFERROR(__xludf.DUMMYFUNCTION("GOOGLETRANSLATE(A4934, ""ar"", ""bn"")"),"Amakhla শহর")</f>
        <v>Amakhla শহর</v>
      </c>
    </row>
    <row r="4935">
      <c r="A4935" s="2" t="s">
        <v>2873</v>
      </c>
      <c r="B4935" s="3" t="str">
        <f>IFERROR(__xludf.DUMMYFUNCTION("GOOGLETRANSLATE(A4935, ""ar"", ""bn"")"),"বেসামরিক Amakhla")</f>
        <v>বেসামরিক Amakhla</v>
      </c>
    </row>
    <row r="4936">
      <c r="A4936" s="2" t="s">
        <v>2874</v>
      </c>
      <c r="B4936" s="3" t="str">
        <f>IFERROR(__xludf.DUMMYFUNCTION("GOOGLETRANSLATE(A4936, ""ar"", ""bn"")"),"রাজনৈতিক বন্দীদের জন্য Amakhla")</f>
        <v>রাজনৈতিক বন্দীদের জন্য Amakhla</v>
      </c>
    </row>
    <row r="4937">
      <c r="A4937" s="2" t="s">
        <v>1072</v>
      </c>
      <c r="B4937" s="3" t="str">
        <f>IFERROR(__xludf.DUMMYFUNCTION("GOOGLETRANSLATE(A4937, ""ar"", ""bn"")"),"মঞ্জুর শক্তিগুলি Imko")</f>
        <v>মঞ্জুর শক্তিগুলি Imko</v>
      </c>
    </row>
    <row r="4938">
      <c r="A4938" s="2" t="s">
        <v>339</v>
      </c>
      <c r="B4938" s="3" t="str">
        <f>IFERROR(__xludf.DUMMYFUNCTION("GOOGLETRANSLATE(A4938, ""ar"", ""bn"")"),"জাতি বিশ্বাসঘাতকতা করা")</f>
        <v>জাতি বিশ্বাসঘাতকতা করা</v>
      </c>
    </row>
    <row r="4939">
      <c r="A4939" s="2" t="s">
        <v>650</v>
      </c>
      <c r="B4939" s="3" t="str">
        <f>IFERROR(__xludf.DUMMYFUNCTION("GOOGLETRANSLATE(A4939, ""ar"", ""bn"")"),"জমির জন্য Imdaf")</f>
        <v>জমির জন্য Imdaf</v>
      </c>
    </row>
    <row r="4940">
      <c r="A4940" s="2" t="s">
        <v>649</v>
      </c>
      <c r="B4940" s="3" t="str">
        <f>IFERROR(__xludf.DUMMYFUNCTION("GOOGLETRANSLATE(A4940, ""ar"", ""bn"")"),"Imdaf জাতীয় স্বার্থ")</f>
        <v>Imdaf জাতীয় স্বার্থ</v>
      </c>
    </row>
    <row r="4941">
      <c r="A4941" s="2" t="s">
        <v>648</v>
      </c>
      <c r="B4941" s="3" t="str">
        <f>IFERROR(__xludf.DUMMYFUNCTION("GOOGLETRANSLATE(A4941, ""ar"", ""bn"")"),"Imdaf মানবাধিকার")</f>
        <v>Imdaf মানবাধিকার</v>
      </c>
    </row>
    <row r="4942">
      <c r="A4942" s="2" t="s">
        <v>2403</v>
      </c>
      <c r="B4942" s="3" t="str">
        <f>IFERROR(__xludf.DUMMYFUNCTION("GOOGLETRANSLATE(A4942, ""ar"", ""bn"")"),"সমর্থন সরকার")</f>
        <v>সমর্থন সরকার</v>
      </c>
    </row>
    <row r="4943">
      <c r="A4943" s="2" t="s">
        <v>2402</v>
      </c>
      <c r="B4943" s="3" t="str">
        <f>IFERROR(__xludf.DUMMYFUNCTION("GOOGLETRANSLATE(A4943, ""ar"", ""bn"")"),"এটা তোলে শান্তি প্রচেষ্টায় সমর্থন")</f>
        <v>এটা তোলে শান্তি প্রচেষ্টায় সমর্থন</v>
      </c>
    </row>
    <row r="4944">
      <c r="A4944" s="2" t="s">
        <v>593</v>
      </c>
      <c r="B4944" s="3" t="str">
        <f>IFERROR(__xludf.DUMMYFUNCTION("GOOGLETRANSLATE(A4944, ""ar"", ""bn"")"),"জরুরী মিটিং এর জন্য কল")</f>
        <v>জরুরী মিটিং এর জন্য কল</v>
      </c>
    </row>
    <row r="4945">
      <c r="A4945" s="2" t="s">
        <v>592</v>
      </c>
      <c r="B4945" s="3" t="str">
        <f>IFERROR(__xludf.DUMMYFUNCTION("GOOGLETRANSLATE(A4945, ""ar"", ""bn"")"),"একটি রাজনৈতিক সভায় কল")</f>
        <v>একটি রাজনৈতিক সভায় কল</v>
      </c>
    </row>
    <row r="4946">
      <c r="A4946" s="2" t="s">
        <v>2875</v>
      </c>
      <c r="B4946" s="3" t="str">
        <f>IFERROR(__xludf.DUMMYFUNCTION("GOOGLETRANSLATE(A4946, ""ar"", ""bn"")"),"আইনি প্রক্রিয়ার দুর্বলতা পেই")</f>
        <v>আইনি প্রক্রিয়ার দুর্বলতা পেই</v>
      </c>
    </row>
    <row r="4947">
      <c r="A4947" s="2" t="s">
        <v>1054</v>
      </c>
      <c r="B4947" s="3" t="str">
        <f>IFERROR(__xludf.DUMMYFUNCTION("GOOGLETRANSLATE(A4947, ""ar"", ""bn"")"),"Amudalla পয়েন্ট আনুষ্ঠানিকভাবে Ih")</f>
        <v>Amudalla পয়েন্ট আনুষ্ঠানিকভাবে Ih</v>
      </c>
    </row>
    <row r="4948">
      <c r="A4948" s="2" t="s">
        <v>175</v>
      </c>
      <c r="B4948" s="3" t="str">
        <f>IFERROR(__xludf.DUMMYFUNCTION("GOOGLETRANSLATE(A4948, ""ar"", ""bn"")"),"Amudalla BH জেএইচ")</f>
        <v>Amudalla BH জেএইচ</v>
      </c>
    </row>
    <row r="4949">
      <c r="A4949" s="2" t="s">
        <v>1055</v>
      </c>
      <c r="B4949" s="3" t="str">
        <f>IFERROR(__xludf.DUMMYFUNCTION("GOOGLETRANSLATE(A4949, ""ar"", ""bn"")"),"Amudalla মতামত")</f>
        <v>Amudalla মতামত</v>
      </c>
    </row>
    <row r="4950">
      <c r="A4950" s="2" t="s">
        <v>688</v>
      </c>
      <c r="B4950" s="3" t="str">
        <f>IFERROR(__xludf.DUMMYFUNCTION("GOOGLETRANSLATE(A4950, ""ar"", ""bn"")"),"Amdm টি পরিকাঠামো")</f>
        <v>Amdm টি পরিকাঠামো</v>
      </c>
    </row>
    <row r="4951">
      <c r="A4951" s="2" t="s">
        <v>687</v>
      </c>
      <c r="B4951" s="3" t="str">
        <f>IFERROR(__xludf.DUMMYFUNCTION("GOOGLETRANSLATE(A4951, ""ar"", ""bn"")"),"Amdm টি শহর")</f>
        <v>Amdm টি শহর</v>
      </c>
    </row>
    <row r="4952">
      <c r="A4952" s="2" t="s">
        <v>699</v>
      </c>
      <c r="B4952" s="3" t="str">
        <f>IFERROR(__xludf.DUMMYFUNCTION("GOOGLETRANSLATE(A4952, ""ar"", ""bn"")"),"প্রশ্নঃ ধর্মীয় সুবিধা প্রসারিত")</f>
        <v>প্রশ্নঃ ধর্মীয় সুবিধা প্রসারিত</v>
      </c>
    </row>
    <row r="4953">
      <c r="A4953" s="2" t="s">
        <v>1930</v>
      </c>
      <c r="B4953" s="3" t="str">
        <f>IFERROR(__xludf.DUMMYFUNCTION("GOOGLETRANSLATE(A4953, ""ar"", ""bn"")"),"Amarji সেশন")</f>
        <v>Amarji সেশন</v>
      </c>
    </row>
    <row r="4954">
      <c r="A4954" s="2" t="s">
        <v>1091</v>
      </c>
      <c r="B4954" s="3" t="str">
        <f>IFERROR(__xludf.DUMMYFUNCTION("GOOGLETRANSLATE(A4954, ""ar"", ""bn"")"),"আন্তর্জাতিক আইন দরুন")</f>
        <v>আন্তর্জাতিক আইন দরুন</v>
      </c>
    </row>
    <row r="4955">
      <c r="A4955" s="2" t="s">
        <v>2360</v>
      </c>
      <c r="B4955" s="3" t="str">
        <f>IFERROR(__xludf.DUMMYFUNCTION("GOOGLETRANSLATE(A4955, ""ar"", ""bn"")"),"পাথর ছুঁড়ে মেরে ফেলল দূতাবাস")</f>
        <v>পাথর ছুঁড়ে মেরে ফেলল দূতাবাস</v>
      </c>
    </row>
    <row r="4956">
      <c r="A4956" s="2" t="s">
        <v>2655</v>
      </c>
      <c r="B4956" s="3" t="str">
        <f>IFERROR(__xludf.DUMMYFUNCTION("GOOGLETRANSLATE(A4956, ""ar"", ""bn"")"),"Amreh রাজনৈতিক সিদ্ধান্ত")</f>
        <v>Amreh রাজনৈতিক সিদ্ধান্ত</v>
      </c>
    </row>
    <row r="4957">
      <c r="A4957" s="2" t="s">
        <v>926</v>
      </c>
      <c r="B4957" s="3" t="str">
        <f>IFERROR(__xludf.DUMMYFUNCTION("GOOGLETRANSLATE(A4957, ""ar"", ""bn"")"),"মজাদার স্বদেশ থেকে বহিষ্কার করা")</f>
        <v>মজাদার স্বদেশ থেকে বহিষ্কার করা</v>
      </c>
    </row>
    <row r="4958">
      <c r="A4958" s="2" t="s">
        <v>2318</v>
      </c>
      <c r="B4958" s="3" t="str">
        <f>IFERROR(__xludf.DUMMYFUNCTION("GOOGLETRANSLATE(A4958, ""ar"", ""bn"")"),"Amrs x বিশ্ব শান্তি")</f>
        <v>Amrs x বিশ্ব শান্তি</v>
      </c>
    </row>
    <row r="4959">
      <c r="A4959" s="2" t="s">
        <v>2316</v>
      </c>
      <c r="B4959" s="3" t="str">
        <f>IFERROR(__xludf.DUMMYFUNCTION("GOOGLETRANSLATE(A4959, ""ar"", ""bn"")"),"Amrs x রাজনৈতিক পরিস্থিতি")</f>
        <v>Amrs x রাজনৈতিক পরিস্থিতি</v>
      </c>
    </row>
    <row r="4960">
      <c r="A4960" s="2" t="s">
        <v>1619</v>
      </c>
      <c r="B4960" s="3" t="str">
        <f>IFERROR(__xludf.DUMMYFUNCTION("GOOGLETRANSLATE(A4960, ""ar"", ""bn"")"),"কূটনৈতিক পোস্টের জন্য Amarch")</f>
        <v>কূটনৈতিক পোস্টের জন্য Amarch</v>
      </c>
    </row>
    <row r="4961">
      <c r="A4961" s="2" t="s">
        <v>2876</v>
      </c>
      <c r="B4961" s="3" t="str">
        <f>IFERROR(__xludf.DUMMYFUNCTION("GOOGLETRANSLATE(A4961, ""ar"", ""bn"")"),"এটা রাজনৈতিক সিদ্ধান্ত অস্বীকার করতে রাজি")</f>
        <v>এটা রাজনৈতিক সিদ্ধান্ত অস্বীকার করতে রাজি</v>
      </c>
    </row>
    <row r="4962">
      <c r="A4962" s="2" t="s">
        <v>2877</v>
      </c>
      <c r="B4962" s="3" t="str">
        <f>IFERROR(__xludf.DUMMYFUNCTION("GOOGLETRANSLATE(A4962, ""ar"", ""bn"")"),"Amard প্রত্যাখ্যান রাজনৈতিক কার্যালয়ে")</f>
        <v>Amard প্রত্যাখ্যান রাজনৈতিক কার্যালয়ে</v>
      </c>
    </row>
    <row r="4963">
      <c r="A4963" s="2" t="s">
        <v>2118</v>
      </c>
      <c r="B4963" s="3" t="str">
        <f>IFERROR(__xludf.DUMMYFUNCTION("GOOGLETRANSLATE(A4963, ""ar"", ""bn"")"),"চাইলেও পড়া বিশেষজ্ঞদের")</f>
        <v>চাইলেও পড়া বিশেষজ্ঞদের</v>
      </c>
    </row>
    <row r="4964">
      <c r="A4964" s="2" t="s">
        <v>2466</v>
      </c>
      <c r="B4964" s="3" t="str">
        <f>IFERROR(__xludf.DUMMYFUNCTION("GOOGLETRANSLATE(A4964, ""ar"", ""bn"")"),"Amrhb বেসামরিক")</f>
        <v>Amrhb বেসামরিক</v>
      </c>
    </row>
    <row r="4965">
      <c r="A4965" s="2" t="s">
        <v>967</v>
      </c>
      <c r="B4965" s="3" t="str">
        <f>IFERROR(__xludf.DUMMYFUNCTION("GOOGLETRANSLATE(A4965, ""ar"", ""bn"")"),"Amzo নির্বাচন টন")</f>
        <v>Amzo নির্বাচন টন</v>
      </c>
    </row>
    <row r="4966">
      <c r="A4966" s="2" t="s">
        <v>965</v>
      </c>
      <c r="B4966" s="3" t="str">
        <f>IFERROR(__xludf.DUMMYFUNCTION("GOOGLETRANSLATE(A4966, ""ar"", ""bn"")"),"টি Amzo তথ্য")</f>
        <v>টি Amzo তথ্য</v>
      </c>
    </row>
    <row r="4967">
      <c r="A4967" s="2" t="s">
        <v>966</v>
      </c>
      <c r="B4967" s="3" t="str">
        <f>IFERROR(__xludf.DUMMYFUNCTION("GOOGLETRANSLATE(A4967, ""ar"", ""bn"")"),"টি Amzo রাজনৈতিক বাস্তবতার")</f>
        <v>টি Amzo রাজনৈতিক বাস্তবতার</v>
      </c>
    </row>
    <row r="4968">
      <c r="A4968" s="2" t="s">
        <v>1338</v>
      </c>
      <c r="B4968" s="3" t="str">
        <f>IFERROR(__xludf.DUMMYFUNCTION("GOOGLETRANSLATE(A4968, ""ar"", ""bn"")"),"বাম")</f>
        <v>বাম</v>
      </c>
    </row>
    <row r="4969">
      <c r="A4969" s="2" t="s">
        <v>2878</v>
      </c>
      <c r="B4969" s="3" t="str">
        <f>IFERROR(__xludf.DUMMYFUNCTION("GOOGLETRANSLATE(A4969, ""ar"", ""bn"")"),"রাজনৈতিক সিদ্ধান্ত গ্রহণের অবদান")</f>
        <v>রাজনৈতিক সিদ্ধান্ত গ্রহণের অবদান</v>
      </c>
    </row>
    <row r="4970">
      <c r="A4970" s="2" t="s">
        <v>580</v>
      </c>
      <c r="B4970" s="3" t="str">
        <f>IFERROR(__xludf.DUMMYFUNCTION("GOOGLETRANSLATE(A4970, ""ar"", ""bn"")"),"টি বিশ্বব্যাপী উন্নয়নের Emsahm")</f>
        <v>টি বিশ্বব্যাপী উন্নয়নের Emsahm</v>
      </c>
    </row>
    <row r="4971">
      <c r="A4971" s="2" t="s">
        <v>2879</v>
      </c>
      <c r="B4971" s="3" t="str">
        <f>IFERROR(__xludf.DUMMYFUNCTION("GOOGLETRANSLATE(A4971, ""ar"", ""bn"")"),"Emsahm আন্তর্জাতিক সমস্যা সমাধানে")</f>
        <v>Emsahm আন্তর্জাতিক সমস্যা সমাধানে</v>
      </c>
    </row>
    <row r="4972">
      <c r="A4972" s="2" t="s">
        <v>2074</v>
      </c>
      <c r="B4972" s="3" t="str">
        <f>IFERROR(__xludf.DUMMYFUNCTION("GOOGLETRANSLATE(A4972, ""ar"", ""bn"")"),"রাষ্ট্রদূত কল")</f>
        <v>রাষ্ট্রদূত কল</v>
      </c>
    </row>
    <row r="4973">
      <c r="A4973" s="2" t="s">
        <v>2085</v>
      </c>
      <c r="B4973" s="3" t="str">
        <f>IFERROR(__xludf.DUMMYFUNCTION("GOOGLETRANSLATE(A4973, ""ar"", ""bn"")"),"অধিকৃত অঞ্চল পুনরুদ্ধার করুন")</f>
        <v>অধিকৃত অঞ্চল পুনরুদ্ধার করুন</v>
      </c>
    </row>
    <row r="4974">
      <c r="A4974" s="2" t="s">
        <v>2410</v>
      </c>
      <c r="B4974" s="3" t="str">
        <f>IFERROR(__xludf.DUMMYFUNCTION("GOOGLETRANSLATE(A4974, ""ar"", ""bn"")"),"শত্রুর কাছে আত্মসমর্পণ করে")</f>
        <v>শত্রুর কাছে আত্মসমর্পণ করে</v>
      </c>
    </row>
    <row r="4975">
      <c r="A4975" s="2" t="s">
        <v>570</v>
      </c>
      <c r="B4975" s="3" t="str">
        <f>IFERROR(__xludf.DUMMYFUNCTION("GOOGLETRANSLATE(A4975, ""ar"", ""bn"")"),"আন্তর্জাতিক বিশেষজ্ঞদের সঙ্গে আলোচনা করুন")</f>
        <v>আন্তর্জাতিক বিশেষজ্ঞদের সঙ্গে আলোচনা করুন</v>
      </c>
    </row>
    <row r="4976">
      <c r="A4976" s="2" t="s">
        <v>571</v>
      </c>
      <c r="B4976" s="3" t="str">
        <f>IFERROR(__xludf.DUMMYFUNCTION("GOOGLETRANSLATE(A4976, ""ar"", ""bn"")"),"আন্তর্জাতিক সম্প্রদায় সঙ্গে পরামর্শ করুন")</f>
        <v>আন্তর্জাতিক সম্প্রদায় সঙ্গে পরামর্শ করুন</v>
      </c>
    </row>
    <row r="4977">
      <c r="A4977" s="2" t="s">
        <v>2411</v>
      </c>
      <c r="B4977" s="3" t="str">
        <f>IFERROR(__xludf.DUMMYFUNCTION("GOOGLETRANSLATE(A4977, ""ar"", ""bn"")"),"জনমত খোঁজ")</f>
        <v>জনমত খোঁজ</v>
      </c>
    </row>
    <row r="4978">
      <c r="A4978" s="2" t="s">
        <v>2219</v>
      </c>
      <c r="B4978" s="3" t="str">
        <f>IFERROR(__xludf.DUMMYFUNCTION("GOOGLETRANSLATE(A4978, ""ar"", ""bn"")"),"রাজনৈতিক ঘটনা পর্যালোচনা")</f>
        <v>রাজনৈতিক ঘটনা পর্যালোচনা</v>
      </c>
    </row>
    <row r="4979">
      <c r="A4979" s="2" t="s">
        <v>2218</v>
      </c>
      <c r="B4979" s="3" t="str">
        <f>IFERROR(__xludf.DUMMYFUNCTION("GOOGLETRANSLATE(A4979, ""ar"", ""bn"")"),"এটা তোলে ঘটনাচক্র রিভিউ")</f>
        <v>এটা তোলে ঘটনাচক্র রিভিউ</v>
      </c>
    </row>
    <row r="4980">
      <c r="A4980" s="2" t="s">
        <v>2170</v>
      </c>
      <c r="B4980" s="3" t="str">
        <f>IFERROR(__xludf.DUMMYFUNCTION("GOOGLETRANSLATE(A4980, ""ar"", ""bn"")"),"অধিকৃত অঞ্চল ফিরে পাওয়া")</f>
        <v>অধিকৃত অঞ্চল ফিরে পাওয়া</v>
      </c>
    </row>
    <row r="4981">
      <c r="A4981" s="2" t="s">
        <v>2101</v>
      </c>
      <c r="B4981" s="3" t="str">
        <f>IFERROR(__xludf.DUMMYFUNCTION("GOOGLETRANSLATE(A4981, ""ar"", ""bn"")"),"সীমান্ত পুনর্দখল")</f>
        <v>সীমান্ত পুনর্দখল</v>
      </c>
    </row>
    <row r="4982">
      <c r="A4982" s="2" t="s">
        <v>2099</v>
      </c>
      <c r="B4982" s="3" t="str">
        <f>IFERROR(__xludf.DUMMYFUNCTION("GOOGLETRANSLATE(A4982, ""ar"", ""bn"")"),"সাইট নিয়ন্ত্রণ পুনরূদ্ধার")</f>
        <v>সাইট নিয়ন্ত্রণ পুনরূদ্ধার</v>
      </c>
    </row>
    <row r="4983">
      <c r="A4983" s="2" t="s">
        <v>2100</v>
      </c>
      <c r="B4983" s="3" t="str">
        <f>IFERROR(__xludf.DUMMYFUNCTION("GOOGLETRANSLATE(A4983, ""ar"", ""bn"")"),"কৌশল")</f>
        <v>কৌশল</v>
      </c>
    </row>
    <row r="4984">
      <c r="A4984" s="2" t="s">
        <v>1911</v>
      </c>
      <c r="B4984" s="3" t="str">
        <f>IFERROR(__xludf.DUMMYFUNCTION("GOOGLETRANSLATE(A4984, ""ar"", ""bn"")"),"জনমত আহকাম চাইতে")</f>
        <v>জনমত আহকাম চাইতে</v>
      </c>
    </row>
    <row r="4985">
      <c r="A4985" s="2" t="s">
        <v>2880</v>
      </c>
      <c r="B4985" s="3" t="str">
        <f>IFERROR(__xludf.DUMMYFUNCTION("GOOGLETRANSLATE(A4985, ""ar"", ""bn"")"),"একটি যুদ্ধবিরতি জন্য Astg সুবিধা")</f>
        <v>একটি যুদ্ধবিরতি জন্য Astg সুবিধা</v>
      </c>
    </row>
    <row r="4986">
      <c r="A4986" s="2" t="s">
        <v>2447</v>
      </c>
      <c r="B4986" s="3" t="str">
        <f>IFERROR(__xludf.DUMMYFUNCTION("GOOGLETRANSLATE(A4986, ""ar"", ""bn"")"),"বেসামরিক টার্গেটিং")</f>
        <v>বেসামরিক টার্গেটিং</v>
      </c>
    </row>
    <row r="4987">
      <c r="A4987" s="2" t="s">
        <v>2670</v>
      </c>
      <c r="B4987" s="3" t="str">
        <f>IFERROR(__xludf.DUMMYFUNCTION("GOOGLETRANSLATE(A4987, ""ar"", ""bn"")"),"স্বাধীনতা প্রত্যাহার")</f>
        <v>স্বাধীনতা প্রত্যাহার</v>
      </c>
    </row>
    <row r="4988">
      <c r="A4988" s="2" t="s">
        <v>2881</v>
      </c>
      <c r="B4988" s="3" t="str">
        <f>IFERROR(__xludf.DUMMYFUNCTION("GOOGLETRANSLATE(A4988, ""ar"", ""bn"")"),"কৌশলগত সাইটগুলোতে Amstr")</f>
        <v>কৌশলগত সাইটগুলোতে Amstr</v>
      </c>
    </row>
    <row r="4989">
      <c r="A4989" s="2" t="s">
        <v>2705</v>
      </c>
      <c r="B4989" s="3" t="str">
        <f>IFERROR(__xludf.DUMMYFUNCTION("GOOGLETRANSLATE(A4989, ""ar"", ""bn"")"),"Amsl অস্ত্র")</f>
        <v>Amsl অস্ত্র</v>
      </c>
    </row>
    <row r="4990">
      <c r="A4990" s="2" t="s">
        <v>1087</v>
      </c>
      <c r="B4990" s="3" t="str">
        <f>IFERROR(__xludf.DUMMYFUNCTION("GOOGLETRANSLATE(A4990, ""ar"", ""bn"")"),"Amsl চেয়ার")</f>
        <v>Amsl চেয়ার</v>
      </c>
    </row>
    <row r="4991">
      <c r="A4991" s="2" t="s">
        <v>866</v>
      </c>
      <c r="B4991" s="3" t="str">
        <f>IFERROR(__xludf.DUMMYFUNCTION("GOOGLETRANSLATE(A4991, ""ar"", ""bn"")"),"প্রণয়ন আন্তর্জাতিক সম্মেলনগুলোতে")</f>
        <v>প্রণয়ন আন্তর্জাতিক সম্মেলনগুলোতে</v>
      </c>
    </row>
    <row r="4992">
      <c r="A4992" s="2" t="s">
        <v>2299</v>
      </c>
      <c r="B4992" s="3" t="str">
        <f>IFERROR(__xludf.DUMMYFUNCTION("GOOGLETRANSLATE(A4992, ""ar"", ""bn"")"),"কূটনৈতিক পার্থক্য Impso")</f>
        <v>কূটনৈতিক পার্থক্য Impso</v>
      </c>
    </row>
    <row r="4993">
      <c r="A4993" s="2" t="s">
        <v>178</v>
      </c>
      <c r="B4993" s="3" t="str">
        <f>IFERROR(__xludf.DUMMYFUNCTION("GOOGLETRANSLATE(A4993, ""ar"", ""bn"")"),"আমার কূটনৈতিক অবস্থান Impso")</f>
        <v>আমার কূটনৈতিক অবস্থান Impso</v>
      </c>
    </row>
    <row r="4994">
      <c r="A4994" s="2" t="s">
        <v>2276</v>
      </c>
      <c r="B4994" s="3" t="str">
        <f>IFERROR(__xludf.DUMMYFUNCTION("GOOGLETRANSLATE(A4994, ""ar"", ""bn"")"),"দেশের মধ্যে বিরোধ Impso")</f>
        <v>দেশের মধ্যে বিরোধ Impso</v>
      </c>
    </row>
    <row r="4995">
      <c r="A4995" s="2" t="s">
        <v>2300</v>
      </c>
      <c r="B4995" s="3" t="str">
        <f>IFERROR(__xludf.DUMMYFUNCTION("GOOGLETRANSLATE(A4995, ""ar"", ""bn"")"),"রাজনৈতিক পরিস্থিতি Impso")</f>
        <v>রাজনৈতিক পরিস্থিতি Impso</v>
      </c>
    </row>
    <row r="4996">
      <c r="A4996" s="2" t="s">
        <v>1909</v>
      </c>
      <c r="B4996" s="3" t="str">
        <f>IFERROR(__xludf.DUMMYFUNCTION("GOOGLETRANSLATE(A4996, ""ar"", ""bn"")"),"প্রশ্নঃ আন্তর্জাতিক তদন্ত সন্ধ্যা আসে")</f>
        <v>প্রশ্নঃ আন্তর্জাতিক তদন্ত সন্ধ্যা আসে</v>
      </c>
    </row>
    <row r="4997">
      <c r="A4997" s="2" t="s">
        <v>2441</v>
      </c>
      <c r="B4997" s="3" t="str">
        <f>IFERROR(__xludf.DUMMYFUNCTION("GOOGLETRANSLATE(A4997, ""ar"", ""bn"")"),"Amsatr সীমান্ত")</f>
        <v>Amsatr সীমান্ত</v>
      </c>
    </row>
    <row r="4998">
      <c r="A4998" s="2" t="s">
        <v>2882</v>
      </c>
      <c r="B4998" s="3" t="str">
        <f>IFERROR(__xludf.DUMMYFUNCTION("GOOGLETRANSLATE(A4998, ""ar"", ""bn"")"),"কৌশলগত সাইটগুলোতে Amsatr")</f>
        <v>কৌশলগত সাইটগুলোতে Amsatr</v>
      </c>
    </row>
    <row r="4999">
      <c r="A4999" s="2" t="s">
        <v>2883</v>
      </c>
      <c r="B4999" s="3" t="str">
        <f>IFERROR(__xludf.DUMMYFUNCTION("GOOGLETRANSLATE(A4999, ""ar"", ""bn"")"),"কৌশলগত পয়েন্ট Amsatr")</f>
        <v>কৌশলগত পয়েন্ট Amsatr</v>
      </c>
    </row>
    <row r="5000">
      <c r="A5000" s="2" t="s">
        <v>2442</v>
      </c>
      <c r="B5000" s="3" t="str">
        <f>IFERROR(__xludf.DUMMYFUNCTION("GOOGLETRANSLATE(A5000, ""ar"", ""bn"")"),"Amsatr তেল সম্পদ")</f>
        <v>Amsatr তেল সম্পদ</v>
      </c>
    </row>
    <row r="5001">
      <c r="A5001" s="2" t="s">
        <v>2884</v>
      </c>
      <c r="B5001" s="3" t="str">
        <f>IFERROR(__xludf.DUMMYFUNCTION("GOOGLETRANSLATE(A5001, ""ar"", ""bn"")"),"কূটনৈতিক আলোচনায় Emcerk")</f>
        <v>কূটনৈতিক আলোচনায় Emcerk</v>
      </c>
    </row>
    <row r="5002">
      <c r="A5002" s="2" t="s">
        <v>2434</v>
      </c>
      <c r="B5002" s="3" t="str">
        <f>IFERROR(__xludf.DUMMYFUNCTION("GOOGLETRANSLATE(A5002, ""ar"", ""bn"")"),"সংলাপে Emcerk")</f>
        <v>সংলাপে Emcerk</v>
      </c>
    </row>
    <row r="5003">
      <c r="A5003" s="2" t="s">
        <v>2885</v>
      </c>
      <c r="B5003" s="3" t="str">
        <f>IFERROR(__xludf.DUMMYFUNCTION("GOOGLETRANSLATE(A5003, ""ar"", ""bn"")"),"কূটনৈতিক আলোচনায় Emcerk")</f>
        <v>কূটনৈতিক আলোচনায় Emcerk</v>
      </c>
    </row>
    <row r="5004">
      <c r="A5004" s="2" t="s">
        <v>2886</v>
      </c>
      <c r="B5004" s="3" t="str">
        <f>IFERROR(__xludf.DUMMYFUNCTION("GOOGLETRANSLATE(A5004, ""ar"", ""bn"")"),"রাজনৈতিক আলোচনায় Emcerk")</f>
        <v>রাজনৈতিক আলোচনায় Emcerk</v>
      </c>
    </row>
    <row r="5005">
      <c r="A5005" s="2" t="s">
        <v>2445</v>
      </c>
      <c r="B5005" s="3" t="str">
        <f>IFERROR(__xludf.DUMMYFUNCTION("GOOGLETRANSLATE(A5005, ""ar"", ""bn"")"),"আলোচনায় Emcerk")</f>
        <v>আলোচনায় Emcerk</v>
      </c>
    </row>
    <row r="5006">
      <c r="A5006" s="2" t="s">
        <v>2280</v>
      </c>
      <c r="B5006" s="3" t="str">
        <f>IFERROR(__xludf.DUMMYFUNCTION("GOOGLETRANSLATE(A5006, ""ar"", ""bn"")"),"সেয়ার মতামত")</f>
        <v>সেয়ার মতামত</v>
      </c>
    </row>
    <row r="5007">
      <c r="A5007" s="2" t="s">
        <v>499</v>
      </c>
      <c r="B5007" s="3" t="str">
        <f>IFERROR(__xludf.DUMMYFUNCTION("GOOGLETRANSLATE(A5007, ""ar"", ""bn"")"),"দুর্ব্যবহারের অভিযোগ")</f>
        <v>দুর্ব্যবহারের অভিযোগ</v>
      </c>
    </row>
    <row r="5008">
      <c r="A5008" s="2" t="s">
        <v>1299</v>
      </c>
      <c r="B5008" s="3" t="str">
        <f>IFERROR(__xludf.DUMMYFUNCTION("GOOGLETRANSLATE(A5008, ""ar"", ""bn"")"),"বেতার ট্রান্সমিশন তোমার দর্শন লগ করা উপর Imshaw")</f>
        <v>বেতার ট্রান্সমিশন তোমার দর্শন লগ করা উপর Imshaw</v>
      </c>
    </row>
    <row r="5009">
      <c r="A5009" s="2" t="s">
        <v>2887</v>
      </c>
      <c r="B5009" s="3" t="str">
        <f>IFERROR(__xludf.DUMMYFUNCTION("GOOGLETRANSLATE(A5009, ""ar"", ""bn"")"),"দেশের মধ্যে তার কূটনৈতিক সম্পর্ক Imshaw")</f>
        <v>দেশের মধ্যে তার কূটনৈতিক সম্পর্ক Imshaw</v>
      </c>
    </row>
    <row r="5010">
      <c r="A5010" s="2" t="s">
        <v>2888</v>
      </c>
      <c r="B5010" s="3" t="str">
        <f>IFERROR(__xludf.DUMMYFUNCTION("GOOGLETRANSLATE(A5010, ""ar"", ""bn"")"),"ই Imshaw রাজনৈতিক বাস্তবতার")</f>
        <v>ই Imshaw রাজনৈতিক বাস্তবতার</v>
      </c>
    </row>
    <row r="5011">
      <c r="A5011" s="2" t="s">
        <v>1297</v>
      </c>
      <c r="B5011" s="3" t="str">
        <f>IFERROR(__xludf.DUMMYFUNCTION("GOOGLETRANSLATE(A5011, ""ar"", ""bn"")"),"Amsdr রেডিও প্রত্যাহার")</f>
        <v>Amsdr রেডিও প্রত্যাহার</v>
      </c>
    </row>
    <row r="5012">
      <c r="A5012" s="2" t="s">
        <v>1298</v>
      </c>
      <c r="B5012" s="3" t="str">
        <f>IFERROR(__xludf.DUMMYFUNCTION("GOOGLETRANSLATE(A5012, ""ar"", ""bn"")"),"সংবাদপত্র প্রত্যাহার মধ্যে Amsdr")</f>
        <v>সংবাদপত্র প্রত্যাহার মধ্যে Amsdr</v>
      </c>
    </row>
    <row r="5013">
      <c r="A5013" s="2" t="s">
        <v>2889</v>
      </c>
      <c r="B5013" s="3" t="str">
        <f>IFERROR(__xludf.DUMMYFUNCTION("GOOGLETRANSLATE(A5013, ""ar"", ""bn"")"),"কূটনৈতিক চাপ সহ্য")</f>
        <v>কূটনৈতিক চাপ সহ্য</v>
      </c>
    </row>
    <row r="5014">
      <c r="A5014" s="2" t="s">
        <v>2675</v>
      </c>
      <c r="B5014" s="3" t="str">
        <f>IFERROR(__xludf.DUMMYFUNCTION("GOOGLETRANSLATE(A5014, ""ar"", ""bn"")"),"রাজনৈতিক দমন প্রতিরোধ")</f>
        <v>রাজনৈতিক দমন প্রতিরোধ</v>
      </c>
    </row>
    <row r="5015">
      <c r="A5015" s="2" t="s">
        <v>2611</v>
      </c>
      <c r="B5015" s="3" t="str">
        <f>IFERROR(__xludf.DUMMYFUNCTION("GOOGLETRANSLATE(A5015, ""ar"", ""bn"")"),"Amso টি প্রত্যাখ্যাত")</f>
        <v>Amso টি প্রত্যাখ্যাত</v>
      </c>
    </row>
    <row r="5016">
      <c r="A5016" s="2" t="s">
        <v>2612</v>
      </c>
      <c r="B5016" s="3" t="str">
        <f>IFERROR(__xludf.DUMMYFUNCTION("GOOGLETRANSLATE(A5016, ""ar"", ""bn"")"),"Amso টি যুদ্ধবিরতি")</f>
        <v>Amso টি যুদ্ধবিরতি</v>
      </c>
    </row>
    <row r="5017">
      <c r="A5017" s="2" t="s">
        <v>1952</v>
      </c>
      <c r="B5017" s="3" t="str">
        <f>IFERROR(__xludf.DUMMYFUNCTION("GOOGLETRANSLATE(A5017, ""ar"", ""bn"")"),"সাংবিধানিক সুরক্ষা")</f>
        <v>সাংবিধানিক সুরক্ষা</v>
      </c>
    </row>
    <row r="5018">
      <c r="A5018" s="2" t="s">
        <v>1953</v>
      </c>
      <c r="B5018" s="3" t="str">
        <f>IFERROR(__xludf.DUMMYFUNCTION("GOOGLETRANSLATE(A5018, ""ar"", ""bn"")"),"সেফগার্ড জননিরাপত্তা")</f>
        <v>সেফগার্ড জননিরাপত্তা</v>
      </c>
    </row>
    <row r="5019">
      <c r="A5019" s="2" t="s">
        <v>1951</v>
      </c>
      <c r="B5019" s="3" t="str">
        <f>IFERROR(__xludf.DUMMYFUNCTION("GOOGLETRANSLATE(A5019, ""ar"", ""bn"")"),"রাষ্ট্রের কর্তৃত্বের রক্ষা")</f>
        <v>রাষ্ট্রের কর্তৃত্বের রক্ষা</v>
      </c>
    </row>
    <row r="5020">
      <c r="A5020" s="2" t="s">
        <v>581</v>
      </c>
      <c r="B5020" s="3" t="str">
        <f>IFERROR(__xludf.DUMMYFUNCTION("GOOGLETRANSLATE(A5020, ""ar"", ""bn"")"),"সীমান্ত নির্ধারণ")</f>
        <v>সীমান্ত নির্ধারণ</v>
      </c>
    </row>
    <row r="5021">
      <c r="A5021" s="2" t="s">
        <v>1770</v>
      </c>
      <c r="B5021" s="3" t="str">
        <f>IFERROR(__xludf.DUMMYFUNCTION("GOOGLETRANSLATE(A5021, ""ar"", ""bn"")"),"তাড়না রাজনৈতিক বন্দীদের")</f>
        <v>তাড়না রাজনৈতিক বন্দীদের</v>
      </c>
    </row>
    <row r="5022">
      <c r="A5022" s="2" t="s">
        <v>2048</v>
      </c>
      <c r="B5022" s="3" t="str">
        <f>IFERROR(__xludf.DUMMYFUNCTION("GOOGLETRANSLATE(A5022, ""ar"", ""bn"")"),"সহিংসতা শেষ করা")</f>
        <v>সহিংসতা শেষ করা</v>
      </c>
    </row>
    <row r="5023">
      <c r="A5023" s="2" t="s">
        <v>2890</v>
      </c>
      <c r="B5023" s="3" t="str">
        <f>IFERROR(__xludf.DUMMYFUNCTION("GOOGLETRANSLATE(A5023, ""ar"", ""bn"")"),"রাজনৈতিক মতপার্থক্য একপাশে সরিয়ে রাখা")</f>
        <v>রাজনৈতিক মতপার্থক্য একপাশে সরিয়ে রাখা</v>
      </c>
    </row>
    <row r="5024">
      <c r="A5024" s="2" t="s">
        <v>823</v>
      </c>
      <c r="B5024" s="3" t="str">
        <f>IFERROR(__xludf.DUMMYFUNCTION("GOOGLETRANSLATE(A5024, ""ar"", ""bn"")"),"রাজনৈতিক কর্ম পরিকল্পনা রাখে")</f>
        <v>রাজনৈতিক কর্ম পরিকল্পনা রাখে</v>
      </c>
    </row>
    <row r="5025">
      <c r="A5025" s="2" t="s">
        <v>2049</v>
      </c>
      <c r="B5025" s="3" t="str">
        <f>IFERROR(__xludf.DUMMYFUNCTION("GOOGLETRANSLATE(A5025, ""ar"", ""bn"")"),"যুদ্ধ শেষ করা")</f>
        <v>যুদ্ধ শেষ করা</v>
      </c>
    </row>
    <row r="5026">
      <c r="A5026" s="2" t="s">
        <v>2891</v>
      </c>
      <c r="B5026" s="3" t="str">
        <f>IFERROR(__xludf.DUMMYFUNCTION("GOOGLETRANSLATE(A5026, ""ar"", ""bn"")"),"রাজনৈতিক মতপার্থক্য শেষ করা")</f>
        <v>রাজনৈতিক মতপার্থক্য শেষ করা</v>
      </c>
    </row>
    <row r="5027">
      <c r="A5027" s="2" t="s">
        <v>1082</v>
      </c>
      <c r="B5027" s="3" t="str">
        <f>IFERROR(__xludf.DUMMYFUNCTION("GOOGLETRANSLATE(A5027, ""ar"", ""bn"")"),"ব্যক্তিগত অধিকারের প্রতিশ্রুতি")</f>
        <v>ব্যক্তিগত অধিকারের প্রতিশ্রুতি</v>
      </c>
    </row>
    <row r="5028">
      <c r="A5028" s="2" t="s">
        <v>252</v>
      </c>
      <c r="B5028" s="3" t="str">
        <f>IFERROR(__xludf.DUMMYFUNCTION("GOOGLETRANSLATE(A5028, ""ar"", ""bn"")"),"বাগ জরুরী পদ্ধতি ছড়িয়ে")</f>
        <v>বাগ জরুরী পদ্ধতি ছড়িয়ে</v>
      </c>
    </row>
    <row r="5029">
      <c r="A5029" s="2" t="s">
        <v>253</v>
      </c>
      <c r="B5029" s="3" t="str">
        <f>IFERROR(__xludf.DUMMYFUNCTION("GOOGLETRANSLATE(A5029, ""ar"", ""bn"")"),"আন্তর্জাতিক আইনের প্রয়োগ")</f>
        <v>আন্তর্জাতিক আইনের প্রয়োগ</v>
      </c>
    </row>
    <row r="5030">
      <c r="A5030" s="2" t="s">
        <v>254</v>
      </c>
      <c r="B5030" s="3" t="str">
        <f>IFERROR(__xludf.DUMMYFUNCTION("GOOGLETRANSLATE(A5030, ""ar"", ""bn"")"),"Amtbak আইন")</f>
        <v>Amtbak আইন</v>
      </c>
    </row>
    <row r="5031">
      <c r="A5031" s="2" t="s">
        <v>901</v>
      </c>
      <c r="B5031" s="3" t="str">
        <f>IFERROR(__xludf.DUMMYFUNCTION("GOOGLETRANSLATE(A5031, ""ar"", ""bn"")"),"সম্পত্তি থেকে বহিষ্কৃত")</f>
        <v>সম্পত্তি থেকে বহিষ্কৃত</v>
      </c>
    </row>
    <row r="5032">
      <c r="A5032" s="2" t="s">
        <v>384</v>
      </c>
      <c r="B5032" s="3" t="str">
        <f>IFERROR(__xludf.DUMMYFUNCTION("GOOGLETRANSLATE(A5032, ""ar"", ""bn"")"),"আন্তর্জাতিক হস্তক্ষেপ চায়")</f>
        <v>আন্তর্জাতিক হস্তক্ষেপ চায়</v>
      </c>
    </row>
    <row r="5033">
      <c r="A5033" s="2" t="s">
        <v>2295</v>
      </c>
      <c r="B5033" s="3" t="str">
        <f>IFERROR(__xludf.DUMMYFUNCTION("GOOGLETRANSLATE(A5033, ""ar"", ""bn"")"),"আন্তর্জাতিক সুরক্ষা অনুরোধ করা হচ্ছে")</f>
        <v>আন্তর্জাতিক সুরক্ষা অনুরোধ করা হচ্ছে</v>
      </c>
    </row>
    <row r="5034">
      <c r="A5034" s="2" t="s">
        <v>249</v>
      </c>
      <c r="B5034" s="3" t="str">
        <f>IFERROR(__xludf.DUMMYFUNCTION("GOOGLETRANSLATE(A5034, ""ar"", ""bn"")"),"সাহায্যের জন্য জিজ্ঞাসা")</f>
        <v>সাহায্যের জন্য জিজ্ঞাসা</v>
      </c>
    </row>
    <row r="5035">
      <c r="A5035" s="2" t="s">
        <v>2892</v>
      </c>
      <c r="B5035" s="3" t="str">
        <f>IFERROR(__xludf.DUMMYFUNCTION("GOOGLETRANSLATE(A5035, ""ar"", ""bn"")"),"রাজনৈতিক বন্দীদের Amtaleg মুক্তি")</f>
        <v>রাজনৈতিক বন্দীদের Amtaleg মুক্তি</v>
      </c>
    </row>
    <row r="5036">
      <c r="A5036" s="2" t="s">
        <v>2125</v>
      </c>
      <c r="B5036" s="3" t="str">
        <f>IFERROR(__xludf.DUMMYFUNCTION("GOOGLETRANSLATE(A5036, ""ar"", ""bn"")"),"বন্দীদের Amtaleg মুক্তি")</f>
        <v>বন্দীদের Amtaleg মুক্তি</v>
      </c>
    </row>
    <row r="5037">
      <c r="A5037" s="2" t="s">
        <v>1422</v>
      </c>
      <c r="B5037" s="3" t="str">
        <f>IFERROR(__xludf.DUMMYFUNCTION("GOOGLETRANSLATE(A5037, ""ar"", ""bn"")"),"Ymazhr পক্ষপাত")</f>
        <v>Ymazhr পক্ষপাত</v>
      </c>
    </row>
    <row r="5038">
      <c r="A5038" s="2" t="s">
        <v>2133</v>
      </c>
      <c r="B5038" s="3" t="str">
        <f>IFERROR(__xludf.DUMMYFUNCTION("GOOGLETRANSLATE(A5038, ""ar"", ""bn"")"),"Amaid বাড়িতে")</f>
        <v>Amaid বাড়িতে</v>
      </c>
    </row>
    <row r="5039">
      <c r="A5039" s="2" t="s">
        <v>2893</v>
      </c>
      <c r="B5039" s="3" t="str">
        <f>IFERROR(__xludf.DUMMYFUNCTION("GOOGLETRANSLATE(A5039, ""ar"", ""bn"")"),"Aamaaml যুক্তরাষ্ট্র সমতার ভিত্তিতে")</f>
        <v>Aamaaml যুক্তরাষ্ট্র সমতার ভিত্তিতে</v>
      </c>
    </row>
    <row r="5040">
      <c r="A5040" s="2" t="s">
        <v>2497</v>
      </c>
      <c r="B5040" s="3" t="str">
        <f>IFERROR(__xludf.DUMMYFUNCTION("GOOGLETRANSLATE(A5040, ""ar"", ""bn"")"),"সমতার ভিত্তিতে Aamaaml")</f>
        <v>সমতার ভিত্তিতে Aamaaml</v>
      </c>
    </row>
    <row r="5041">
      <c r="A5041" s="2" t="s">
        <v>936</v>
      </c>
      <c r="B5041" s="3" t="str">
        <f>IFERROR(__xludf.DUMMYFUNCTION("GOOGLETRANSLATE(A5041, ""ar"", ""bn"")"),"রাজ্য ইচ্ছার জন্য Amabbar")</f>
        <v>রাজ্য ইচ্ছার জন্য Amabbar</v>
      </c>
    </row>
    <row r="5042">
      <c r="A5042" s="2" t="s">
        <v>935</v>
      </c>
      <c r="B5042" s="3" t="str">
        <f>IFERROR(__xludf.DUMMYFUNCTION("GOOGLETRANSLATE(A5042, ""ar"", ""bn"")"),"জনগণের ইচ্ছার জন্য Amab টি")</f>
        <v>জনগণের ইচ্ছার জন্য Amab টি</v>
      </c>
    </row>
    <row r="5043">
      <c r="A5043" s="2" t="s">
        <v>1689</v>
      </c>
      <c r="B5043" s="3" t="str">
        <f>IFERROR(__xludf.DUMMYFUNCTION("GOOGLETRANSLATE(A5043, ""ar"", ""bn"")"),"একটি ভেটো বিরোধিতা")</f>
        <v>একটি ভেটো বিরোধিতা</v>
      </c>
    </row>
    <row r="5044">
      <c r="A5044" s="2" t="s">
        <v>2078</v>
      </c>
      <c r="B5044" s="3" t="str">
        <f>IFERROR(__xludf.DUMMYFUNCTION("GOOGLETRANSLATE(A5044, ""ar"", ""bn"")"),"পৃথক স্বাধীনতা স্বীকার করে")</f>
        <v>পৃথক স্বাধীনতা স্বীকার করে</v>
      </c>
    </row>
    <row r="5045">
      <c r="A5045" s="2" t="s">
        <v>160</v>
      </c>
      <c r="B5045" s="3" t="str">
        <f>IFERROR(__xludf.DUMMYFUNCTION("GOOGLETRANSLATE(A5045, ""ar"", ""bn"")"),"এটা তোলে চুক্তি গ্রহণ")</f>
        <v>এটা তোলে চুক্তি গ্রহণ</v>
      </c>
    </row>
    <row r="5046">
      <c r="A5046" s="2" t="s">
        <v>1643</v>
      </c>
      <c r="B5046" s="3" t="str">
        <f>IFERROR(__xludf.DUMMYFUNCTION("GOOGLETRANSLATE(A5046, ""ar"", ""bn"")"),"Amarql পদ্ধতি")</f>
        <v>Amarql পদ্ধতি</v>
      </c>
    </row>
    <row r="5047">
      <c r="A5047" s="2" t="s">
        <v>2007</v>
      </c>
      <c r="B5047" s="3" t="str">
        <f>IFERROR(__xludf.DUMMYFUNCTION("GOOGLETRANSLATE(A5047, ""ar"", ""bn"")"),"শান্তি Amazz")</f>
        <v>শান্তি Amazz</v>
      </c>
    </row>
    <row r="5048">
      <c r="A5048" s="2" t="s">
        <v>2115</v>
      </c>
      <c r="B5048" s="3" t="str">
        <f>IFERROR(__xludf.DUMMYFUNCTION("GOOGLETRANSLATE(A5048, ""ar"", ""bn"")"),"Amaz ছ কূটনৈতিক সম্পর্ক")</f>
        <v>Amaz ছ কূটনৈতিক সম্পর্ক</v>
      </c>
    </row>
    <row r="5049">
      <c r="A5049" s="2" t="s">
        <v>2116</v>
      </c>
      <c r="B5049" s="3" t="str">
        <f>IFERROR(__xludf.DUMMYFUNCTION("GOOGLETRANSLATE(A5049, ""ar"", ""bn"")"),"Amaz ছ কূটনৈতিক অবস্থান")</f>
        <v>Amaz ছ কূটনৈতিক অবস্থান</v>
      </c>
    </row>
    <row r="5050">
      <c r="A5050" s="2" t="s">
        <v>2117</v>
      </c>
      <c r="B5050" s="3" t="str">
        <f>IFERROR(__xludf.DUMMYFUNCTION("GOOGLETRANSLATE(A5050, ""ar"", ""bn"")"),"Amaz ছ জাতীয় পরিচয়")</f>
        <v>Amaz ছ জাতীয় পরিচয়</v>
      </c>
    </row>
    <row r="5051">
      <c r="A5051" s="2" t="s">
        <v>1973</v>
      </c>
      <c r="B5051" s="3" t="str">
        <f>IFERROR(__xludf.DUMMYFUNCTION("GOOGLETRANSLATE(A5051, ""ar"", ""bn"")"),"Amaz ছ মানবাধিকার")</f>
        <v>Amaz ছ মানবাধিকার</v>
      </c>
    </row>
    <row r="5052">
      <c r="A5052" s="2" t="s">
        <v>1056</v>
      </c>
      <c r="B5052" s="3" t="str">
        <f>IFERROR(__xludf.DUMMYFUNCTION("GOOGLETRANSLATE(A5052, ""ar"", ""bn"")"),"Amattiy অগ্রাধিকার")</f>
        <v>Amattiy অগ্রাধিকার</v>
      </c>
    </row>
    <row r="5053">
      <c r="A5053" s="2" t="s">
        <v>479</v>
      </c>
      <c r="B5053" s="3" t="str">
        <f>IFERROR(__xludf.DUMMYFUNCTION("GOOGLETRANSLATE(A5053, ""ar"", ""bn"")"),"রাজনৈতিক বক্তৃতা উপর Amak খ")</f>
        <v>রাজনৈতিক বক্তৃতা উপর Amak খ</v>
      </c>
    </row>
    <row r="5054">
      <c r="A5054" s="2" t="s">
        <v>1108</v>
      </c>
      <c r="B5054" s="3" t="str">
        <f>IFERROR(__xludf.DUMMYFUNCTION("GOOGLETRANSLATE(A5054, ""ar"", ""bn"")"),"বৈঠক অনুষ্ঠিত হয়")</f>
        <v>বৈঠক অনুষ্ঠিত হয়</v>
      </c>
    </row>
    <row r="5055">
      <c r="A5055" s="2" t="s">
        <v>513</v>
      </c>
      <c r="B5055" s="3" t="str">
        <f>IFERROR(__xludf.DUMMYFUNCTION("GOOGLETRANSLATE(A5055, ""ar"", ""bn"")"),"স্থগিত অবস্থায় সাময়িক যুদ্ধবিরতি")</f>
        <v>স্থগিত অবস্থায় সাময়িক যুদ্ধবিরতি</v>
      </c>
    </row>
    <row r="5056">
      <c r="A5056" s="2" t="s">
        <v>2417</v>
      </c>
      <c r="B5056" s="3" t="str">
        <f>IFERROR(__xludf.DUMMYFUNCTION("GOOGLETRANSLATE(A5056, ""ar"", ""bn"")"),"অমল রাজনৈতিক আলোচনা")</f>
        <v>অমল রাজনৈতিক আলোচনা</v>
      </c>
    </row>
    <row r="5057">
      <c r="A5057" s="2" t="s">
        <v>2416</v>
      </c>
      <c r="B5057" s="3" t="str">
        <f>IFERROR(__xludf.DUMMYFUNCTION("GOOGLETRANSLATE(A5057, ""ar"", ""bn"")"),"আলে কূটনৈতিক আলোচনার")</f>
        <v>আলে কূটনৈতিক আলোচনার</v>
      </c>
    </row>
    <row r="5058">
      <c r="A5058" s="2" t="s">
        <v>294</v>
      </c>
      <c r="B5058" s="3" t="str">
        <f>IFERROR(__xludf.DUMMYFUNCTION("GOOGLETRANSLATE(A5058, ""ar"", ""bn"")"),"আলোচনা করতে Amalq গুরুত্ব")</f>
        <v>আলোচনা করতে Amalq গুরুত্ব</v>
      </c>
    </row>
    <row r="5059">
      <c r="A5059" s="2" t="s">
        <v>262</v>
      </c>
      <c r="B5059" s="3" t="str">
        <f>IFERROR(__xludf.DUMMYFUNCTION("GOOGLETRANSLATE(A5059, ""ar"", ""bn"")"),"কূটনীতি")</f>
        <v>কূটনীতি</v>
      </c>
    </row>
    <row r="5060">
      <c r="A5060" s="2" t="s">
        <v>243</v>
      </c>
      <c r="B5060" s="3" t="str">
        <f>IFERROR(__xludf.DUMMYFUNCTION("GOOGLETRANSLATE(A5060, ""ar"", ""bn"")"),"Amaln বিজয়")</f>
        <v>Amaln বিজয়</v>
      </c>
    </row>
    <row r="5061">
      <c r="A5061" s="2" t="s">
        <v>242</v>
      </c>
      <c r="B5061" s="3" t="str">
        <f>IFERROR(__xludf.DUMMYFUNCTION("GOOGLETRANSLATE(A5061, ""ar"", ""bn"")"),"এম আমার রাজনৈতিক সিদ্ধান্তের সাথে না")</f>
        <v>এম আমার রাজনৈতিক সিদ্ধান্তের সাথে না</v>
      </c>
    </row>
    <row r="5062">
      <c r="A5062" s="2" t="s">
        <v>642</v>
      </c>
      <c r="B5062" s="3" t="str">
        <f>IFERROR(__xludf.DUMMYFUNCTION("GOOGLETRANSLATE(A5062, ""ar"", ""bn"")"),"যুদ্ধের Amaln রাষ্ট্র")</f>
        <v>যুদ্ধের Amaln রাষ্ট্র</v>
      </c>
    </row>
    <row r="5063">
      <c r="A5063" s="2" t="s">
        <v>1349</v>
      </c>
      <c r="B5063" s="3" t="str">
        <f>IFERROR(__xludf.DUMMYFUNCTION("GOOGLETRANSLATE(A5063, ""ar"", ""bn"")"),"সিদ্ধান্ত Amaln বৈধতা")</f>
        <v>সিদ্ধান্ত Amaln বৈধতা</v>
      </c>
    </row>
    <row r="5064">
      <c r="A5064" s="2" t="s">
        <v>432</v>
      </c>
      <c r="B5064" s="3" t="str">
        <f>IFERROR(__xludf.DUMMYFUNCTION("GOOGLETRANSLATE(A5064, ""ar"", ""bn"")"),"Amuamm কূটনৈতিক প্রতিবেদন")</f>
        <v>Amuamm কূটনৈতিক প্রতিবেদন</v>
      </c>
    </row>
    <row r="5065">
      <c r="A5065" s="2" t="s">
        <v>433</v>
      </c>
      <c r="B5065" s="3" t="str">
        <f>IFERROR(__xludf.DUMMYFUNCTION("GOOGLETRANSLATE(A5065, ""ar"", ""bn"")"),"Amuamm রাজনৈতিক প্রতিবেদন")</f>
        <v>Amuamm রাজনৈতিক প্রতিবেদন</v>
      </c>
    </row>
    <row r="5066">
      <c r="A5066" s="2" t="s">
        <v>2894</v>
      </c>
      <c r="B5066" s="3" t="str">
        <f>IFERROR(__xludf.DUMMYFUNCTION("GOOGLETRANSLATE(A5066, ""ar"", ""bn"")"),"Amaid ফোর্সেস সামরিক তথ্য একত্রিতকরনের")</f>
        <v>Amaid ফোর্সেস সামরিক তথ্য একত্রিতকরনের</v>
      </c>
    </row>
    <row r="5067">
      <c r="A5067" s="2" t="s">
        <v>2169</v>
      </c>
      <c r="B5067" s="3" t="str">
        <f>IFERROR(__xludf.DUMMYFUNCTION("GOOGLETRANSLATE(A5067, ""ar"", ""bn"")"),"Amaid সীমান্ত প্রভেদ")</f>
        <v>Amaid সীমান্ত প্রভেদ</v>
      </c>
    </row>
    <row r="5068">
      <c r="A5068" s="2" t="s">
        <v>2895</v>
      </c>
      <c r="B5068" s="3" t="str">
        <f>IFERROR(__xludf.DUMMYFUNCTION("GOOGLETRANSLATE(A5068, ""ar"", ""bn"")"),"কূটনৈতিক কাজগুলো Amaid বন্টন")</f>
        <v>কূটনৈতিক কাজগুলো Amaid বন্টন</v>
      </c>
    </row>
    <row r="5069">
      <c r="A5069" s="2" t="s">
        <v>660</v>
      </c>
      <c r="B5069" s="3" t="str">
        <f>IFERROR(__xludf.DUMMYFUNCTION("GOOGLETRANSLATE(A5069, ""ar"", ""bn"")"),"Amaa এন সীমান্ত")</f>
        <v>Amaa এন সীমান্ত</v>
      </c>
    </row>
    <row r="5070">
      <c r="A5070" s="2" t="s">
        <v>943</v>
      </c>
      <c r="B5070" s="3" t="str">
        <f>IFERROR(__xludf.DUMMYFUNCTION("GOOGLETRANSLATE(A5070, ""ar"", ""bn"")"),"দখল জমি")</f>
        <v>দখল জমি</v>
      </c>
    </row>
    <row r="5071">
      <c r="A5071" s="2" t="s">
        <v>615</v>
      </c>
      <c r="B5071" s="3" t="str">
        <f>IFERROR(__xludf.DUMMYFUNCTION("GOOGLETRANSLATE(A5071, ""ar"", ""bn"")"),"Amgueta রাজনৈতিক সংবাদ")</f>
        <v>Amgueta রাজনৈতিক সংবাদ</v>
      </c>
    </row>
    <row r="5072">
      <c r="A5072" s="2" t="s">
        <v>295</v>
      </c>
      <c r="B5072" s="3" t="str">
        <f>IFERROR(__xludf.DUMMYFUNCTION("GOOGLETRANSLATE(A5072, ""ar"", ""bn"")"),"এম ঞ শত্রু")</f>
        <v>এম ঞ শত্রু</v>
      </c>
    </row>
    <row r="5073">
      <c r="A5073" s="2" t="s">
        <v>1596</v>
      </c>
      <c r="B5073" s="3" t="str">
        <f>IFERROR(__xludf.DUMMYFUNCTION("GOOGLETRANSLATE(A5073, ""ar"", ""bn"")"),"Amfawd শান্তি")</f>
        <v>Amfawd শান্তি</v>
      </c>
    </row>
    <row r="5074">
      <c r="A5074" s="2" t="s">
        <v>1678</v>
      </c>
      <c r="B5074" s="3" t="str">
        <f>IFERROR(__xludf.DUMMYFUNCTION("GOOGLETRANSLATE(A5074, ""ar"", ""bn"")"),"দেশের মধ্যে সীমানা খুলুন")</f>
        <v>দেশের মধ্যে সীমানা খুলুন</v>
      </c>
    </row>
    <row r="5075">
      <c r="A5075" s="2" t="s">
        <v>354</v>
      </c>
      <c r="B5075" s="3" t="str">
        <f>IFERROR(__xludf.DUMMYFUNCTION("GOOGLETRANSLATE(A5075, ""ar"", ""bn"")"),"Amfj টি বিমান")</f>
        <v>Amfj টি বিমান</v>
      </c>
    </row>
    <row r="5076">
      <c r="A5076" s="2" t="s">
        <v>1157</v>
      </c>
      <c r="B5076" s="3" t="str">
        <f>IFERROR(__xludf.DUMMYFUNCTION("GOOGLETRANSLATE(A5076, ""ar"", ""bn"")"),"কর্তৃপক্ষ আরোপ")</f>
        <v>কর্তৃপক্ষ আরোপ</v>
      </c>
    </row>
    <row r="5077">
      <c r="A5077" s="2" t="s">
        <v>1156</v>
      </c>
      <c r="B5077" s="3" t="str">
        <f>IFERROR(__xludf.DUMMYFUNCTION("GOOGLETRANSLATE(A5077, ""ar"", ""bn"")"),"রাজনৈতিক ক্ষমতা আরোপ")</f>
        <v>রাজনৈতিক ক্ষমতা আরোপ</v>
      </c>
    </row>
    <row r="5078">
      <c r="A5078" s="2" t="s">
        <v>869</v>
      </c>
      <c r="B5078" s="3" t="str">
        <f>IFERROR(__xludf.DUMMYFUNCTION("GOOGLETRANSLATE(A5078, ""ar"", ""bn"")"),"পাওয়ার জোর করে চাপিয়ে")</f>
        <v>পাওয়ার জোর করে চাপিয়ে</v>
      </c>
    </row>
    <row r="5079">
      <c r="A5079" s="2" t="s">
        <v>870</v>
      </c>
      <c r="B5079" s="3" t="str">
        <f>IFERROR(__xludf.DUMMYFUNCTION("GOOGLETRANSLATE(A5079, ""ar"", ""bn"")"),"imposes বিধিনিষেধ")</f>
        <v>imposes বিধিনিষেধ</v>
      </c>
    </row>
    <row r="5080">
      <c r="A5080" s="2" t="s">
        <v>1155</v>
      </c>
      <c r="B5080" s="3" t="str">
        <f>IFERROR(__xludf.DUMMYFUNCTION("GOOGLETRANSLATE(A5080, ""ar"", ""bn"")"),"রাজনৈতিক দায়িত্ব আরোপ")</f>
        <v>রাজনৈতিক দায়িত্ব আরোপ</v>
      </c>
    </row>
    <row r="5081">
      <c r="A5081" s="2" t="s">
        <v>868</v>
      </c>
      <c r="B5081" s="3" t="str">
        <f>IFERROR(__xludf.DUMMYFUNCTION("GOOGLETRANSLATE(A5081, ""ar"", ""bn"")"),"একটি যুদ্ধবিরতি imposes")</f>
        <v>একটি যুদ্ধবিরতি imposes</v>
      </c>
    </row>
    <row r="5082">
      <c r="A5082" s="2" t="s">
        <v>1033</v>
      </c>
      <c r="B5082" s="3" t="str">
        <f>IFERROR(__xludf.DUMMYFUNCTION("GOOGLETRANSLATE(A5082, ""ar"", ""bn"")"),"Amvzaa বেসামরিক")</f>
        <v>Amvzaa বেসামরিক</v>
      </c>
    </row>
    <row r="5083">
      <c r="A5083" s="2" t="s">
        <v>927</v>
      </c>
      <c r="B5083" s="3" t="str">
        <f>IFERROR(__xludf.DUMMYFUNCTION("GOOGLETRANSLATE(A5083, ""ar"", ""bn"")"),"পার্টি থেকে বহিষ্কৃত আলাদা")</f>
        <v>পার্টি থেকে বহিষ্কৃত আলাদা</v>
      </c>
    </row>
    <row r="5084">
      <c r="A5084" s="2" t="s">
        <v>2155</v>
      </c>
      <c r="B5084" s="3" t="str">
        <f>IFERROR(__xludf.DUMMYFUNCTION("GOOGLETRANSLATE(A5084, ""ar"", ""bn"")"),"Amquaom রাজনৈতিক চাপ")</f>
        <v>Amquaom রাজনৈতিক চাপ</v>
      </c>
    </row>
    <row r="5085">
      <c r="A5085" s="2" t="s">
        <v>2156</v>
      </c>
      <c r="B5085" s="3" t="str">
        <f>IFERROR(__xludf.DUMMYFUNCTION("GOOGLETRANSLATE(A5085, ""ar"", ""bn"")"),"Amquaom রাজনৈতিক দমন")</f>
        <v>Amquaom রাজনৈতিক দমন</v>
      </c>
    </row>
    <row r="5086">
      <c r="A5086" s="2" t="s">
        <v>1288</v>
      </c>
      <c r="B5086" s="3" t="str">
        <f>IFERROR(__xludf.DUMMYFUNCTION("GOOGLETRANSLATE(A5086, ""ar"", ""bn"")"),"শত্রু সেনাদের বিভিন্ন পদে মধ্যে ভঙ্গ")</f>
        <v>শত্রু সেনাদের বিভিন্ন পদে মধ্যে ভঙ্গ</v>
      </c>
    </row>
    <row r="5087">
      <c r="A5087" s="2" t="s">
        <v>2896</v>
      </c>
      <c r="B5087" s="3" t="str">
        <f>IFERROR(__xludf.DUMMYFUNCTION("GOOGLETRANSLATE(A5087, ""ar"", ""bn"")"),"আন্তর্জাতিক কূটনৈতিক নিষেধাজ্ঞার প্রস্তাব")</f>
        <v>আন্তর্জাতিক কূটনৈতিক নিষেধাজ্ঞার প্রস্তাব</v>
      </c>
    </row>
    <row r="5088">
      <c r="A5088" s="2" t="s">
        <v>2392</v>
      </c>
      <c r="B5088" s="3" t="str">
        <f>IFERROR(__xludf.DUMMYFUNCTION("GOOGLETRANSLATE(A5088, ""ar"", ""bn"")"),"আন্তর্জাতিক নিষেধাজ্ঞার প্রস্তাব")</f>
        <v>আন্তর্জাতিক নিষেধাজ্ঞার প্রস্তাব</v>
      </c>
    </row>
    <row r="5089">
      <c r="A5089" s="2" t="s">
        <v>2384</v>
      </c>
      <c r="B5089" s="3" t="str">
        <f>IFERROR(__xludf.DUMMYFUNCTION("GOOGLETRANSLATE(A5089, ""ar"", ""bn"")"),"Amekd প্রমাণ")</f>
        <v>Amekd প্রমাণ</v>
      </c>
    </row>
    <row r="5090">
      <c r="A5090" s="2" t="s">
        <v>1417</v>
      </c>
      <c r="B5090" s="3" t="str">
        <f>IFERROR(__xludf.DUMMYFUNCTION("GOOGLETRANSLATE(A5090, ""ar"", ""bn"")"),"Amekdm ছাড়")</f>
        <v>Amekdm ছাড়</v>
      </c>
    </row>
    <row r="5091">
      <c r="A5091" s="2" t="s">
        <v>638</v>
      </c>
      <c r="B5091" s="3" t="str">
        <f>IFERROR(__xludf.DUMMYFUNCTION("GOOGLETRANSLATE(A5091, ""ar"", ""bn"")"),"Amqr সর্বসম্মতিক্রমে")</f>
        <v>Amqr সর্বসম্মতিক্রমে</v>
      </c>
    </row>
    <row r="5092">
      <c r="A5092" s="2" t="s">
        <v>359</v>
      </c>
      <c r="B5092" s="3" t="str">
        <f>IFERROR(__xludf.DUMMYFUNCTION("GOOGLETRANSLATE(A5092, ""ar"", ""bn"")"),"শহরগুলোর বোমাবর্ষণ")</f>
        <v>শহরগুলোর বোমাবর্ষণ</v>
      </c>
    </row>
    <row r="5093">
      <c r="A5093" s="2" t="s">
        <v>240</v>
      </c>
      <c r="B5093" s="3" t="str">
        <f>IFERROR(__xludf.DUMMYFUNCTION("GOOGLETRANSLATE(A5093, ""ar"", ""bn"")"),"মানব জাতি ঘটিয়েছে")</f>
        <v>মানব জাতি ঘটিয়েছে</v>
      </c>
    </row>
    <row r="5094">
      <c r="A5094" s="2" t="s">
        <v>632</v>
      </c>
      <c r="B5094" s="3" t="str">
        <f>IFERROR(__xludf.DUMMYFUNCTION("GOOGLETRANSLATE(A5094, ""ar"", ""bn"")"),"তেল সরবরাহ ছিন্ন")</f>
        <v>তেল সরবরাহ ছিন্ন</v>
      </c>
    </row>
    <row r="5095">
      <c r="A5095" s="2" t="s">
        <v>2320</v>
      </c>
      <c r="B5095" s="3" t="str">
        <f>IFERROR(__xludf.DUMMYFUNCTION("GOOGLETRANSLATE(A5095, ""ar"", ""bn"")"),"এই সিদ্ধান্তের বিরুদ্ধে দাঁড়িয়ে")</f>
        <v>এই সিদ্ধান্তের বিরুদ্ধে দাঁড়িয়ে</v>
      </c>
    </row>
    <row r="5096">
      <c r="A5096" s="2" t="s">
        <v>2138</v>
      </c>
      <c r="B5096" s="3" t="str">
        <f>IFERROR(__xludf.DUMMYFUNCTION("GOOGLETRANSLATE(A5096, ""ar"", ""bn"")"),"শুষে অস্থিরতা")</f>
        <v>শুষে অস্থিরতা</v>
      </c>
    </row>
    <row r="5097">
      <c r="A5097" s="2" t="s">
        <v>2141</v>
      </c>
      <c r="B5097" s="3" t="str">
        <f>IFERROR(__xludf.DUMMYFUNCTION("GOOGLETRANSLATE(A5097, ""ar"", ""bn"")"),"শুষে বিরোধী")</f>
        <v>শুষে বিরোধী</v>
      </c>
    </row>
    <row r="5098">
      <c r="A5098" s="2" t="s">
        <v>2140</v>
      </c>
      <c r="B5098" s="3" t="str">
        <f>IFERROR(__xludf.DUMMYFUNCTION("GOOGLETRANSLATE(A5098, ""ar"", ""bn"")"),"প্রতিরোধের দমন")</f>
        <v>প্রতিরোধের দমন</v>
      </c>
    </row>
    <row r="5099">
      <c r="A5099" s="2" t="s">
        <v>2897</v>
      </c>
      <c r="B5099" s="3" t="str">
        <f>IFERROR(__xludf.DUMMYFUNCTION("GOOGLETRANSLATE(A5099, ""ar"", ""bn"")"),"Amqam রাজনৈতিক ভারসাম্য")</f>
        <v>Amqam রাজনৈতিক ভারসাম্য</v>
      </c>
    </row>
    <row r="5100">
      <c r="A5100" s="2" t="s">
        <v>2898</v>
      </c>
      <c r="B5100" s="3" t="str">
        <f>IFERROR(__xludf.DUMMYFUNCTION("GOOGLETRANSLATE(A5100, ""ar"", ""bn"")"),"যুক্তরাষ্ট্র মধ্যে Amqam গঠনমূলক সংলাপ")</f>
        <v>যুক্তরাষ্ট্র মধ্যে Amqam গঠনমূলক সংলাপ</v>
      </c>
    </row>
    <row r="5101">
      <c r="A5101" s="2" t="s">
        <v>2899</v>
      </c>
      <c r="B5101" s="3" t="str">
        <f>IFERROR(__xludf.DUMMYFUNCTION("GOOGLETRANSLATE(A5101, ""ar"", ""bn"")"),"শান্তি Amqam স্থায়ী")</f>
        <v>শান্তি Amqam স্থায়ী</v>
      </c>
    </row>
    <row r="5102">
      <c r="A5102" s="2" t="s">
        <v>2900</v>
      </c>
      <c r="B5102" s="3" t="str">
        <f>IFERROR(__xludf.DUMMYFUNCTION("GOOGLETRANSLATE(A5102, ""ar"", ""bn"")"),"কূটনৈতিক সম্পর্কের Amqam সেতু")</f>
        <v>কূটনৈতিক সম্পর্কের Amqam সেতু</v>
      </c>
    </row>
    <row r="5103">
      <c r="A5103" s="2" t="s">
        <v>2901</v>
      </c>
      <c r="B5103" s="3" t="str">
        <f>IFERROR(__xludf.DUMMYFUNCTION("GOOGLETRANSLATE(A5103, ""ar"", ""bn"")"),"সংহতি এবং ইকুইটি Amqam বিশ্বের")</f>
        <v>সংহতি এবং ইকুইটি Amqam বিশ্বের</v>
      </c>
    </row>
    <row r="5104">
      <c r="A5104" s="2" t="s">
        <v>2902</v>
      </c>
      <c r="B5104" s="3" t="str">
        <f>IFERROR(__xludf.DUMMYFUNCTION("GOOGLETRANSLATE(A5104, ""ar"", ""bn"")"),"Amqam নতুন রাজনৈতিক ব্যবস্থা")</f>
        <v>Amqam নতুন রাজনৈতিক ব্যবস্থা</v>
      </c>
    </row>
    <row r="5105">
      <c r="A5105" s="2" t="s">
        <v>226</v>
      </c>
      <c r="B5105" s="3" t="str">
        <f>IFERROR(__xludf.DUMMYFUNCTION("GOOGLETRANSLATE(A5105, ""ar"", ""bn"")"),"Amikd প্রশ্ন অস্ত্র")</f>
        <v>Amikd প্রশ্ন অস্ত্র</v>
      </c>
    </row>
    <row r="5106">
      <c r="A5106" s="2" t="s">
        <v>2903</v>
      </c>
      <c r="B5106" s="3" t="str">
        <f>IFERROR(__xludf.DUMMYFUNCTION("GOOGLETRANSLATE(A5106, ""ar"", ""bn"")"),"আসলে রাজনৈতিক পরিস্থিতি যে প্রকাশ করে")</f>
        <v>আসলে রাজনৈতিক পরিস্থিতি যে প্রকাশ করে</v>
      </c>
    </row>
    <row r="5107">
      <c r="A5107" s="2" t="s">
        <v>2904</v>
      </c>
      <c r="B5107" s="3" t="str">
        <f>IFERROR(__xludf.DUMMYFUNCTION("GOOGLETRANSLATE(A5107, ""ar"", ""bn"")"),"রাজনৈতিক পরিস্থিতির গুরুত্ব প্রকাশ করে")</f>
        <v>রাজনৈতিক পরিস্থিতির গুরুত্ব প্রকাশ করে</v>
      </c>
    </row>
    <row r="5108">
      <c r="A5108" s="2" t="s">
        <v>502</v>
      </c>
      <c r="B5108" s="3" t="str">
        <f>IFERROR(__xludf.DUMMYFUNCTION("GOOGLETRANSLATE(A5108, ""ar"", ""bn"")"),"কূটনৈতিক নিয়ম মেনে চলা")</f>
        <v>কূটনৈতিক নিয়ম মেনে চলা</v>
      </c>
    </row>
    <row r="5109">
      <c r="A5109" s="2" t="s">
        <v>2475</v>
      </c>
      <c r="B5109" s="3" t="str">
        <f>IFERROR(__xludf.DUMMYFUNCTION("GOOGLETRANSLATE(A5109, ""ar"", ""bn"")"),"রাজনৈতিক সিদ্ধান্ত মেনে চলতে")</f>
        <v>রাজনৈতিক সিদ্ধান্ত মেনে চলতে</v>
      </c>
    </row>
    <row r="5110">
      <c r="A5110" s="2" t="s">
        <v>2296</v>
      </c>
      <c r="B5110" s="3" t="str">
        <f>IFERROR(__xludf.DUMMYFUNCTION("GOOGLETRANSLATE(A5110, ""ar"", ""bn"")"),"নির্বাচনী ভোট খোঁজ")</f>
        <v>নির্বাচনী ভোট খোঁজ</v>
      </c>
    </row>
    <row r="5111">
      <c r="A5111" s="2" t="s">
        <v>2294</v>
      </c>
      <c r="B5111" s="3" t="str">
        <f>IFERROR(__xludf.DUMMYFUNCTION("GOOGLETRANSLATE(A5111, ""ar"", ""bn"")"),"আন্তর্জাতিক জনমত খোঁজ")</f>
        <v>আন্তর্জাতিক জনমত খোঁজ</v>
      </c>
    </row>
    <row r="5112">
      <c r="A5112" s="2" t="s">
        <v>2292</v>
      </c>
      <c r="B5112" s="3" t="str">
        <f>IFERROR(__xludf.DUMMYFUNCTION("GOOGLETRANSLATE(A5112, ""ar"", ""bn"")"),"আন্তর্জাতিক সম্প্রদায় মতামত খোঁজ")</f>
        <v>আন্তর্জাতিক সম্প্রদায় মতামত খোঁজ</v>
      </c>
    </row>
    <row r="5113">
      <c r="A5113" s="2" t="s">
        <v>1092</v>
      </c>
      <c r="B5113" s="3" t="str">
        <f>IFERROR(__xludf.DUMMYFUNCTION("GOOGLETRANSLATE(A5113, ""ar"", ""bn"")"),"যুদ্ধে অবলম্বন")</f>
        <v>যুদ্ধে অবলম্বন</v>
      </c>
    </row>
    <row r="5114">
      <c r="A5114" s="2" t="s">
        <v>1771</v>
      </c>
      <c r="B5114" s="3" t="str">
        <f>IFERROR(__xludf.DUMMYFUNCTION("GOOGLETRANSLATE(A5114, ""ar"", ""bn"")"),"এটি একটি গুরুত্বপূর্ণ কূটনৈতিক ভূমিকা পালন করে")</f>
        <v>এটি একটি গুরুত্বপূর্ণ কূটনৈতিক ভূমিকা পালন করে</v>
      </c>
    </row>
    <row r="5115">
      <c r="A5115" s="2" t="s">
        <v>2905</v>
      </c>
      <c r="B5115" s="3" t="str">
        <f>IFERROR(__xludf.DUMMYFUNCTION("GOOGLETRANSLATE(A5115, ""ar"", ""bn"")"),"Imlga একাউন্টে কমপক্ষে নিতে")</f>
        <v>Imlga একাউন্টে কমপক্ষে নিতে</v>
      </c>
    </row>
    <row r="5116">
      <c r="A5116" s="2" t="s">
        <v>388</v>
      </c>
      <c r="B5116" s="3" t="str">
        <f>IFERROR(__xludf.DUMMYFUNCTION("GOOGLETRANSLATE(A5116, ""ar"", ""bn"")"),"Imlga সরকারি সফরে")</f>
        <v>Imlga সরকারি সফরে</v>
      </c>
    </row>
    <row r="5117">
      <c r="A5117" s="2" t="s">
        <v>2404</v>
      </c>
      <c r="B5117" s="3" t="str">
        <f>IFERROR(__xludf.DUMMYFUNCTION("GOOGLETRANSLATE(A5117, ""ar"", ""bn"")"),"Imlga মানুষের মধ্যে দূরত্ব")</f>
        <v>Imlga মানুষের মধ্যে দূরত্ব</v>
      </c>
    </row>
    <row r="5118">
      <c r="A5118" s="2" t="s">
        <v>387</v>
      </c>
      <c r="B5118" s="3" t="str">
        <f>IFERROR(__xludf.DUMMYFUNCTION("GOOGLETRANSLATE(A5118, ""ar"", ""bn"")"),"Imlga কূটনৈতিক মিশন")</f>
        <v>Imlga কূটনৈতিক মিশন</v>
      </c>
    </row>
    <row r="5119">
      <c r="A5119" s="2" t="s">
        <v>2906</v>
      </c>
      <c r="B5119" s="3" t="str">
        <f>IFERROR(__xludf.DUMMYFUNCTION("GOOGLETRANSLATE(A5119, ""ar"", ""bn"")"),"রাজনৈতিক সমস্যা Amgay আলো")</f>
        <v>রাজনৈতিক সমস্যা Amgay আলো</v>
      </c>
    </row>
    <row r="5120">
      <c r="A5120" s="2" t="s">
        <v>579</v>
      </c>
      <c r="B5120" s="3" t="str">
        <f>IFERROR(__xludf.DUMMYFUNCTION("GOOGLETRANSLATE(A5120, ""ar"", ""bn"")"),"আন্তর্জাতিক")</f>
        <v>আন্তর্জাতিক</v>
      </c>
    </row>
    <row r="5121">
      <c r="A5121" s="2" t="s">
        <v>2368</v>
      </c>
      <c r="B5121" s="3" t="str">
        <f>IFERROR(__xludf.DUMMYFUNCTION("GOOGLETRANSLATE(A5121, ""ar"", ""bn"")"),"নির্ভরতা জন্য Ammars চাপ")</f>
        <v>নির্ভরতা জন্য Ammars চাপ</v>
      </c>
    </row>
    <row r="5122">
      <c r="A5122" s="2" t="s">
        <v>468</v>
      </c>
      <c r="B5122" s="3" t="str">
        <f>IFERROR(__xludf.DUMMYFUNCTION("GOOGLETRANSLATE(A5122, ""ar"", ""bn"")"),"রাজনৈতিক")</f>
        <v>রাজনৈতিক</v>
      </c>
    </row>
    <row r="5123">
      <c r="A5123" s="2" t="s">
        <v>691</v>
      </c>
      <c r="B5123" s="3" t="str">
        <f>IFERROR(__xludf.DUMMYFUNCTION("GOOGLETRANSLATE(A5123, ""ar"", ""bn"")"),"থেকে বিরত করার অধিকার আদায়")</f>
        <v>থেকে বিরত করার অধিকার আদায়</v>
      </c>
    </row>
    <row r="5124">
      <c r="A5124" s="2" t="s">
        <v>151</v>
      </c>
      <c r="B5124" s="3" t="str">
        <f>IFERROR(__xludf.DUMMYFUNCTION("GOOGLETRANSLATE(A5124, ""ar"", ""bn"")"),"ভোটিং থেকে বিরত")</f>
        <v>ভোটিং থেকে বিরত</v>
      </c>
    </row>
    <row r="5125">
      <c r="A5125" s="2" t="s">
        <v>2139</v>
      </c>
      <c r="B5125" s="3" t="str">
        <f>IFERROR(__xludf.DUMMYFUNCTION("GOOGLETRANSLATE(A5125, ""ar"", ""bn"")"),"মন্তব্য করা থেকে বিরত থাকুন")</f>
        <v>মন্তব্য করা থেকে বিরত থাকুন</v>
      </c>
    </row>
    <row r="5126">
      <c r="A5126" s="2" t="s">
        <v>2136</v>
      </c>
      <c r="B5126" s="3" t="str">
        <f>IFERROR(__xludf.DUMMYFUNCTION("GOOGLETRANSLATE(A5126, ""ar"", ""bn"")"),"Ammt ক্ষমতা")</f>
        <v>Ammt ক্ষমতা</v>
      </c>
    </row>
    <row r="5127">
      <c r="A5127" s="2" t="s">
        <v>414</v>
      </c>
      <c r="B5127" s="3" t="str">
        <f>IFERROR(__xludf.DUMMYFUNCTION("GOOGLETRANSLATE(A5127, ""ar"", ""bn"")"),"Amamrkz ক্ষমতা")</f>
        <v>Amamrkz ক্ষমতা</v>
      </c>
    </row>
    <row r="5128">
      <c r="A5128" s="2" t="s">
        <v>190</v>
      </c>
      <c r="B5128" s="3" t="str">
        <f>IFERROR(__xludf.DUMMYFUNCTION("GOOGLETRANSLATE(A5128, ""ar"", ""bn"")"),"মানব অধিকার প্রভাবিত")</f>
        <v>মানব অধিকার প্রভাবিত</v>
      </c>
    </row>
    <row r="5129">
      <c r="A5129" s="2" t="s">
        <v>189</v>
      </c>
      <c r="B5129" s="3" t="str">
        <f>IFERROR(__xludf.DUMMYFUNCTION("GOOGLETRANSLATE(A5129, ""ar"", ""bn"")"),"কূটনৈতিক সম্পর্ক প্রভাবিত")</f>
        <v>কূটনৈতিক সম্পর্ক প্রভাবিত</v>
      </c>
    </row>
    <row r="5130">
      <c r="A5130" s="2" t="s">
        <v>192</v>
      </c>
      <c r="B5130" s="3" t="str">
        <f>IFERROR(__xludf.DUMMYFUNCTION("GOOGLETRANSLATE(A5130, ""ar"", ""bn"")"),"রাজনৈতিক স্বার্থে প্রভাব ফেলতে")</f>
        <v>রাজনৈতিক স্বার্থে প্রভাব ফেলতে</v>
      </c>
    </row>
    <row r="5131">
      <c r="A5131" s="2" t="s">
        <v>191</v>
      </c>
      <c r="B5131" s="3" t="str">
        <f>IFERROR(__xludf.DUMMYFUNCTION("GOOGLETRANSLATE(A5131, ""ar"", ""bn"")"),"জাতীয় স্বার্থে প্রভাব ফেলতে")</f>
        <v>জাতীয় স্বার্থে প্রভাব ফেলতে</v>
      </c>
    </row>
    <row r="5132">
      <c r="A5132" s="2" t="s">
        <v>297</v>
      </c>
      <c r="B5132" s="3" t="str">
        <f>IFERROR(__xludf.DUMMYFUNCTION("GOOGLETRANSLATE(A5132, ""ar"", ""bn"")"),"জনগণের সম্পত্তি প্রভাবিত")</f>
        <v>জনগণের সম্পত্তি প্রভাবিত</v>
      </c>
    </row>
    <row r="5133">
      <c r="A5133" s="2" t="s">
        <v>1075</v>
      </c>
      <c r="B5133" s="3" t="str">
        <f>IFERROR(__xludf.DUMMYFUNCTION("GOOGLETRANSLATE(A5133, ""ar"", ""bn"")"),"বিশেষাধিকার অনুমোদন দিলে তা")</f>
        <v>বিশেষাধিকার অনুমোদন দিলে তা</v>
      </c>
    </row>
    <row r="5134">
      <c r="A5134" s="2" t="s">
        <v>1074</v>
      </c>
      <c r="B5134" s="3" t="str">
        <f>IFERROR(__xludf.DUMMYFUNCTION("GOOGLETRANSLATE(A5134, ""ar"", ""bn"")"),"মঞ্জুর নাগরিকত্ব")</f>
        <v>মঞ্জুর নাগরিকত্ব</v>
      </c>
    </row>
    <row r="5135">
      <c r="A5135" s="2" t="s">
        <v>1073</v>
      </c>
      <c r="B5135" s="3" t="str">
        <f>IFERROR(__xludf.DUMMYFUNCTION("GOOGLETRANSLATE(A5135, ""ar"", ""bn"")"),"দায়মুক্তি অনুমোদন দিলে তা")</f>
        <v>দায়মুক্তি অনুমোদন দিলে তা</v>
      </c>
    </row>
    <row r="5136">
      <c r="A5136" s="2" t="s">
        <v>1076</v>
      </c>
      <c r="B5136" s="3" t="str">
        <f>IFERROR(__xludf.DUMMYFUNCTION("GOOGLETRANSLATE(A5136, ""ar"", ""bn"")"),"এটা তোলে ভাবতে সময় পাবেন,")</f>
        <v>এটা তোলে ভাবতে সময় পাবেন,</v>
      </c>
    </row>
    <row r="5137">
      <c r="A5137" s="2" t="s">
        <v>1976</v>
      </c>
      <c r="B5137" s="3" t="str">
        <f>IFERROR(__xludf.DUMMYFUNCTION("GOOGLETRANSLATE(A5137, ""ar"", ""bn"")"),"রাজনৈতিক মোকাবিলার প্রতিরোধ করে")</f>
        <v>রাজনৈতিক মোকাবিলার প্রতিরোধ করে</v>
      </c>
    </row>
    <row r="5138">
      <c r="A5138" s="2" t="s">
        <v>1974</v>
      </c>
      <c r="B5138" s="3" t="str">
        <f>IFERROR(__xludf.DUMMYFUNCTION("GOOGLETRANSLATE(A5138, ""ar"", ""bn"")"),"পরমাণু যুদ্ধের আটকান।")</f>
        <v>পরমাণু যুদ্ধের আটকান।</v>
      </c>
    </row>
    <row r="5139">
      <c r="A5139" s="2" t="s">
        <v>558</v>
      </c>
      <c r="B5139" s="3" t="str">
        <f>IFERROR(__xludf.DUMMYFUNCTION("GOOGLETRANSLATE(A5139, ""ar"", ""bn"")"),"সংবিধান আনুগত্যের শপথ")</f>
        <v>সংবিধান আনুগত্যের শপথ</v>
      </c>
    </row>
    <row r="5140">
      <c r="A5140" s="2" t="s">
        <v>219</v>
      </c>
      <c r="B5140" s="3" t="str">
        <f>IFERROR(__xludf.DUMMYFUNCTION("GOOGLETRANSLATE(A5140, ""ar"", ""bn"")"),"স্বদেশে আনুগত্যের শপথ")</f>
        <v>স্বদেশে আনুগত্যের শপথ</v>
      </c>
    </row>
    <row r="5141">
      <c r="A5141" s="2" t="s">
        <v>950</v>
      </c>
      <c r="B5141" s="3" t="str">
        <f>IFERROR(__xludf.DUMMYFUNCTION("GOOGLETRANSLATE(A5141, ""ar"", ""bn"")"),"পি-ডান Mttr")</f>
        <v>পি-ডান Mttr</v>
      </c>
    </row>
    <row r="5142">
      <c r="A5142" s="2" t="s">
        <v>2204</v>
      </c>
      <c r="B5142" s="3" t="str">
        <f>IFERROR(__xludf.DUMMYFUNCTION("GOOGLETRANSLATE(A5142, ""ar"", ""bn"")"),"অধিকার")</f>
        <v>অধিকার</v>
      </c>
    </row>
    <row r="5143">
      <c r="A5143" s="2" t="s">
        <v>2293</v>
      </c>
      <c r="B5143" s="3" t="str">
        <f>IFERROR(__xludf.DUMMYFUNCTION("GOOGLETRANSLATE(A5143, ""ar"", ""bn"")"),"আন্তর্জাতিক হস্তক্ষেপের জন্য Amnashid")</f>
        <v>আন্তর্জাতিক হস্তক্ষেপের জন্য Amnashid</v>
      </c>
    </row>
    <row r="5144">
      <c r="A5144" s="2" t="s">
        <v>383</v>
      </c>
      <c r="B5144" s="3" t="str">
        <f>IFERROR(__xludf.DUMMYFUNCTION("GOOGLETRANSLATE(A5144, ""ar"", ""bn"")"),"Amnashid আন্তর্জাতিক প্রোটেকশন")</f>
        <v>Amnashid আন্তর্জাতিক প্রোটেকশন</v>
      </c>
    </row>
    <row r="5145">
      <c r="A5145" s="2" t="s">
        <v>854</v>
      </c>
      <c r="B5145" s="3" t="str">
        <f>IFERROR(__xludf.DUMMYFUNCTION("GOOGLETRANSLATE(A5145, ""ar"", ""bn"")"),"সভা থেকে নির্গমনের")</f>
        <v>সভা থেকে নির্গমনের</v>
      </c>
    </row>
    <row r="5146">
      <c r="A5146" s="2" t="s">
        <v>831</v>
      </c>
      <c r="B5146" s="3" t="str">
        <f>IFERROR(__xludf.DUMMYFUNCTION("GOOGLETRANSLATE(A5146, ""ar"", ""bn"")"),"সর্বসম্মতিক্রমে নির্বাচিত")</f>
        <v>সর্বসম্মতিক্রমে নির্বাচিত</v>
      </c>
    </row>
    <row r="5147">
      <c r="A5147" s="2" t="s">
        <v>2907</v>
      </c>
      <c r="B5147" s="3" t="str">
        <f>IFERROR(__xludf.DUMMYFUNCTION("GOOGLETRANSLATE(A5147, ""ar"", ""bn"")"),"ড্র পাল নির্বাচিত হইবেন")</f>
        <v>ড্র পাল নির্বাচিত হইবেন</v>
      </c>
    </row>
    <row r="5148">
      <c r="A5148" s="2" t="s">
        <v>1178</v>
      </c>
      <c r="B5148" s="3" t="str">
        <f>IFERROR(__xludf.DUMMYFUNCTION("GOOGLETRANSLATE(A5148, ""ar"", ""bn"")"),"জে পবিত্রতা লঙ্ঘন")</f>
        <v>জে পবিত্রতা লঙ্ঘন</v>
      </c>
    </row>
    <row r="5149">
      <c r="A5149" s="2" t="s">
        <v>1177</v>
      </c>
      <c r="B5149" s="3" t="str">
        <f>IFERROR(__xludf.DUMMYFUNCTION("GOOGLETRANSLATE(A5149, ""ar"", ""bn"")"),"নিরপেক্ষতার শর্তাবলী লঙ্ঘন করে")</f>
        <v>নিরপেক্ষতার শর্তাবলী লঙ্ঘন করে</v>
      </c>
    </row>
    <row r="5150">
      <c r="A5150" s="2" t="s">
        <v>164</v>
      </c>
      <c r="B5150" s="3" t="str">
        <f>IFERROR(__xludf.DUMMYFUNCTION("GOOGLETRANSLATE(A5150, ""ar"", ""bn"")"),"Amndz কূটনৈতিক মিশন")</f>
        <v>Amndz কূটনৈতিক মিশন</v>
      </c>
    </row>
    <row r="5151">
      <c r="A5151" s="2" t="s">
        <v>517</v>
      </c>
      <c r="B5151" s="3" t="str">
        <f>IFERROR(__xludf.DUMMYFUNCTION("GOOGLETRANSLATE(A5151, ""ar"", ""bn"")"),"Amendd Amedin")</f>
        <v>Amendd Amedin</v>
      </c>
    </row>
    <row r="5152">
      <c r="A5152" s="2" t="s">
        <v>519</v>
      </c>
      <c r="B5152" s="3" t="str">
        <f>IFERROR(__xludf.DUMMYFUNCTION("GOOGLETRANSLATE(A5152, ""ar"", ""bn"")"),"D সহিংসতা সংশোধন")</f>
        <v>D সহিংসতা সংশোধন</v>
      </c>
    </row>
    <row r="5153">
      <c r="A5153" s="2" t="s">
        <v>518</v>
      </c>
      <c r="B5153" s="3" t="str">
        <f>IFERROR(__xludf.DUMMYFUNCTION("GOOGLETRANSLATE(A5153, ""ar"", ""bn"")"),"সংশোধন দৃঢ়ভাবে ঘ")</f>
        <v>সংশোধন দৃঢ়ভাবে ঘ</v>
      </c>
    </row>
    <row r="5154">
      <c r="A5154" s="2" t="s">
        <v>2669</v>
      </c>
      <c r="B5154" s="3" t="str">
        <f>IFERROR(__xludf.DUMMYFUNCTION("GOOGLETRANSLATE(A5154, ""ar"", ""bn"")"),"সীমান্ত পিছনে প্রত্যাহার")</f>
        <v>সীমান্ত পিছনে প্রত্যাহার</v>
      </c>
    </row>
    <row r="5155">
      <c r="A5155" s="2" t="s">
        <v>715</v>
      </c>
      <c r="B5155" s="3" t="str">
        <f>IFERROR(__xludf.DUMMYFUNCTION("GOOGLETRANSLATE(A5155, ""ar"", ""bn"")"),"রাজ্যের মধ্যে প্রকাশিত বিরোধ")</f>
        <v>রাজ্যের মধ্যে প্রকাশিত বিরোধ</v>
      </c>
    </row>
    <row r="5156">
      <c r="A5156" s="2" t="s">
        <v>2908</v>
      </c>
      <c r="B5156" s="3" t="str">
        <f>IFERROR(__xludf.DUMMYFUNCTION("GOOGLETRANSLATE(A5156, ""ar"", ""bn"")"),"আন্তর্জাতিক বাহিনী সামরিক তথ্য প্রকাশ")</f>
        <v>আন্তর্জাতিক বাহিনী সামরিক তথ্য প্রকাশ</v>
      </c>
    </row>
    <row r="5157">
      <c r="A5157" s="2" t="s">
        <v>693</v>
      </c>
      <c r="B5157" s="3" t="str">
        <f>IFERROR(__xludf.DUMMYFUNCTION("GOOGLETRANSLATE(A5157, ""ar"", ""bn"")"),"ফোর্সেস জাতীয় তথ্য প্রকাশ")</f>
        <v>ফোর্সেস জাতীয় তথ্য প্রকাশ</v>
      </c>
    </row>
    <row r="5158">
      <c r="A5158" s="2" t="s">
        <v>1300</v>
      </c>
      <c r="B5158" s="3" t="str">
        <f>IFERROR(__xludf.DUMMYFUNCTION("GOOGLETRANSLATE(A5158, ""ar"", ""bn"")"),"জোট যোগদান")</f>
        <v>জোট যোগদান</v>
      </c>
    </row>
    <row r="5159">
      <c r="A5159" s="2" t="s">
        <v>924</v>
      </c>
      <c r="B5159" s="3" t="str">
        <f>IFERROR(__xludf.DUMMYFUNCTION("GOOGLETRANSLATE(A5159, ""ar"", ""bn"")"),"এটা দেশের অস্বীকার")</f>
        <v>এটা দেশের অস্বীকার</v>
      </c>
    </row>
    <row r="5160">
      <c r="A5160" s="2" t="s">
        <v>2086</v>
      </c>
      <c r="B5160" s="3" t="str">
        <f>IFERROR(__xludf.DUMMYFUNCTION("GOOGLETRANSLATE(A5160, ""ar"", ""bn"")"),"Amenk ফরমান জ")</f>
        <v>Amenk ফরমান জ</v>
      </c>
    </row>
    <row r="5161">
      <c r="A5161" s="2" t="s">
        <v>2150</v>
      </c>
      <c r="B5161" s="3" t="str">
        <f>IFERROR(__xludf.DUMMYFUNCTION("GOOGLETRANSLATE(A5161, ""ar"", ""bn"")"),"যুদ্ধের Amenkz বন্দীদের")</f>
        <v>যুদ্ধের Amenkz বন্দীদের</v>
      </c>
    </row>
    <row r="5162">
      <c r="A5162" s="2" t="s">
        <v>1176</v>
      </c>
      <c r="B5162" s="3" t="str">
        <f>IFERROR(__xludf.DUMMYFUNCTION("GOOGLETRANSLATE(A5162, ""ar"", ""bn"")"),"প্রত্যাহার করা চুক্তির")</f>
        <v>প্রত্যাহার করা চুক্তির</v>
      </c>
    </row>
    <row r="5163">
      <c r="A5163" s="2" t="s">
        <v>1180</v>
      </c>
      <c r="B5163" s="3" t="str">
        <f>IFERROR(__xludf.DUMMYFUNCTION("GOOGLETRANSLATE(A5163, ""ar"", ""bn"")"),"চুক্তি অভিশাপ")</f>
        <v>চুক্তি অভিশাপ</v>
      </c>
    </row>
    <row r="5164">
      <c r="A5164" s="2" t="s">
        <v>1085</v>
      </c>
      <c r="B5164" s="3" t="str">
        <f>IFERROR(__xludf.DUMMYFUNCTION("GOOGLETRANSLATE(A5164, ""ar"", ""bn"")"),"Amenk প্রশ্ন পতাকা")</f>
        <v>Amenk প্রশ্ন পতাকা</v>
      </c>
    </row>
    <row r="5165">
      <c r="A5165" s="2" t="s">
        <v>514</v>
      </c>
      <c r="B5165" s="3" t="str">
        <f>IFERROR(__xludf.DUMMYFUNCTION("GOOGLETRANSLATE(A5165, ""ar"", ""bn"")"),"Amnhi ধর্মঘট")</f>
        <v>Amnhi ধর্মঘট</v>
      </c>
    </row>
    <row r="5166">
      <c r="A5166" s="2" t="s">
        <v>867</v>
      </c>
      <c r="B5166" s="3" t="str">
        <f>IFERROR(__xludf.DUMMYFUNCTION("GOOGLETRANSLATE(A5166, ""ar"", ""bn"")"),"Amnhi অবরোধের")</f>
        <v>Amnhi অবরোধের</v>
      </c>
    </row>
    <row r="5167">
      <c r="A5167" s="2" t="s">
        <v>251</v>
      </c>
      <c r="B5167" s="3" t="str">
        <f>IFERROR(__xludf.DUMMYFUNCTION("GOOGLETRANSLATE(A5167, ""ar"", ""bn"")"),"বিক্ষোভ প্রস্তুত করে আমি")</f>
        <v>বিক্ষোভ প্রস্তুত করে আমি</v>
      </c>
    </row>
    <row r="5168">
      <c r="A5168" s="2" t="s">
        <v>2471</v>
      </c>
      <c r="B5168" s="3" t="str">
        <f>IFERROR(__xludf.DUMMYFUNCTION("GOOGLETRANSLATE(A5168, ""ar"", ""bn"")"),"বল ব্যবহার Amahdd")</f>
        <v>বল ব্যবহার Amahdd</v>
      </c>
    </row>
    <row r="5169">
      <c r="A5169" s="2" t="s">
        <v>686</v>
      </c>
      <c r="B5169" s="3" t="str">
        <f>IFERROR(__xludf.DUMMYFUNCTION("GOOGLETRANSLATE(A5169, ""ar"", ""bn"")"),"ভবন মোরামের")</f>
        <v>ভবন মোরামের</v>
      </c>
    </row>
    <row r="5170">
      <c r="A5170" s="2" t="s">
        <v>888</v>
      </c>
      <c r="B5170" s="3" t="str">
        <f>IFERROR(__xludf.DUMMYFUNCTION("GOOGLETRANSLATE(A5170, ""ar"", ""bn"")"),"সহিংসতা থেকে অব্যাহতি")</f>
        <v>সহিংসতা থেকে অব্যাহতি</v>
      </c>
    </row>
    <row r="5171">
      <c r="A5171" s="2" t="s">
        <v>2585</v>
      </c>
      <c r="B5171" s="3" t="str">
        <f>IFERROR(__xludf.DUMMYFUNCTION("GOOGLETRANSLATE(A5171, ""ar"", ""bn"")"),"শত্রু পরাজিত")</f>
        <v>শত্রু পরাজিত</v>
      </c>
    </row>
    <row r="5172">
      <c r="A5172" s="2" t="s">
        <v>955</v>
      </c>
      <c r="B5172" s="3" t="str">
        <f>IFERROR(__xludf.DUMMYFUNCTION("GOOGLETRANSLATE(A5172, ""ar"", ""bn"")"),"যুদ্ধের হুমকির মুখে")</f>
        <v>যুদ্ধের হুমকির মুখে</v>
      </c>
    </row>
    <row r="5173">
      <c r="A5173" s="2" t="s">
        <v>954</v>
      </c>
      <c r="B5173" s="3" t="str">
        <f>IFERROR(__xludf.DUMMYFUNCTION("GOOGLETRANSLATE(A5173, ""ar"", ""bn"")"),"এটা তোলে যুদ্ধের হুমকির মুখোমুখি")</f>
        <v>এটা তোলে যুদ্ধের হুমকির মুখোমুখি</v>
      </c>
    </row>
    <row r="5174">
      <c r="A5174" s="2" t="s">
        <v>2909</v>
      </c>
      <c r="B5174" s="3" t="str">
        <f>IFERROR(__xludf.DUMMYFUNCTION("GOOGLETRANSLATE(A5174, ""ar"", ""bn"")"),"কূটনৈতিক সুপারিশক্রমে Amuaq")</f>
        <v>কূটনৈতিক সুপারিশক্রমে Amuaq</v>
      </c>
    </row>
    <row r="5175">
      <c r="A5175" s="2" t="s">
        <v>1531</v>
      </c>
      <c r="B5175" s="3" t="str">
        <f>IFERROR(__xludf.DUMMYFUNCTION("GOOGLETRANSLATE(A5175, ""ar"", ""bn"")"),"ই রাজনৈতিক ঘটনা Limoges")</f>
        <v>ই রাজনৈতিক ঘটনা Limoges</v>
      </c>
    </row>
    <row r="5176">
      <c r="A5176" s="2" t="s">
        <v>523</v>
      </c>
      <c r="B5176" s="3" t="str">
        <f>IFERROR(__xludf.DUMMYFUNCTION("GOOGLETRANSLATE(A5176, ""ar"", ""bn"")"),"ই কূটনৈতিক আলোচনা Limoges")</f>
        <v>ই কূটনৈতিক আলোচনা Limoges</v>
      </c>
    </row>
    <row r="5177">
      <c r="A5177" s="2" t="s">
        <v>2545</v>
      </c>
      <c r="B5177" s="3" t="str">
        <f>IFERROR(__xludf.DUMMYFUNCTION("GOOGLETRANSLATE(A5177, ""ar"", ""bn"")"),"মানবিক শান্তি Amouhd")</f>
        <v>মানবিক শান্তি Amouhd</v>
      </c>
    </row>
    <row r="5178">
      <c r="A5178" s="2" t="s">
        <v>2910</v>
      </c>
      <c r="B5178" s="3" t="str">
        <f>IFERROR(__xludf.DUMMYFUNCTION("GOOGLETRANSLATE(A5178, ""ar"", ""bn"")"),"Imosza রাজনৈতিক প্রকাশনা")</f>
        <v>Imosza রাজনৈতিক প্রকাশনা</v>
      </c>
    </row>
    <row r="5179">
      <c r="A5179" s="2" t="s">
        <v>2665</v>
      </c>
      <c r="B5179" s="3" t="str">
        <f>IFERROR(__xludf.DUMMYFUNCTION("GOOGLETRANSLATE(A5179, ""ar"", ""bn"")"),"Yos পি যুক্তরাষ্ট্র মধ্যে সহযোগিতা")</f>
        <v>Yos পি যুক্তরাষ্ট্র মধ্যে সহযোগিতা</v>
      </c>
    </row>
    <row r="5180">
      <c r="A5180" s="2" t="s">
        <v>2666</v>
      </c>
      <c r="B5180" s="3" t="str">
        <f>IFERROR(__xludf.DUMMYFUNCTION("GOOGLETRANSLATE(A5180, ""ar"", ""bn"")"),"Lemos পি স্থল আক্রমণের")</f>
        <v>Lemos পি স্থল আক্রমণের</v>
      </c>
    </row>
    <row r="5181">
      <c r="A5181" s="2" t="s">
        <v>450</v>
      </c>
      <c r="B5181" s="3" t="str">
        <f>IFERROR(__xludf.DUMMYFUNCTION("GOOGLETRANSLATE(A5181, ""ar"", ""bn"")"),"রাজনৈতিক পরিস্থিতি শো")</f>
        <v>রাজনৈতিক পরিস্থিতি শো</v>
      </c>
    </row>
    <row r="5182">
      <c r="A5182" s="2" t="s">
        <v>2317</v>
      </c>
      <c r="B5182" s="3" t="str">
        <f>IFERROR(__xludf.DUMMYFUNCTION("GOOGLETRANSLATE(A5182, ""ar"", ""bn"")"),"Amutd রাষ্ট্র সার্বভৌমত্ব")</f>
        <v>Amutd রাষ্ট্র সার্বভৌমত্ব</v>
      </c>
    </row>
    <row r="5183">
      <c r="A5183" s="2" t="s">
        <v>2418</v>
      </c>
      <c r="B5183" s="3" t="str">
        <f>IFERROR(__xludf.DUMMYFUNCTION("GOOGLETRANSLATE(A5183, ""ar"", ""bn"")"),"প্রকাশনা স্টপ")</f>
        <v>প্রকাশনা স্টপ</v>
      </c>
    </row>
    <row r="5184">
      <c r="A5184" s="2" t="s">
        <v>2911</v>
      </c>
      <c r="B5184" s="3" t="str">
        <f>IFERROR(__xludf.DUMMYFUNCTION("GOOGLETRANSLATE(A5184, ""ar"", ""bn"")"),"আন্তর্জাতিক সমস্যা পে মনোযোগ")</f>
        <v>আন্তর্জাতিক সমস্যা পে মনোযোগ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3.71"/>
    <col customWidth="1" min="2" max="2" width="44.43"/>
  </cols>
  <sheetData>
    <row r="1">
      <c r="A1" s="1" t="s">
        <v>0</v>
      </c>
      <c r="B1" s="1" t="s">
        <v>1</v>
      </c>
    </row>
    <row r="2">
      <c r="A2" s="2" t="s">
        <v>2912</v>
      </c>
      <c r="B2" s="3" t="str">
        <f>IFERROR(__xludf.DUMMYFUNCTION("GOOGLETRANSLATE(A2, ""ar"", ""bn"")"),"পরিবার ও সম্প্রদায়ের")</f>
        <v>পরিবার ও সম্প্রদায়ের</v>
      </c>
    </row>
    <row r="3">
      <c r="A3" s="2" t="s">
        <v>2913</v>
      </c>
      <c r="B3" s="3" t="str">
        <f>IFERROR(__xludf.DUMMYFUNCTION("GOOGLETRANSLATE(A3, ""ar"", ""bn"")"),"একই লোকজন")</f>
        <v>একই লোকজন</v>
      </c>
    </row>
    <row r="4">
      <c r="A4" s="2" t="s">
        <v>2914</v>
      </c>
      <c r="B4" s="3" t="str">
        <f>IFERROR(__xludf.DUMMYFUNCTION("GOOGLETRANSLATE(A4, ""ar"", ""bn"")"),"নিম্ন আয়ের মানুষের")</f>
        <v>নিম্ন আয়ের মানুষের</v>
      </c>
    </row>
    <row r="5">
      <c r="A5" s="2" t="s">
        <v>2915</v>
      </c>
      <c r="B5" s="3" t="str">
        <f>IFERROR(__xludf.DUMMYFUNCTION("GOOGLETRANSLATE(A5, ""ar"", ""bn"")"),"সোসাইটির সদস্য")</f>
        <v>সোসাইটির সদস্য</v>
      </c>
    </row>
    <row r="6">
      <c r="A6" s="2" t="s">
        <v>2916</v>
      </c>
      <c r="B6" s="3" t="str">
        <f>IFERROR(__xludf.DUMMYFUNCTION("GOOGLETRANSLATE(A6, ""ar"", ""bn"")"),"পরিবারের সদস্যগণ")</f>
        <v>পরিবারের সদস্যগণ</v>
      </c>
    </row>
    <row r="7">
      <c r="A7" s="2" t="s">
        <v>2917</v>
      </c>
      <c r="B7" s="3" t="str">
        <f>IFERROR(__xludf.DUMMYFUNCTION("GOOGLETRANSLATE(A7, ""ar"", ""bn"")"),"সংস্কৃতি মানুষ")</f>
        <v>সংস্কৃতি মানুষ</v>
      </c>
    </row>
    <row r="8">
      <c r="A8" s="2" t="s">
        <v>2918</v>
      </c>
      <c r="B8" s="3" t="str">
        <f>IFERROR(__xludf.DUMMYFUNCTION("GOOGLETRANSLATE(A8, ""ar"", ""bn"")"),"সংস্কৃতি")</f>
        <v>সংস্কৃতি</v>
      </c>
    </row>
    <row r="9">
      <c r="A9" s="2" t="s">
        <v>2919</v>
      </c>
      <c r="B9" s="3" t="str">
        <f>IFERROR(__xludf.DUMMYFUNCTION("GOOGLETRANSLATE(A9, ""ar"", ""bn"")"),"সমাজের আচরণ")</f>
        <v>সমাজের আচরণ</v>
      </c>
    </row>
    <row r="10">
      <c r="A10" s="2" t="s">
        <v>2920</v>
      </c>
      <c r="B10" s="3" t="str">
        <f>IFERROR(__xludf.DUMMYFUNCTION("GOOGLETRANSLATE(A10, ""ar"", ""bn"")"),"যুব কর্ম")</f>
        <v>যুব কর্ম</v>
      </c>
    </row>
    <row r="11">
      <c r="A11" s="2" t="s">
        <v>2921</v>
      </c>
      <c r="B11" s="3" t="str">
        <f>IFERROR(__xludf.DUMMYFUNCTION("GOOGLETRANSLATE(A11, ""ar"", ""bn"")"),"আরব নারী")</f>
        <v>আরব নারী</v>
      </c>
    </row>
    <row r="12">
      <c r="A12" s="2" t="s">
        <v>2922</v>
      </c>
      <c r="B12" s="3" t="str">
        <f>IFERROR(__xludf.DUMMYFUNCTION("GOOGLETRANSLATE(A12, ""ar"", ""bn"")"),"নারী অধিকার")</f>
        <v>নারী অধিকার</v>
      </c>
    </row>
    <row r="13">
      <c r="A13" s="2" t="s">
        <v>2923</v>
      </c>
      <c r="B13" s="3" t="str">
        <f>IFERROR(__xludf.DUMMYFUNCTION("GOOGLETRANSLATE(A13, ""ar"", ""bn"")"),"মানবাধিকার")</f>
        <v>মানবাধিকার</v>
      </c>
    </row>
    <row r="14">
      <c r="A14" s="2" t="s">
        <v>2924</v>
      </c>
      <c r="B14" s="3" t="str">
        <f>IFERROR(__xludf.DUMMYFUNCTION("GOOGLETRANSLATE(A14, ""ar"", ""bn"")"),"বিশেষ চাহিদার সঙ্গে মানুষ")</f>
        <v>বিশেষ চাহিদার সঙ্গে মানুষ</v>
      </c>
    </row>
    <row r="15">
      <c r="A15" s="2" t="s">
        <v>2925</v>
      </c>
      <c r="B15" s="3" t="str">
        <f>IFERROR(__xludf.DUMMYFUNCTION("GOOGLETRANSLATE(A15, ""ar"", ""bn"")"),"Argyle")</f>
        <v>Argyle</v>
      </c>
    </row>
    <row r="16">
      <c r="A16" s="2" t="s">
        <v>2926</v>
      </c>
      <c r="B16" s="3" t="str">
        <f>IFERROR(__xludf.DUMMYFUNCTION("GOOGLETRANSLATE(A16, ""ar"", ""bn"")"),"আমাদের অভ্যাস")</f>
        <v>আমাদের অভ্যাস</v>
      </c>
    </row>
    <row r="17">
      <c r="A17" s="2" t="s">
        <v>2927</v>
      </c>
      <c r="B17" s="3" t="str">
        <f>IFERROR(__xludf.DUMMYFUNCTION("GOOGLETRANSLATE(A17, ""ar"", ""bn"")"),"আমাদের ঐতিহ্য")</f>
        <v>আমাদের ঐতিহ্য</v>
      </c>
    </row>
    <row r="18">
      <c r="A18" s="2" t="s">
        <v>2928</v>
      </c>
      <c r="B18" s="3" t="str">
        <f>IFERROR(__xludf.DUMMYFUNCTION("GOOGLETRANSLATE(A18, ""ar"", ""bn"")"),"Abnawna")</f>
        <v>Abnawna</v>
      </c>
    </row>
    <row r="19">
      <c r="A19" s="2" t="s">
        <v>2929</v>
      </c>
      <c r="B19" s="3" t="str">
        <f>IFERROR(__xludf.DUMMYFUNCTION("GOOGLETRANSLATE(A19, ""ar"", ""bn"")"),"নাতি নাতনিদের")</f>
        <v>নাতি নাতনিদের</v>
      </c>
    </row>
    <row r="20">
      <c r="A20" s="2" t="s">
        <v>2930</v>
      </c>
      <c r="B20" s="3" t="str">
        <f>IFERROR(__xludf.DUMMYFUNCTION("GOOGLETRANSLATE(A20, ""ar"", ""bn"")"),"আমাদের কন্যারা")</f>
        <v>আমাদের কন্যারা</v>
      </c>
    </row>
    <row r="21">
      <c r="A21" s="2" t="s">
        <v>2931</v>
      </c>
      <c r="B21" s="3" t="str">
        <f>IFERROR(__xludf.DUMMYFUNCTION("GOOGLETRANSLATE(A21, ""ar"", ""bn"")"),"উপজাতি")</f>
        <v>উপজাতি</v>
      </c>
    </row>
    <row r="22">
      <c r="A22" s="2" t="s">
        <v>2932</v>
      </c>
      <c r="B22" s="3" t="str">
        <f>IFERROR(__xludf.DUMMYFUNCTION("GOOGLETRANSLATE(A22, ""ar"", ""bn"")"),"Kabylie")</f>
        <v>Kabylie</v>
      </c>
    </row>
    <row r="23">
      <c r="A23" s="2" t="s">
        <v>2933</v>
      </c>
      <c r="B23" s="3" t="str">
        <f>IFERROR(__xludf.DUMMYFUNCTION("GOOGLETRANSLATE(A23, ""ar"", ""bn"")"),"বংশ")</f>
        <v>বংশ</v>
      </c>
    </row>
    <row r="24">
      <c r="A24" s="2" t="s">
        <v>2934</v>
      </c>
      <c r="B24" s="3" t="str">
        <f>IFERROR(__xludf.DUMMYFUNCTION("GOOGLETRANSLATE(A24, ""ar"", ""bn"")"),"গোষ্ঠী")</f>
        <v>গোষ্ঠী</v>
      </c>
    </row>
    <row r="25">
      <c r="A25" s="2" t="s">
        <v>2935</v>
      </c>
      <c r="B25" s="3" t="str">
        <f>IFERROR(__xludf.DUMMYFUNCTION("GOOGLETRANSLATE(A25, ""ar"", ""bn"")"),"সামাজিক মাত্রা")</f>
        <v>সামাজিক মাত্রা</v>
      </c>
    </row>
    <row r="26">
      <c r="A26" s="2" t="s">
        <v>2936</v>
      </c>
      <c r="B26" s="3" t="str">
        <f>IFERROR(__xludf.DUMMYFUNCTION("GOOGLETRANSLATE(A26, ""ar"", ""bn"")"),"সামাজিক স্তর")</f>
        <v>সামাজিক স্তর</v>
      </c>
    </row>
    <row r="27">
      <c r="A27" s="2" t="s">
        <v>2937</v>
      </c>
      <c r="B27" s="3" t="str">
        <f>IFERROR(__xludf.DUMMYFUNCTION("GOOGLETRANSLATE(A27, ""ar"", ""bn"")"),"দরিদ্র ও Moazzon")</f>
        <v>দরিদ্র ও Moazzon</v>
      </c>
    </row>
    <row r="28">
      <c r="A28" s="2" t="s">
        <v>2938</v>
      </c>
      <c r="B28" s="3" t="str">
        <f>IFERROR(__xludf.DUMMYFUNCTION("GOOGLETRANSLATE(A28, ""ar"", ""bn"")"),"দরিদ্র")</f>
        <v>দরিদ্র</v>
      </c>
    </row>
    <row r="29">
      <c r="A29" s="2" t="s">
        <v>2939</v>
      </c>
      <c r="B29" s="3" t="str">
        <f>IFERROR(__xludf.DUMMYFUNCTION("GOOGLETRANSLATE(A29, ""ar"", ""bn"")"),"বৈবাহিক অবস্থা")</f>
        <v>বৈবাহিক অবস্থা</v>
      </c>
    </row>
    <row r="30">
      <c r="A30" s="2" t="s">
        <v>2940</v>
      </c>
      <c r="B30" s="3" t="str">
        <f>IFERROR(__xludf.DUMMYFUNCTION("GOOGLETRANSLATE(A30, ""ar"", ""bn"")"),"ছাত্রদের")</f>
        <v>ছাত্রদের</v>
      </c>
    </row>
    <row r="31">
      <c r="A31" s="2" t="s">
        <v>2941</v>
      </c>
      <c r="B31" s="3" t="str">
        <f>IFERROR(__xludf.DUMMYFUNCTION("GOOGLETRANSLATE(A31, ""ar"", ""bn"")"),"স্কুল")</f>
        <v>স্কুল</v>
      </c>
    </row>
    <row r="32">
      <c r="A32" s="2" t="s">
        <v>2942</v>
      </c>
      <c r="B32" s="3" t="str">
        <f>IFERROR(__xludf.DUMMYFUNCTION("GOOGLETRANSLATE(A32, ""ar"", ""bn"")"),"অজ্ঞতা")</f>
        <v>অজ্ঞতা</v>
      </c>
    </row>
    <row r="33">
      <c r="A33" s="2" t="s">
        <v>2943</v>
      </c>
      <c r="B33" s="3" t="str">
        <f>IFERROR(__xludf.DUMMYFUNCTION("GOOGLETRANSLATE(A33, ""ar"", ""bn"")"),"সাক্ষরতা")</f>
        <v>সাক্ষরতা</v>
      </c>
    </row>
    <row r="34">
      <c r="A34" s="2" t="s">
        <v>142</v>
      </c>
      <c r="B34" s="3" t="str">
        <f>IFERROR(__xludf.DUMMYFUNCTION("GOOGLETRANSLATE(A34, ""ar"", ""bn"")"),"বেকারি")</f>
        <v>বেকারি</v>
      </c>
    </row>
    <row r="35">
      <c r="A35" s="2" t="s">
        <v>2944</v>
      </c>
      <c r="B35" s="3" t="str">
        <f>IFERROR(__xludf.DUMMYFUNCTION("GOOGLETRANSLATE(A35, ""ar"", ""bn"")"),"তরুণদের মধ্যে")</f>
        <v>তরুণদের মধ্যে</v>
      </c>
    </row>
    <row r="36">
      <c r="A36" s="2" t="s">
        <v>2945</v>
      </c>
      <c r="B36" s="3" t="str">
        <f>IFERROR(__xludf.DUMMYFUNCTION("GOOGLETRANSLATE(A36, ""ar"", ""bn"")"),"স্তরমেঘ বেমানান")</f>
        <v>স্তরমেঘ বেমানান</v>
      </c>
    </row>
    <row r="37">
      <c r="A37" s="2" t="s">
        <v>2946</v>
      </c>
      <c r="B37" s="3" t="str">
        <f>IFERROR(__xludf.DUMMYFUNCTION("GOOGLETRANSLATE(A37, ""ar"", ""bn"")"),"বলয়তুল্য")</f>
        <v>বলয়তুল্য</v>
      </c>
    </row>
    <row r="38">
      <c r="A38" s="2" t="s">
        <v>2947</v>
      </c>
      <c r="B38" s="3" t="str">
        <f>IFERROR(__xludf.DUMMYFUNCTION("GOOGLETRANSLATE(A38, ""ar"", ""bn"")"),"মানুষ ধরন")</f>
        <v>মানুষ ধরন</v>
      </c>
    </row>
    <row r="39">
      <c r="A39" s="2" t="s">
        <v>2948</v>
      </c>
      <c r="B39" s="3" t="str">
        <f>IFERROR(__xludf.DUMMYFUNCTION("GOOGLETRANSLATE(A39, ""ar"", ""bn"")"),"সমাজ বিভাগগুলি")</f>
        <v>সমাজ বিভাগগুলি</v>
      </c>
    </row>
    <row r="40">
      <c r="A40" s="2" t="s">
        <v>2949</v>
      </c>
      <c r="B40" s="3" t="str">
        <f>IFERROR(__xludf.DUMMYFUNCTION("GOOGLETRANSLATE(A40, ""ar"", ""bn"")"),"যুব গ্রুপ")</f>
        <v>যুব গ্রুপ</v>
      </c>
    </row>
    <row r="41">
      <c r="A41" s="2" t="s">
        <v>2950</v>
      </c>
      <c r="B41" s="3" t="str">
        <f>IFERROR(__xludf.DUMMYFUNCTION("GOOGLETRANSLATE(A41, ""ar"", ""bn"")"),"বয়েসের শ্রেণীবিভাগ")</f>
        <v>বয়েসের শ্রেণীবিভাগ</v>
      </c>
    </row>
    <row r="42">
      <c r="A42" s="2" t="s">
        <v>2951</v>
      </c>
      <c r="B42" s="3" t="str">
        <f>IFERROR(__xludf.DUMMYFUNCTION("GOOGLETRANSLATE(A42, ""ar"", ""bn"")"),"কমিউনিটি স্তর")</f>
        <v>কমিউনিটি স্তর</v>
      </c>
    </row>
    <row r="43">
      <c r="A43" s="2" t="s">
        <v>2952</v>
      </c>
      <c r="B43" s="3" t="str">
        <f>IFERROR(__xludf.DUMMYFUNCTION("GOOGLETRANSLATE(A43, ""ar"", ""bn"")"),"বিশ্ববিদ্যালয় শিক্ষার্থী")</f>
        <v>বিশ্ববিদ্যালয় শিক্ষার্থী</v>
      </c>
    </row>
    <row r="44">
      <c r="A44" s="2" t="s">
        <v>2953</v>
      </c>
      <c r="B44" s="3" t="str">
        <f>IFERROR(__xludf.DUMMYFUNCTION("GOOGLETRANSLATE(A44, ""ar"", ""bn"")"),"নিম্ন শিক্ষা")</f>
        <v>নিম্ন শিক্ষা</v>
      </c>
    </row>
    <row r="45">
      <c r="A45" s="2" t="s">
        <v>2954</v>
      </c>
      <c r="B45" s="3" t="str">
        <f>IFERROR(__xludf.DUMMYFUNCTION("GOOGLETRANSLATE(A45, ""ar"", ""bn"")"),"কেস জনপ্রিয়")</f>
        <v>কেস জনপ্রিয়</v>
      </c>
    </row>
    <row r="46">
      <c r="A46" s="2" t="s">
        <v>2955</v>
      </c>
      <c r="B46" s="3" t="str">
        <f>IFERROR(__xludf.DUMMYFUNCTION("GOOGLETRANSLATE(A46, ""ar"", ""bn"")"),"জনপ্রিয় সতর্কতা")</f>
        <v>জনপ্রিয় সতর্কতা</v>
      </c>
    </row>
    <row r="47">
      <c r="A47" s="2" t="s">
        <v>2956</v>
      </c>
      <c r="B47" s="3" t="str">
        <f>IFERROR(__xludf.DUMMYFUNCTION("GOOGLETRANSLATE(A47, ""ar"", ""bn"")"),"যৌতুক উচ্চ খরচ")</f>
        <v>যৌতুক উচ্চ খরচ</v>
      </c>
    </row>
    <row r="48">
      <c r="A48" s="2" t="s">
        <v>2957</v>
      </c>
      <c r="B48" s="3" t="str">
        <f>IFERROR(__xludf.DUMMYFUNCTION("GOOGLETRANSLATE(A48, ""ar"", ""bn"")"),"বিয়ের বয়স")</f>
        <v>বিয়ের বয়স</v>
      </c>
    </row>
    <row r="49">
      <c r="A49" s="2" t="s">
        <v>2958</v>
      </c>
      <c r="B49" s="3" t="str">
        <f>IFERROR(__xludf.DUMMYFUNCTION("GOOGLETRANSLATE(A49, ""ar"", ""bn"")"),"ন্যূন")</f>
        <v>ন্যূন</v>
      </c>
    </row>
    <row r="50">
      <c r="A50" s="2" t="s">
        <v>2959</v>
      </c>
      <c r="B50" s="3" t="str">
        <f>IFERROR(__xludf.DUMMYFUNCTION("GOOGLETRANSLATE(A50, ""ar"", ""bn"")"),"ইন্টারনেশন")</f>
        <v>ইন্টারনেশন</v>
      </c>
    </row>
    <row r="51">
      <c r="A51" s="2" t="s">
        <v>2960</v>
      </c>
      <c r="B51" s="3" t="str">
        <f>IFERROR(__xludf.DUMMYFUNCTION("GOOGLETRANSLATE(A51, ""ar"", ""bn"")"),"ইয়াং নীতিশাস্ত্র")</f>
        <v>ইয়াং নীতিশাস্ত্র</v>
      </c>
    </row>
    <row r="52">
      <c r="A52" s="2" t="s">
        <v>2961</v>
      </c>
      <c r="B52" s="3" t="str">
        <f>IFERROR(__xludf.DUMMYFUNCTION("GOOGLETRANSLATE(A52, ""ar"", ""bn"")"),"সামাজিক ফ্যাব্রিক")</f>
        <v>সামাজিক ফ্যাব্রিক</v>
      </c>
    </row>
    <row r="53">
      <c r="A53" s="2" t="s">
        <v>2962</v>
      </c>
      <c r="B53" s="3" t="str">
        <f>IFERROR(__xludf.DUMMYFUNCTION("GOOGLETRANSLATE(A53, ""ar"", ""bn"")"),"সামাজিক ফ্যাব্রিক")</f>
        <v>সামাজিক ফ্যাব্রিক</v>
      </c>
    </row>
    <row r="54">
      <c r="A54" s="2" t="s">
        <v>2963</v>
      </c>
      <c r="B54" s="3" t="str">
        <f>IFERROR(__xludf.DUMMYFUNCTION("GOOGLETRANSLATE(A54, ""ar"", ""bn"")"),"সামাজিক মই")</f>
        <v>সামাজিক মই</v>
      </c>
    </row>
    <row r="55">
      <c r="A55" s="2" t="s">
        <v>2964</v>
      </c>
      <c r="B55" s="3" t="str">
        <f>IFERROR(__xludf.DUMMYFUNCTION("GOOGLETRANSLATE(A55, ""ar"", ""bn"")"),"সামাজিক মই")</f>
        <v>সামাজিক মই</v>
      </c>
    </row>
    <row r="56">
      <c r="A56" s="2" t="s">
        <v>2965</v>
      </c>
      <c r="B56" s="3" t="str">
        <f>IFERROR(__xludf.DUMMYFUNCTION("GOOGLETRANSLATE(A56, ""ar"", ""bn"")"),"পরিবার পরিকল্পনা")</f>
        <v>পরিবার পরিকল্পনা</v>
      </c>
    </row>
    <row r="57">
      <c r="A57" s="2" t="s">
        <v>2966</v>
      </c>
      <c r="B57" s="3" t="str">
        <f>IFERROR(__xludf.DUMMYFUNCTION("GOOGLETRANSLATE(A57, ""ar"", ""bn"")"),"বেদুইন জীবন")</f>
        <v>বেদুইন জীবন</v>
      </c>
    </row>
    <row r="58">
      <c r="A58" s="2" t="s">
        <v>2967</v>
      </c>
      <c r="B58" s="3" t="str">
        <f>IFERROR(__xludf.DUMMYFUNCTION("GOOGLETRANSLATE(A58, ""ar"", ""bn"")"),"গ্রামাঞ্চলের জীবন")</f>
        <v>গ্রামাঞ্চলের জীবন</v>
      </c>
    </row>
    <row r="59">
      <c r="A59" s="2" t="s">
        <v>2968</v>
      </c>
      <c r="B59" s="3" t="str">
        <f>IFERROR(__xludf.DUMMYFUNCTION("GOOGLETRANSLATE(A59, ""ar"", ""bn"")"),"উঠতি শিশু")</f>
        <v>উঠতি শিশু</v>
      </c>
    </row>
    <row r="60">
      <c r="A60" s="2" t="s">
        <v>2969</v>
      </c>
      <c r="B60" s="3" t="str">
        <f>IFERROR(__xludf.DUMMYFUNCTION("GOOGLETRANSLATE(A60, ""ar"", ""bn"")"),"বাচ্চাদের শিক্ষা")</f>
        <v>বাচ্চাদের শিক্ষা</v>
      </c>
    </row>
    <row r="61">
      <c r="A61" s="2" t="s">
        <v>2970</v>
      </c>
      <c r="B61" s="3" t="str">
        <f>IFERROR(__xludf.DUMMYFUNCTION("GOOGLETRANSLATE(A61, ""ar"", ""bn"")"),"মা")</f>
        <v>মা</v>
      </c>
    </row>
    <row r="62">
      <c r="A62" s="2" t="s">
        <v>142</v>
      </c>
      <c r="B62" s="3" t="str">
        <f>IFERROR(__xludf.DUMMYFUNCTION("GOOGLETRANSLATE(A62, ""ar"", ""bn"")"),"বেকারি")</f>
        <v>বেকারি</v>
      </c>
    </row>
    <row r="63">
      <c r="A63" s="2" t="s">
        <v>2944</v>
      </c>
      <c r="B63" s="3" t="str">
        <f>IFERROR(__xludf.DUMMYFUNCTION("GOOGLETRANSLATE(A63, ""ar"", ""bn"")"),"তরুণদের মধ্যে")</f>
        <v>তরুণদের মধ্যে</v>
      </c>
    </row>
    <row r="64">
      <c r="A64" s="2" t="s">
        <v>2971</v>
      </c>
      <c r="B64" s="3" t="str">
        <f>IFERROR(__xludf.DUMMYFUNCTION("GOOGLETRANSLATE(A64, ""ar"", ""bn"")"),"আমাদের মেয়েরা")</f>
        <v>আমাদের মেয়েরা</v>
      </c>
    </row>
    <row r="65">
      <c r="A65" s="2" t="s">
        <v>2972</v>
      </c>
      <c r="B65" s="3" t="str">
        <f>IFERROR(__xludf.DUMMYFUNCTION("GOOGLETRANSLATE(A65, ""ar"", ""bn"")"),"আমাদের মায়েরা")</f>
        <v>আমাদের মায়েরা</v>
      </c>
    </row>
    <row r="66">
      <c r="A66" s="2" t="s">
        <v>2973</v>
      </c>
      <c r="B66" s="3" t="str">
        <f>IFERROR(__xludf.DUMMYFUNCTION("GOOGLETRANSLATE(A66, ""ar"", ""bn"")"),"অপেক্ষা করা")</f>
        <v>অপেক্ষা করা</v>
      </c>
    </row>
    <row r="67">
      <c r="A67" s="2" t="s">
        <v>2974</v>
      </c>
      <c r="B67" s="3" t="str">
        <f>IFERROR(__xludf.DUMMYFUNCTION("GOOGLETRANSLATE(A67, ""ar"", ""bn"")"),"পুরাতন মানুষ সম্মান")</f>
        <v>পুরাতন মানুষ সম্মান</v>
      </c>
    </row>
    <row r="68">
      <c r="A68" s="2" t="s">
        <v>2975</v>
      </c>
      <c r="B68" s="3" t="str">
        <f>IFERROR(__xludf.DUMMYFUNCTION("GOOGLETRANSLATE(A68, ""ar"", ""bn"")"),"নৈতিক সংকট")</f>
        <v>নৈতিক সংকট</v>
      </c>
    </row>
    <row r="69">
      <c r="A69" s="2" t="s">
        <v>2976</v>
      </c>
      <c r="B69" s="3" t="str">
        <f>IFERROR(__xludf.DUMMYFUNCTION("GOOGLETRANSLATE(A69, ""ar"", ""bn"")"),"কমিউনিটি")</f>
        <v>কমিউনিটি</v>
      </c>
    </row>
    <row r="70">
      <c r="A70" s="2" t="s">
        <v>2977</v>
      </c>
      <c r="B70" s="3" t="str">
        <f>IFERROR(__xludf.DUMMYFUNCTION("GOOGLETRANSLATE(A70, ""ar"", ""bn"")"),"পরিবারে")</f>
        <v>পরিবারে</v>
      </c>
    </row>
    <row r="71">
      <c r="A71" s="2" t="s">
        <v>2978</v>
      </c>
      <c r="B71" s="3" t="str">
        <f>IFERROR(__xludf.DUMMYFUNCTION("GOOGLETRANSLATE(A71, ""ar"", ""bn"")"),"ঘরে")</f>
        <v>ঘরে</v>
      </c>
    </row>
    <row r="72">
      <c r="A72" s="2" t="s">
        <v>2979</v>
      </c>
      <c r="B72" s="3" t="str">
        <f>IFERROR(__xludf.DUMMYFUNCTION("GOOGLETRANSLATE(A72, ""ar"", ""bn"")"),"রাস্তায়")</f>
        <v>রাস্তায়</v>
      </c>
    </row>
    <row r="73">
      <c r="A73" s="2" t="s">
        <v>2980</v>
      </c>
      <c r="B73" s="3" t="str">
        <f>IFERROR(__xludf.DUMMYFUNCTION("GOOGLETRANSLATE(A73, ""ar"", ""bn"")"),"রাস্তায়")</f>
        <v>রাস্তায়</v>
      </c>
    </row>
    <row r="74">
      <c r="A74" s="2" t="s">
        <v>2981</v>
      </c>
      <c r="B74" s="3" t="str">
        <f>IFERROR(__xludf.DUMMYFUNCTION("GOOGLETRANSLATE(A74, ""ar"", ""bn"")"),"প্রাত্যহিক জীবন")</f>
        <v>প্রাত্যহিক জীবন</v>
      </c>
    </row>
    <row r="75">
      <c r="A75" s="2" t="s">
        <v>2982</v>
      </c>
      <c r="B75" s="3" t="str">
        <f>IFERROR(__xludf.DUMMYFUNCTION("GOOGLETRANSLATE(A75, ""ar"", ""bn"")"),"পরিবারের সামগ্রী")</f>
        <v>পরিবারের সামগ্রী</v>
      </c>
    </row>
    <row r="76">
      <c r="A76" s="2" t="s">
        <v>2983</v>
      </c>
      <c r="B76" s="3" t="str">
        <f>IFERROR(__xludf.DUMMYFUNCTION("GOOGLETRANSLATE(A76, ""ar"", ""bn"")"),"সমাজের উপাদান")</f>
        <v>সমাজের উপাদান</v>
      </c>
    </row>
    <row r="77">
      <c r="A77" s="2" t="s">
        <v>2984</v>
      </c>
      <c r="B77" s="3" t="str">
        <f>IFERROR(__xludf.DUMMYFUNCTION("GOOGLETRANSLATE(A77, ""ar"", ""bn"")"),"সম্প্রদায়")</f>
        <v>সম্প্রদায়</v>
      </c>
    </row>
    <row r="78">
      <c r="A78" s="2" t="s">
        <v>2985</v>
      </c>
      <c r="B78" s="3" t="str">
        <f>IFERROR(__xludf.DUMMYFUNCTION("GOOGLETRANSLATE(A78, ""ar"", ""bn"")"),"পরিবার")</f>
        <v>পরিবার</v>
      </c>
    </row>
    <row r="79">
      <c r="A79" s="2" t="s">
        <v>2986</v>
      </c>
      <c r="B79" s="3" t="str">
        <f>IFERROR(__xludf.DUMMYFUNCTION("GOOGLETRANSLATE(A79, ""ar"", ""bn"")"),"পরব")</f>
        <v>পরব</v>
      </c>
    </row>
    <row r="80">
      <c r="A80" s="2" t="s">
        <v>2987</v>
      </c>
      <c r="B80" s="3" t="str">
        <f>IFERROR(__xludf.DUMMYFUNCTION("GOOGLETRANSLATE(A80, ""ar"", ""bn"")"),"ছুটির দিন")</f>
        <v>ছুটির দিন</v>
      </c>
    </row>
    <row r="81">
      <c r="A81" s="2" t="s">
        <v>2988</v>
      </c>
      <c r="B81" s="3" t="str">
        <f>IFERROR(__xludf.DUMMYFUNCTION("GOOGLETRANSLATE(A81, ""ar"", ""bn"")"),"দরিদ্র মানুষ")</f>
        <v>দরিদ্র মানুষ</v>
      </c>
    </row>
    <row r="82">
      <c r="A82" s="2" t="s">
        <v>2989</v>
      </c>
      <c r="B82" s="3" t="str">
        <f>IFERROR(__xludf.DUMMYFUNCTION("GOOGLETRANSLATE(A82, ""ar"", ""bn"")"),"ব্যালেন্স পরিবার")</f>
        <v>ব্যালেন্স পরিবার</v>
      </c>
    </row>
    <row r="83">
      <c r="A83" s="2" t="s">
        <v>2990</v>
      </c>
      <c r="B83" s="3" t="str">
        <f>IFERROR(__xludf.DUMMYFUNCTION("GOOGLETRANSLATE(A83, ""ar"", ""bn"")"),"কমিউনিটি ভারসাম্য")</f>
        <v>কমিউনিটি ভারসাম্য</v>
      </c>
    </row>
    <row r="84">
      <c r="A84" s="2" t="s">
        <v>2991</v>
      </c>
      <c r="B84" s="3" t="str">
        <f>IFERROR(__xludf.DUMMYFUNCTION("GOOGLETRANSLATE(A84, ""ar"", ""bn"")"),"সামাজিক ইন্টিগ্রেশন")</f>
        <v>সামাজিক ইন্টিগ্রেশন</v>
      </c>
    </row>
    <row r="85">
      <c r="A85" s="2" t="s">
        <v>2992</v>
      </c>
      <c r="B85" s="3" t="str">
        <f>IFERROR(__xludf.DUMMYFUNCTION("GOOGLETRANSLATE(A85, ""ar"", ""bn"")"),"সামাজিক সংহতি")</f>
        <v>সামাজিক সংহতি</v>
      </c>
    </row>
    <row r="86">
      <c r="A86" s="2" t="s">
        <v>2993</v>
      </c>
      <c r="B86" s="3" t="str">
        <f>IFERROR(__xludf.DUMMYFUNCTION("GOOGLETRANSLATE(A86, ""ar"", ""bn"")"),"সামাজিক কেউ যদি")</f>
        <v>সামাজিক কেউ যদি</v>
      </c>
    </row>
    <row r="87">
      <c r="A87" s="2" t="s">
        <v>2994</v>
      </c>
      <c r="B87" s="3" t="str">
        <f>IFERROR(__xludf.DUMMYFUNCTION("GOOGLETRANSLATE(A87, ""ar"", ""bn"")"),"সামাজিক ইন্টিগ্রেশন")</f>
        <v>সামাজিক ইন্টিগ্রেশন</v>
      </c>
    </row>
    <row r="88">
      <c r="A88" s="2" t="s">
        <v>2995</v>
      </c>
      <c r="B88" s="3" t="str">
        <f>IFERROR(__xludf.DUMMYFUNCTION("GOOGLETRANSLATE(A88, ""ar"", ""bn"")"),"সামাজিক তৈরি করা হচ্ছে")</f>
        <v>সামাজিক তৈরি করা হচ্ছে</v>
      </c>
    </row>
    <row r="89">
      <c r="A89" s="2" t="s">
        <v>2996</v>
      </c>
      <c r="B89" s="3" t="str">
        <f>IFERROR(__xludf.DUMMYFUNCTION("GOOGLETRANSLATE(A89, ""ar"", ""bn"")"),"ব্যক্তির লালনপালন")</f>
        <v>ব্যক্তির লালনপালন</v>
      </c>
    </row>
    <row r="90">
      <c r="A90" s="2" t="s">
        <v>2997</v>
      </c>
      <c r="B90" s="3" t="str">
        <f>IFERROR(__xludf.DUMMYFUNCTION("GOOGLETRANSLATE(A90, ""ar"", ""bn"")"),"সোসাইটি সংস্কার")</f>
        <v>সোসাইটি সংস্কার</v>
      </c>
    </row>
    <row r="91">
      <c r="A91" s="2" t="s">
        <v>2998</v>
      </c>
      <c r="B91" s="3" t="str">
        <f>IFERROR(__xludf.DUMMYFUNCTION("GOOGLETRANSLATE(A91, ""ar"", ""bn"")"),"ব্যক্তির রিফর্ম")</f>
        <v>ব্যক্তির রিফর্ম</v>
      </c>
    </row>
    <row r="92">
      <c r="A92" s="2" t="s">
        <v>2999</v>
      </c>
      <c r="B92" s="3" t="str">
        <f>IFERROR(__xludf.DUMMYFUNCTION("GOOGLETRANSLATE(A92, ""ar"", ""bn"")"),"পুনর্বাসন")</f>
        <v>পুনর্বাসন</v>
      </c>
    </row>
    <row r="93">
      <c r="A93" s="2" t="s">
        <v>3000</v>
      </c>
      <c r="B93" s="3" t="str">
        <f>IFERROR(__xludf.DUMMYFUNCTION("GOOGLETRANSLATE(A93, ""ar"", ""bn"")"),"বৃত্তিমূলক প্রশিক্ষণ")</f>
        <v>বৃত্তিমূলক প্রশিক্ষণ</v>
      </c>
    </row>
    <row r="94">
      <c r="A94" s="2" t="s">
        <v>3001</v>
      </c>
      <c r="B94" s="3" t="str">
        <f>IFERROR(__xludf.DUMMYFUNCTION("GOOGLETRANSLATE(A94, ""ar"", ""bn"")"),"সামাজিক ভারসাম্য")</f>
        <v>সামাজিক ভারসাম্য</v>
      </c>
    </row>
    <row r="95">
      <c r="A95" s="2" t="s">
        <v>3002</v>
      </c>
      <c r="B95" s="3" t="str">
        <f>IFERROR(__xludf.DUMMYFUNCTION("GOOGLETRANSLATE(A95, ""ar"", ""bn"")"),"সামাজিক বিভেদ")</f>
        <v>সামাজিক বিভেদ</v>
      </c>
    </row>
    <row r="96">
      <c r="A96" s="2" t="s">
        <v>3003</v>
      </c>
      <c r="B96" s="3" t="str">
        <f>IFERROR(__xludf.DUMMYFUNCTION("GOOGLETRANSLATE(A96, ""ar"", ""bn"")"),"ব্যক্তিবিশেষের মধ্যে সম্পর্ক")</f>
        <v>ব্যক্তিবিশেষের মধ্যে সম্পর্ক</v>
      </c>
    </row>
    <row r="97">
      <c r="A97" s="2" t="s">
        <v>3004</v>
      </c>
      <c r="B97" s="3" t="str">
        <f>IFERROR(__xludf.DUMMYFUNCTION("GOOGLETRANSLATE(A97, ""ar"", ""bn"")"),"পারিবারিক সম্পর্ক")</f>
        <v>পারিবারিক সম্পর্ক</v>
      </c>
    </row>
    <row r="98">
      <c r="A98" s="2" t="s">
        <v>3005</v>
      </c>
      <c r="B98" s="3" t="str">
        <f>IFERROR(__xludf.DUMMYFUNCTION("GOOGLETRANSLATE(A98, ""ar"", ""bn"")"),"মধ্যে একই পরিবারের")</f>
        <v>মধ্যে একই পরিবারের</v>
      </c>
    </row>
    <row r="99">
      <c r="A99" s="2" t="s">
        <v>3006</v>
      </c>
      <c r="B99" s="3" t="str">
        <f>IFERROR(__xludf.DUMMYFUNCTION("GOOGLETRANSLATE(A99, ""ar"", ""bn"")"),"দারিদ্র্য হার")</f>
        <v>দারিদ্র্য হার</v>
      </c>
    </row>
    <row r="100">
      <c r="A100" s="2" t="s">
        <v>3007</v>
      </c>
      <c r="B100" s="3" t="str">
        <f>IFERROR(__xludf.DUMMYFUNCTION("GOOGLETRANSLATE(A100, ""ar"", ""bn"")"),"অজ্ঞতা শতকরা")</f>
        <v>অজ্ঞতা শতকরা</v>
      </c>
    </row>
    <row r="101">
      <c r="A101" s="2" t="s">
        <v>3008</v>
      </c>
      <c r="B101" s="3" t="str">
        <f>IFERROR(__xludf.DUMMYFUNCTION("GOOGLETRANSLATE(A101, ""ar"", ""bn"")"),"নিরক্ষরতা হার")</f>
        <v>নিরক্ষরতা হার</v>
      </c>
    </row>
    <row r="102">
      <c r="A102" s="2" t="s">
        <v>3009</v>
      </c>
      <c r="B102" s="3" t="str">
        <f>IFERROR(__xludf.DUMMYFUNCTION("GOOGLETRANSLATE(A102, ""ar"", ""bn"")"),"বিদেশিরা")</f>
        <v>বিদেশিরা</v>
      </c>
    </row>
    <row r="103">
      <c r="A103" s="2" t="s">
        <v>3010</v>
      </c>
      <c r="B103" s="3" t="str">
        <f>IFERROR(__xludf.DUMMYFUNCTION("GOOGLETRANSLATE(A103, ""ar"", ""bn"")"),"ইমিগ্রান্টস")</f>
        <v>ইমিগ্রান্টস</v>
      </c>
    </row>
    <row r="104">
      <c r="A104" s="2" t="s">
        <v>3011</v>
      </c>
      <c r="B104" s="3" t="str">
        <f>IFERROR(__xludf.DUMMYFUNCTION("GOOGLETRANSLATE(A104, ""ar"", ""bn"")"),"রোগীদের")</f>
        <v>রোগীদের</v>
      </c>
    </row>
    <row r="105">
      <c r="A105" s="2" t="s">
        <v>3012</v>
      </c>
      <c r="B105" s="3" t="str">
        <f>IFERROR(__xludf.DUMMYFUNCTION("GOOGLETRANSLATE(A105, ""ar"", ""bn"")"),"রোগ")</f>
        <v>রোগ</v>
      </c>
    </row>
    <row r="106">
      <c r="A106" s="2" t="s">
        <v>1736</v>
      </c>
      <c r="B106" s="3" t="str">
        <f>IFERROR(__xludf.DUMMYFUNCTION("GOOGLETRANSLATE(A106, ""ar"", ""bn"")"),"নাগরিক")</f>
        <v>নাগরিক</v>
      </c>
    </row>
    <row r="107">
      <c r="A107" s="2" t="s">
        <v>3013</v>
      </c>
      <c r="B107" s="3" t="str">
        <f>IFERROR(__xludf.DUMMYFUNCTION("GOOGLETRANSLATE(A107, ""ar"", ""bn"")"),"স্বতন্ত্র মামলা")</f>
        <v>স্বতন্ত্র মামলা</v>
      </c>
    </row>
    <row r="108">
      <c r="A108" s="2" t="s">
        <v>3014</v>
      </c>
      <c r="B108" s="3" t="str">
        <f>IFERROR(__xludf.DUMMYFUNCTION("GOOGLETRANSLATE(A108, ""ar"", ""bn"")"),"পরম")</f>
        <v>পরম</v>
      </c>
    </row>
    <row r="109">
      <c r="A109" s="2" t="s">
        <v>3015</v>
      </c>
      <c r="B109" s="3" t="str">
        <f>IFERROR(__xludf.DUMMYFUNCTION("GOOGLETRANSLATE(A109, ""ar"", ""bn"")"),"বিবাহ বিচ্ছিন্ন")</f>
        <v>বিবাহ বিচ্ছিন্ন</v>
      </c>
    </row>
    <row r="110">
      <c r="A110" s="2" t="s">
        <v>3016</v>
      </c>
      <c r="B110" s="3" t="str">
        <f>IFERROR(__xludf.DUMMYFUNCTION("GOOGLETRANSLATE(A110, ""ar"", ""bn"")"),"কুমারী")</f>
        <v>কুমারী</v>
      </c>
    </row>
    <row r="111">
      <c r="A111" s="2" t="s">
        <v>3017</v>
      </c>
      <c r="B111" s="3" t="str">
        <f>IFERROR(__xludf.DUMMYFUNCTION("GOOGLETRANSLATE(A111, ""ar"", ""bn"")"),"সম্পর্কে ভালোভাবে জ্ঞাত")</f>
        <v>সম্পর্কে ভালোভাবে জ্ঞাত</v>
      </c>
    </row>
    <row r="112">
      <c r="A112" s="2" t="s">
        <v>3018</v>
      </c>
      <c r="B112" s="3" t="str">
        <f>IFERROR(__xludf.DUMMYFUNCTION("GOOGLETRANSLATE(A112, ""ar"", ""bn"")"),"বিধবা")</f>
        <v>বিধবা</v>
      </c>
    </row>
    <row r="113">
      <c r="A113" s="2" t="s">
        <v>3019</v>
      </c>
      <c r="B113" s="3" t="str">
        <f>IFERROR(__xludf.DUMMYFUNCTION("GOOGLETRANSLATE(A113, ""ar"", ""bn"")"),"Ajayz")</f>
        <v>Ajayz</v>
      </c>
    </row>
    <row r="114">
      <c r="A114" s="2" t="s">
        <v>3020</v>
      </c>
      <c r="B114" s="3" t="str">
        <f>IFERROR(__xludf.DUMMYFUNCTION("GOOGLETRANSLATE(A114, ""ar"", ""bn"")"),"বৃদ্ধ")</f>
        <v>বৃদ্ধ</v>
      </c>
    </row>
    <row r="115">
      <c r="A115" s="2" t="s">
        <v>3021</v>
      </c>
      <c r="B115" s="3" t="str">
        <f>IFERROR(__xludf.DUMMYFUNCTION("GOOGLETRANSLATE(A115, ""ar"", ""bn"")"),"অক্ষম")</f>
        <v>অক্ষম</v>
      </c>
    </row>
    <row r="116">
      <c r="A116" s="2" t="s">
        <v>3022</v>
      </c>
      <c r="B116" s="3" t="str">
        <f>IFERROR(__xludf.DUMMYFUNCTION("GOOGLETRANSLATE(A116, ""ar"", ""bn"")"),"রাস্তায় বিক্রেতারা")</f>
        <v>রাস্তায় বিক্রেতারা</v>
      </c>
    </row>
    <row r="117">
      <c r="A117" s="2" t="s">
        <v>3023</v>
      </c>
      <c r="B117" s="3" t="str">
        <f>IFERROR(__xludf.DUMMYFUNCTION("GOOGLETRANSLATE(A117, ""ar"", ""bn"")"),"হকার")</f>
        <v>হকার</v>
      </c>
    </row>
    <row r="118">
      <c r="A118" s="2" t="s">
        <v>3024</v>
      </c>
      <c r="B118" s="3" t="str">
        <f>IFERROR(__xludf.DUMMYFUNCTION("GOOGLETRANSLATE(A118, ""ar"", ""bn"")"),"এপিডেমিক বিস্তার")</f>
        <v>এপিডেমিক বিস্তার</v>
      </c>
    </row>
    <row r="119">
      <c r="A119" s="2" t="s">
        <v>3025</v>
      </c>
      <c r="B119" s="3" t="str">
        <f>IFERROR(__xludf.DUMMYFUNCTION("GOOGLETRANSLATE(A119, ""ar"", ""bn"")"),"একটি স্থানীয়")</f>
        <v>একটি স্থানীয়</v>
      </c>
    </row>
    <row r="120">
      <c r="A120" s="2" t="s">
        <v>3026</v>
      </c>
      <c r="B120" s="3" t="str">
        <f>IFERROR(__xludf.DUMMYFUNCTION("GOOGLETRANSLATE(A120, ""ar"", ""bn"")"),"ভিক্ষুক")</f>
        <v>ভিক্ষুক</v>
      </c>
    </row>
    <row r="121">
      <c r="A121" s="2" t="s">
        <v>3027</v>
      </c>
      <c r="B121" s="3" t="str">
        <f>IFERROR(__xludf.DUMMYFUNCTION("GOOGLETRANSLATE(A121, ""ar"", ""bn"")"),"প্রয়োজন")</f>
        <v>প্রয়োজন</v>
      </c>
    </row>
    <row r="122">
      <c r="A122" s="2" t="s">
        <v>3028</v>
      </c>
      <c r="B122" s="3" t="str">
        <f>IFERROR(__xludf.DUMMYFUNCTION("GOOGLETRANSLATE(A122, ""ar"", ""bn"")"),"দুর্ভিক্ষ")</f>
        <v>দুর্ভিক্ষ</v>
      </c>
    </row>
    <row r="123">
      <c r="A123" s="2" t="s">
        <v>3029</v>
      </c>
      <c r="B123" s="3" t="str">
        <f>IFERROR(__xludf.DUMMYFUNCTION("GOOGLETRANSLATE(A123, ""ar"", ""bn"")"),"Starvations")</f>
        <v>Starvations</v>
      </c>
    </row>
    <row r="124">
      <c r="A124" s="2" t="s">
        <v>3030</v>
      </c>
      <c r="B124" s="3" t="str">
        <f>IFERROR(__xludf.DUMMYFUNCTION("GOOGLETRANSLATE(A124, ""ar"", ""bn"")"),"সমাজের প্রতি হুমকি")</f>
        <v>সমাজের প্রতি হুমকি</v>
      </c>
    </row>
    <row r="125">
      <c r="A125" s="2" t="s">
        <v>3031</v>
      </c>
      <c r="B125" s="3" t="str">
        <f>IFERROR(__xludf.DUMMYFUNCTION("GOOGLETRANSLATE(A125, ""ar"", ""bn"")"),"মধ্যে ফাইট")</f>
        <v>মধ্যে ফাইট</v>
      </c>
    </row>
    <row r="126">
      <c r="A126" s="2" t="s">
        <v>3032</v>
      </c>
      <c r="B126" s="3" t="str">
        <f>IFERROR(__xludf.DUMMYFUNCTION("GOOGLETRANSLATE(A126, ""ar"", ""bn"")"),"পরিবারের প্রধান")</f>
        <v>পরিবারের প্রধান</v>
      </c>
    </row>
    <row r="127">
      <c r="A127" s="2" t="s">
        <v>3033</v>
      </c>
      <c r="B127" s="3" t="str">
        <f>IFERROR(__xludf.DUMMYFUNCTION("GOOGLETRANSLATE(A127, ""ar"", ""bn"")"),"হাউস ওয়াইফ")</f>
        <v>হাউস ওয়াইফ</v>
      </c>
    </row>
    <row r="128">
      <c r="A128" s="2" t="s">
        <v>3034</v>
      </c>
      <c r="B128" s="3" t="str">
        <f>IFERROR(__xludf.DUMMYFUNCTION("GOOGLETRANSLATE(A128, ""ar"", ""bn"")"),"মা")</f>
        <v>মা</v>
      </c>
    </row>
    <row r="129">
      <c r="A129" s="2" t="s">
        <v>3035</v>
      </c>
      <c r="B129" s="3" t="str">
        <f>IFERROR(__xludf.DUMMYFUNCTION("GOOGLETRANSLATE(A129, ""ar"", ""bn"")"),"বাবা")</f>
        <v>বাবা</v>
      </c>
    </row>
    <row r="130">
      <c r="A130" s="2" t="s">
        <v>3036</v>
      </c>
      <c r="B130" s="3" t="str">
        <f>IFERROR(__xludf.DUMMYFUNCTION("GOOGLETRANSLATE(A130, ""ar"", ""bn"")"),"মা")</f>
        <v>মা</v>
      </c>
    </row>
    <row r="131">
      <c r="A131" s="2" t="s">
        <v>3037</v>
      </c>
      <c r="B131" s="3" t="str">
        <f>IFERROR(__xludf.DUMMYFUNCTION("GOOGLETRANSLATE(A131, ""ar"", ""bn"")"),"বাবা")</f>
        <v>বাবা</v>
      </c>
    </row>
    <row r="132">
      <c r="A132" s="2" t="s">
        <v>3038</v>
      </c>
      <c r="B132" s="3" t="str">
        <f>IFERROR(__xludf.DUMMYFUNCTION("GOOGLETRANSLATE(A132, ""ar"", ""bn"")"),"শিশু")</f>
        <v>শিশু</v>
      </c>
    </row>
    <row r="133">
      <c r="A133" s="2" t="s">
        <v>3039</v>
      </c>
      <c r="B133" s="3" t="str">
        <f>IFERROR(__xludf.DUMMYFUNCTION("GOOGLETRANSLATE(A133, ""ar"", ""bn"")"),"শিশু")</f>
        <v>শিশু</v>
      </c>
    </row>
    <row r="134">
      <c r="A134" s="2" t="s">
        <v>3040</v>
      </c>
      <c r="B134" s="3" t="str">
        <f>IFERROR(__xludf.DUMMYFUNCTION("GOOGLETRANSLATE(A134, ""ar"", ""bn"")"),"মেয়ে")</f>
        <v>মেয়ে</v>
      </c>
    </row>
    <row r="135">
      <c r="A135" s="2" t="s">
        <v>3041</v>
      </c>
      <c r="B135" s="3" t="str">
        <f>IFERROR(__xludf.DUMMYFUNCTION("GOOGLETRANSLATE(A135, ""ar"", ""bn"")"),"গার্লস")</f>
        <v>গার্লস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4.14"/>
    <col customWidth="1" min="2" max="2" width="47.29"/>
  </cols>
  <sheetData>
    <row r="1">
      <c r="A1" s="1" t="s">
        <v>0</v>
      </c>
      <c r="B1" s="1" t="s">
        <v>1</v>
      </c>
    </row>
    <row r="2">
      <c r="A2" s="2" t="s">
        <v>3042</v>
      </c>
      <c r="B2" s="3" t="str">
        <f>IFERROR(__xludf.DUMMYFUNCTION("GOOGLETRANSLATE(A2, ""ar"", ""bn"")"),"ফুটবল")</f>
        <v>ফুটবল</v>
      </c>
    </row>
    <row r="3">
      <c r="A3" s="2" t="s">
        <v>3043</v>
      </c>
      <c r="B3" s="3" t="str">
        <f>IFERROR(__xludf.DUMMYFUNCTION("GOOGLETRANSLATE(A3, ""ar"", ""bn"")"),"বাস্কেটবল")</f>
        <v>বাস্কেটবল</v>
      </c>
    </row>
    <row r="4">
      <c r="A4" s="2" t="s">
        <v>3044</v>
      </c>
      <c r="B4" s="3" t="str">
        <f>IFERROR(__xludf.DUMMYFUNCTION("GOOGLETRANSLATE(A4, ""ar"", ""bn"")"),"ফুটবল")</f>
        <v>ফুটবল</v>
      </c>
    </row>
    <row r="5">
      <c r="A5" s="2" t="s">
        <v>3045</v>
      </c>
      <c r="B5" s="3" t="str">
        <f>IFERROR(__xludf.DUMMYFUNCTION("GOOGLETRANSLATE(A5, ""ar"", ""bn"")"),"বাস্কেটবল")</f>
        <v>বাস্কেটবল</v>
      </c>
    </row>
    <row r="6">
      <c r="A6" s="2" t="s">
        <v>3046</v>
      </c>
      <c r="B6" s="3" t="str">
        <f>IFERROR(__xludf.DUMMYFUNCTION("GOOGLETRANSLATE(A6, ""ar"", ""bn"")"),"গোলক")</f>
        <v>গোলক</v>
      </c>
    </row>
    <row r="7">
      <c r="A7" s="2" t="s">
        <v>3047</v>
      </c>
      <c r="B7" s="3" t="str">
        <f>IFERROR(__xludf.DUMMYFUNCTION("GOOGLETRANSLATE(A7, ""ar"", ""bn"")"),"গোলক")</f>
        <v>গোলক</v>
      </c>
    </row>
    <row r="8">
      <c r="A8" s="2" t="s">
        <v>3048</v>
      </c>
      <c r="B8" s="3" t="str">
        <f>IFERROR(__xludf.DUMMYFUNCTION("GOOGLETRANSLATE(A8, ""ar"", ""bn"")"),"টেনিস")</f>
        <v>টেনিস</v>
      </c>
    </row>
    <row r="9">
      <c r="A9" s="2" t="s">
        <v>3049</v>
      </c>
      <c r="B9" s="3" t="str">
        <f>IFERROR(__xludf.DUMMYFUNCTION("GOOGLETRANSLATE(A9, ""ar"", ""bn"")"),"সাঁতার")</f>
        <v>সাঁতার</v>
      </c>
    </row>
    <row r="10">
      <c r="A10" s="2" t="s">
        <v>3050</v>
      </c>
      <c r="B10" s="3" t="str">
        <f>IFERROR(__xludf.DUMMYFUNCTION("GOOGLETRANSLATE(A10, ""ar"", ""bn"")"),"দাবা")</f>
        <v>দাবা</v>
      </c>
    </row>
    <row r="11">
      <c r="A11" s="2" t="s">
        <v>3051</v>
      </c>
      <c r="B11" s="3" t="str">
        <f>IFERROR(__xludf.DUMMYFUNCTION("GOOGLETRANSLATE(A11, ""ar"", ""bn"")"),"খেলার সংগঠন")</f>
        <v>খেলার সংগঠন</v>
      </c>
    </row>
    <row r="12">
      <c r="A12" s="2" t="s">
        <v>3052</v>
      </c>
      <c r="B12" s="3" t="str">
        <f>IFERROR(__xludf.DUMMYFUNCTION("GOOGLETRANSLATE(A12, ""ar"", ""bn"")"),"ক্রীড়া ক্লাব")</f>
        <v>ক্রীড়া ক্লাব</v>
      </c>
    </row>
    <row r="13">
      <c r="A13" s="2" t="s">
        <v>3053</v>
      </c>
      <c r="B13" s="3" t="str">
        <f>IFERROR(__xludf.DUMMYFUNCTION("GOOGLETRANSLATE(A13, ""ar"", ""bn"")"),"খেলা")</f>
        <v>খেলা</v>
      </c>
    </row>
    <row r="14">
      <c r="A14" s="2" t="s">
        <v>3054</v>
      </c>
      <c r="B14" s="3" t="str">
        <f>IFERROR(__xludf.DUMMYFUNCTION("GOOGLETRANSLATE(A14, ""ar"", ""bn"")"),"স্পোর্টস")</f>
        <v>স্পোর্টস</v>
      </c>
    </row>
    <row r="15">
      <c r="A15" s="2" t="s">
        <v>3055</v>
      </c>
      <c r="B15" s="3" t="str">
        <f>IFERROR(__xludf.DUMMYFUNCTION("GOOGLETRANSLATE(A15, ""ar"", ""bn"")"),"ক্রীড়া দল")</f>
        <v>ক্রীড়া দল</v>
      </c>
    </row>
    <row r="16">
      <c r="A16" s="2" t="s">
        <v>3056</v>
      </c>
      <c r="B16" s="3" t="str">
        <f>IFERROR(__xludf.DUMMYFUNCTION("GOOGLETRANSLATE(A16, ""ar"", ""bn"")"),"টিম স্পোর্টস")</f>
        <v>টিম স্পোর্টস</v>
      </c>
    </row>
    <row r="17">
      <c r="A17" s="2" t="s">
        <v>3057</v>
      </c>
      <c r="B17" s="3" t="str">
        <f>IFERROR(__xludf.DUMMYFUNCTION("GOOGLETRANSLATE(A17, ""ar"", ""bn"")"),"টিম স্পোর্টস")</f>
        <v>টিম স্পোর্টস</v>
      </c>
    </row>
    <row r="18">
      <c r="A18" s="2" t="s">
        <v>3058</v>
      </c>
      <c r="B18" s="3" t="str">
        <f>IFERROR(__xludf.DUMMYFUNCTION("GOOGLETRANSLATE(A18, ""ar"", ""bn"")"),"আমাদের জাতীয় দলের")</f>
        <v>আমাদের জাতীয় দলের</v>
      </c>
    </row>
    <row r="19">
      <c r="A19" s="2" t="s">
        <v>3059</v>
      </c>
      <c r="B19" s="3" t="str">
        <f>IFERROR(__xludf.DUMMYFUNCTION("GOOGLETRANSLATE(A19, ""ar"", ""bn"")"),"জাতীয় দলের")</f>
        <v>জাতীয় দলের</v>
      </c>
    </row>
    <row r="20">
      <c r="A20" s="2" t="s">
        <v>3060</v>
      </c>
      <c r="B20" s="3" t="str">
        <f>IFERROR(__xludf.DUMMYFUNCTION("GOOGLETRANSLATE(A20, ""ar"", ""bn"")"),"জাতীয় দলের")</f>
        <v>জাতীয় দলের</v>
      </c>
    </row>
    <row r="21">
      <c r="A21" s="2" t="s">
        <v>3061</v>
      </c>
      <c r="B21" s="3" t="str">
        <f>IFERROR(__xludf.DUMMYFUNCTION("GOOGLETRANSLATE(A21, ""ar"", ""bn"")"),"যুবদল")</f>
        <v>যুবদল</v>
      </c>
    </row>
    <row r="22">
      <c r="A22" s="2" t="s">
        <v>3062</v>
      </c>
      <c r="B22" s="3" t="str">
        <f>IFERROR(__xludf.DUMMYFUNCTION("GOOGLETRANSLATE(A22, ""ar"", ""bn"")"),"টিম নাহিয়ান")</f>
        <v>টিম নাহিয়ান</v>
      </c>
    </row>
    <row r="23">
      <c r="A23" s="2" t="s">
        <v>3063</v>
      </c>
      <c r="B23" s="3" t="str">
        <f>IFERROR(__xludf.DUMMYFUNCTION("GOOGLETRANSLATE(A23, ""ar"", ""bn"")"),"প্লেয়ার")</f>
        <v>প্লেয়ার</v>
      </c>
    </row>
    <row r="24">
      <c r="A24" s="2" t="s">
        <v>3064</v>
      </c>
      <c r="B24" s="3" t="str">
        <f>IFERROR(__xludf.DUMMYFUNCTION("GOOGLETRANSLATE(A24, ""ar"", ""bn"")"),"প্লেয়ার")</f>
        <v>প্লেয়ার</v>
      </c>
    </row>
    <row r="25">
      <c r="A25" s="2" t="s">
        <v>3065</v>
      </c>
      <c r="B25" s="3" t="str">
        <f>IFERROR(__xludf.DUMMYFUNCTION("GOOGLETRANSLATE(A25, ""ar"", ""bn"")"),"খেলার মাঠ")</f>
        <v>খেলার মাঠ</v>
      </c>
    </row>
    <row r="26">
      <c r="A26" s="2" t="s">
        <v>3066</v>
      </c>
      <c r="B26" s="3" t="str">
        <f>IFERROR(__xludf.DUMMYFUNCTION("GOOGLETRANSLATE(A26, ""ar"", ""bn"")"),"স্টেডিয়ামে")</f>
        <v>স্টেডিয়ামে</v>
      </c>
    </row>
    <row r="27">
      <c r="A27" s="2" t="s">
        <v>3067</v>
      </c>
      <c r="B27" s="3" t="str">
        <f>IFERROR(__xludf.DUMMYFUNCTION("GOOGLETRANSLATE(A27, ""ar"", ""bn"")"),"দীর্ঘজীবী হউক")</f>
        <v>দীর্ঘজীবী হউক</v>
      </c>
    </row>
    <row r="28">
      <c r="A28" s="2" t="s">
        <v>3068</v>
      </c>
      <c r="B28" s="3" t="str">
        <f>IFERROR(__xludf.DUMMYFUNCTION("GOOGLETRANSLATE(A28, ""ar"", ""bn"")"),"অলিম্পিয়াড")</f>
        <v>অলিম্পিয়াড</v>
      </c>
    </row>
    <row r="29">
      <c r="A29" s="2" t="s">
        <v>3069</v>
      </c>
      <c r="B29" s="3" t="str">
        <f>IFERROR(__xludf.DUMMYFUNCTION("GOOGLETRANSLATE(A29, ""ar"", ""bn"")"),"গোলাকার")</f>
        <v>গোলাকার</v>
      </c>
    </row>
    <row r="30">
      <c r="A30" s="2" t="s">
        <v>3070</v>
      </c>
      <c r="B30" s="3" t="str">
        <f>IFERROR(__xludf.DUMMYFUNCTION("GOOGLETRANSLATE(A30, ""ar"", ""bn"")"),"কোচ")</f>
        <v>কোচ</v>
      </c>
    </row>
    <row r="31">
      <c r="A31" s="2" t="s">
        <v>3071</v>
      </c>
      <c r="B31" s="3" t="str">
        <f>IFERROR(__xludf.DUMMYFUNCTION("GOOGLETRANSLATE(A31, ""ar"", ""bn"")"),"ম্যাচ")</f>
        <v>ম্যাচ</v>
      </c>
    </row>
    <row r="32">
      <c r="A32" s="2" t="s">
        <v>3072</v>
      </c>
      <c r="B32" s="3" t="str">
        <f>IFERROR(__xludf.DUMMYFUNCTION("GOOGLETRANSLATE(A32, ""ar"", ""bn"")"),"গেম")</f>
        <v>গেম</v>
      </c>
    </row>
    <row r="33">
      <c r="A33" s="2" t="s">
        <v>3073</v>
      </c>
      <c r="B33" s="3" t="str">
        <f>IFERROR(__xludf.DUMMYFUNCTION("GOOGLETRANSLATE(A33, ""ar"", ""bn"")"),"একটি জাতি")</f>
        <v>একটি জাতি</v>
      </c>
    </row>
    <row r="34">
      <c r="A34" s="2" t="s">
        <v>3074</v>
      </c>
      <c r="B34" s="3" t="str">
        <f>IFERROR(__xludf.DUMMYFUNCTION("GOOGLETRANSLATE(A34, ""ar"", ""bn"")"),"কম্পিটিসনস")</f>
        <v>কম্পিটিসনস</v>
      </c>
    </row>
    <row r="35">
      <c r="A35" s="2" t="s">
        <v>3075</v>
      </c>
      <c r="B35" s="3" t="str">
        <f>IFERROR(__xludf.DUMMYFUNCTION("GOOGLETRANSLATE(A35, ""ar"", ""bn"")"),"ব্যায়াম")</f>
        <v>ব্যায়াম</v>
      </c>
    </row>
    <row r="36">
      <c r="A36" s="2" t="s">
        <v>3076</v>
      </c>
      <c r="B36" s="3" t="str">
        <f>IFERROR(__xludf.DUMMYFUNCTION("GOOGLETRANSLATE(A36, ""ar"", ""bn"")"),"দঙ্গল")</f>
        <v>দঙ্গল</v>
      </c>
    </row>
    <row r="37">
      <c r="A37" s="2" t="s">
        <v>3077</v>
      </c>
      <c r="B37" s="3" t="str">
        <f>IFERROR(__xludf.DUMMYFUNCTION("GOOGLETRANSLATE(A37, ""ar"", ""bn"")"),"বক্সিং")</f>
        <v>বক্সিং</v>
      </c>
    </row>
    <row r="38">
      <c r="A38" s="2" t="s">
        <v>3078</v>
      </c>
      <c r="B38" s="3" t="str">
        <f>IFERROR(__xludf.DUMMYFUNCTION("GOOGLETRANSLATE(A38, ""ar"", ""bn"")"),"মুষ্টিযোদ্ধা")</f>
        <v>মুষ্টিযোদ্ধা</v>
      </c>
    </row>
    <row r="39">
      <c r="A39" s="2" t="s">
        <v>3079</v>
      </c>
      <c r="B39" s="3" t="str">
        <f>IFERROR(__xludf.DUMMYFUNCTION("GOOGLETRANSLATE(A39, ""ar"", ""bn"")"),"পালোয়ান")</f>
        <v>পালোয়ান</v>
      </c>
    </row>
    <row r="40">
      <c r="A40" s="2" t="s">
        <v>3080</v>
      </c>
      <c r="B40" s="3" t="str">
        <f>IFERROR(__xludf.DUMMYFUNCTION("GOOGLETRANSLATE(A40, ""ar"", ""bn"")"),"স্পোর্টস ক্লাব")</f>
        <v>স্পোর্টস ক্লাব</v>
      </c>
    </row>
    <row r="41">
      <c r="A41" s="2" t="s">
        <v>3081</v>
      </c>
      <c r="B41" s="3" t="str">
        <f>IFERROR(__xludf.DUMMYFUNCTION("GOOGLETRANSLATE(A41, ""ar"", ""bn"")"),"স্পোর্টস ক্লাব")</f>
        <v>স্পোর্টস ক্লাব</v>
      </c>
    </row>
    <row r="42">
      <c r="A42" s="2" t="s">
        <v>3082</v>
      </c>
      <c r="B42" s="3" t="str">
        <f>IFERROR(__xludf.DUMMYFUNCTION("GOOGLETRANSLATE(A42, ""ar"", ""bn"")"),"বিশ্বকাপ")</f>
        <v>বিশ্বকাপ</v>
      </c>
    </row>
    <row r="43">
      <c r="A43" s="2" t="s">
        <v>3083</v>
      </c>
      <c r="B43" s="3" t="str">
        <f>IFERROR(__xludf.DUMMYFUNCTION("GOOGLETRANSLATE(A43, ""ar"", ""bn"")"),"লীগ কাপ")</f>
        <v>লীগ কাপ</v>
      </c>
    </row>
    <row r="44">
      <c r="A44" s="2" t="s">
        <v>3084</v>
      </c>
      <c r="B44" s="3" t="str">
        <f>IFERROR(__xludf.DUMMYFUNCTION("GOOGLETRANSLATE(A44, ""ar"", ""bn"")"),"অ্যাথলেটিক লীগ")</f>
        <v>অ্যাথলেটিক লীগ</v>
      </c>
    </row>
    <row r="45">
      <c r="A45" s="2" t="s">
        <v>3085</v>
      </c>
      <c r="B45" s="3" t="str">
        <f>IFERROR(__xludf.DUMMYFUNCTION("GOOGLETRANSLATE(A45, ""ar"", ""bn"")"),"লীগ স্পোর্টস")</f>
        <v>লীগ স্পোর্টস</v>
      </c>
    </row>
    <row r="46">
      <c r="A46" s="2" t="s">
        <v>3086</v>
      </c>
      <c r="B46" s="3" t="str">
        <f>IFERROR(__xludf.DUMMYFUNCTION("GOOGLETRANSLATE(A46, ""ar"", ""bn"")"),"পদক")</f>
        <v>পদক</v>
      </c>
    </row>
    <row r="47">
      <c r="A47" s="2" t="s">
        <v>3087</v>
      </c>
      <c r="B47" s="3" t="str">
        <f>IFERROR(__xludf.DUMMYFUNCTION("GOOGLETRANSLATE(A47, ""ar"", ""bn"")"),"পদক")</f>
        <v>পদক</v>
      </c>
    </row>
    <row r="48">
      <c r="A48" s="2" t="s">
        <v>3088</v>
      </c>
      <c r="B48" s="3" t="str">
        <f>IFERROR(__xludf.DUMMYFUNCTION("GOOGLETRANSLATE(A48, ""ar"", ""bn"")"),"রিং")</f>
        <v>রিং</v>
      </c>
    </row>
    <row r="49">
      <c r="A49" s="2" t="s">
        <v>3089</v>
      </c>
      <c r="B49" s="3" t="str">
        <f>IFERROR(__xludf.DUMMYFUNCTION("GOOGLETRANSLATE(A49, ""ar"", ""bn"")"),"ইউনিয়ন ঘৃণা")</f>
        <v>ইউনিয়ন ঘৃণা</v>
      </c>
    </row>
    <row r="50">
      <c r="A50" s="2" t="s">
        <v>3090</v>
      </c>
      <c r="B50" s="3" t="str">
        <f>IFERROR(__xludf.DUMMYFUNCTION("GOOGLETRANSLATE(A50, ""ar"", ""bn"")"),"ইউরোপীয় দেশগুলির")</f>
        <v>ইউরোপীয় দেশগুলির</v>
      </c>
    </row>
    <row r="51">
      <c r="A51" s="2" t="s">
        <v>3091</v>
      </c>
      <c r="B51" s="3" t="str">
        <f>IFERROR(__xludf.DUMMYFUNCTION("GOOGLETRANSLATE(A51, ""ar"", ""bn"")"),"ফুটবল এসোসিয়েশন")</f>
        <v>ফুটবল এসোসিয়েশন</v>
      </c>
    </row>
    <row r="52">
      <c r="A52" s="2" t="s">
        <v>3092</v>
      </c>
      <c r="B52" s="3" t="str">
        <f>IFERROR(__xludf.DUMMYFUNCTION("GOOGLETRANSLATE(A52, ""ar"", ""bn"")"),"আন্তর্জাতিক চ্যাম্পিয়নশিপ")</f>
        <v>আন্তর্জাতিক চ্যাম্পিয়নশিপ</v>
      </c>
    </row>
    <row r="53">
      <c r="A53" s="2" t="s">
        <v>3093</v>
      </c>
      <c r="B53" s="3" t="str">
        <f>IFERROR(__xludf.DUMMYFUNCTION("GOOGLETRANSLATE(A53, ""ar"", ""bn"")"),"চ্যাম্পিয়নশিপ একটি আন্তর্জাতিক")</f>
        <v>চ্যাম্পিয়নশিপ একটি আন্তর্জাতিক</v>
      </c>
    </row>
    <row r="54">
      <c r="A54" s="2" t="s">
        <v>3094</v>
      </c>
      <c r="B54" s="3" t="str">
        <f>IFERROR(__xludf.DUMMYFUNCTION("GOOGLETRANSLATE(A54, ""ar"", ""bn"")"),"ফুটবল ইন্টারন্যাশনাল ফেডারেশন")</f>
        <v>ফুটবল ইন্টারন্যাশনাল ফেডারেশন</v>
      </c>
    </row>
    <row r="55">
      <c r="A55" s="2" t="s">
        <v>3095</v>
      </c>
      <c r="B55" s="3" t="str">
        <f>IFERROR(__xludf.DUMMYFUNCTION("GOOGLETRANSLATE(A55, ""ar"", ""bn"")"),"ফুটবল লীগ")</f>
        <v>ফুটবল লীগ</v>
      </c>
    </row>
    <row r="56">
      <c r="A56" s="2" t="s">
        <v>3096</v>
      </c>
      <c r="B56" s="3" t="str">
        <f>IFERROR(__xludf.DUMMYFUNCTION("GOOGLETRANSLATE(A56, ""ar"", ""bn"")"),"চ্যাম্পিয়নশিপ লিগ")</f>
        <v>চ্যাম্পিয়নশিপ লিগ</v>
      </c>
    </row>
    <row r="57">
      <c r="A57" s="2" t="s">
        <v>3097</v>
      </c>
      <c r="B57" s="3" t="str">
        <f>IFERROR(__xludf.DUMMYFUNCTION("GOOGLETRANSLATE(A57, ""ar"", ""bn"")"),"সিরি এ")</f>
        <v>সিরি এ</v>
      </c>
    </row>
    <row r="58">
      <c r="A58" s="2" t="s">
        <v>3098</v>
      </c>
      <c r="B58" s="3" t="str">
        <f>IFERROR(__xludf.DUMMYFUNCTION("GOOGLETRANSLATE(A58, ""ar"", ""bn"")"),"লীগ চ্যাম্পিয়ন")</f>
        <v>লীগ চ্যাম্পিয়ন</v>
      </c>
    </row>
    <row r="59">
      <c r="A59" s="2" t="s">
        <v>3099</v>
      </c>
      <c r="B59" s="3" t="str">
        <f>IFERROR(__xludf.DUMMYFUNCTION("GOOGLETRANSLATE(A59, ""ar"", ""bn"")"),"পেয়ালার চ্যাম্পিয়ন")</f>
        <v>পেয়ালার চ্যাম্পিয়ন</v>
      </c>
    </row>
    <row r="60">
      <c r="A60" s="2" t="s">
        <v>3100</v>
      </c>
      <c r="B60" s="3" t="str">
        <f>IFERROR(__xludf.DUMMYFUNCTION("GOOGLETRANSLATE(A60, ""ar"", ""bn"")"),"বিশ্বকাপ বাছাইপর্ব")</f>
        <v>বিশ্বকাপ বাছাইপর্ব</v>
      </c>
    </row>
    <row r="61">
      <c r="A61" s="2" t="s">
        <v>3101</v>
      </c>
      <c r="B61" s="3" t="str">
        <f>IFERROR(__xludf.DUMMYFUNCTION("GOOGLETRANSLATE(A61, ""ar"", ""bn"")"),"চ্যাম্পিয়নশিপ কোয়ালিফায়ার")</f>
        <v>চ্যাম্পিয়নশিপ কোয়ালিফায়ার</v>
      </c>
    </row>
    <row r="62">
      <c r="A62" s="2" t="s">
        <v>3102</v>
      </c>
      <c r="B62" s="3" t="str">
        <f>IFERROR(__xludf.DUMMYFUNCTION("GOOGLETRANSLATE(A62, ""ar"", ""bn"")"),"লীগ কোয়ালিফাইং")</f>
        <v>লীগ কোয়ালিফাইং</v>
      </c>
    </row>
    <row r="63">
      <c r="A63" s="2" t="s">
        <v>3103</v>
      </c>
      <c r="B63" s="3" t="str">
        <f>IFERROR(__xludf.DUMMYFUNCTION("GOOGLETRANSLATE(A63, ""ar"", ""bn"")"),"লীগ উপরের")</f>
        <v>লীগ উপরের</v>
      </c>
    </row>
    <row r="64">
      <c r="A64" s="2" t="s">
        <v>3104</v>
      </c>
      <c r="B64" s="3" t="str">
        <f>IFERROR(__xludf.DUMMYFUNCTION("GOOGLETRANSLATE(A64, ""ar"", ""bn"")"),"যোগ্যতা")</f>
        <v>যোগ্যতা</v>
      </c>
    </row>
    <row r="65">
      <c r="A65" s="2" t="s">
        <v>3105</v>
      </c>
      <c r="B65" s="3" t="str">
        <f>IFERROR(__xludf.DUMMYFUNCTION("GOOGLETRANSLATE(A65, ""ar"", ""bn"")"),"নেতৃত্ব বজায় রাখে")</f>
        <v>নেতৃত্ব বজায় রাখে</v>
      </c>
    </row>
    <row r="66">
      <c r="A66" s="2" t="s">
        <v>3106</v>
      </c>
      <c r="B66" s="3" t="str">
        <f>IFERROR(__xludf.DUMMYFUNCTION("GOOGLETRANSLATE(A66, ""ar"", ""bn"")"),"নেতৃত্ব রাখুন")</f>
        <v>নেতৃত্ব রাখুন</v>
      </c>
    </row>
    <row r="67">
      <c r="A67" s="2" t="s">
        <v>3107</v>
      </c>
      <c r="B67" s="3" t="str">
        <f>IFERROR(__xludf.DUMMYFUNCTION("GOOGLETRANSLATE(A67, ""ar"", ""bn"")"),"আধা Alnhaya")</f>
        <v>আধা Alnhaya</v>
      </c>
    </row>
    <row r="68">
      <c r="A68" s="2" t="s">
        <v>3108</v>
      </c>
      <c r="B68" s="3" t="str">
        <f>IFERROR(__xludf.DUMMYFUNCTION("GOOGLETRANSLATE(A68, ""ar"", ""bn"")"),"চ্যাম্পিয়ন")</f>
        <v>চ্যাম্পিয়ন</v>
      </c>
    </row>
    <row r="69">
      <c r="A69" s="2" t="s">
        <v>3109</v>
      </c>
      <c r="B69" s="3" t="str">
        <f>IFERROR(__xludf.DUMMYFUNCTION("GOOGLETRANSLATE(A69, ""ar"", ""bn"")"),"Midline")</f>
        <v>Midline</v>
      </c>
    </row>
    <row r="70">
      <c r="A70" s="2" t="s">
        <v>3110</v>
      </c>
      <c r="B70" s="3" t="str">
        <f>IFERROR(__xludf.DUMMYFUNCTION("GOOGLETRANSLATE(A70, ""ar"", ""bn"")"),"জুত")</f>
        <v>জুত</v>
      </c>
    </row>
    <row r="71">
      <c r="A71" s="2" t="s">
        <v>3111</v>
      </c>
      <c r="B71" s="3" t="str">
        <f>IFERROR(__xludf.DUMMYFUNCTION("GOOGLETRANSLATE(A71, ""ar"", ""bn"")"),"স্কোরিং")</f>
        <v>স্কোরিং</v>
      </c>
    </row>
    <row r="72">
      <c r="A72" s="2" t="s">
        <v>3112</v>
      </c>
      <c r="B72" s="3" t="str">
        <f>IFERROR(__xludf.DUMMYFUNCTION("GOOGLETRANSLATE(A72, ""ar"", ""bn"")"),"শাস্তি")</f>
        <v>শাস্তি</v>
      </c>
    </row>
    <row r="73">
      <c r="A73" s="2" t="s">
        <v>3113</v>
      </c>
      <c r="B73" s="3" t="str">
        <f>IFERROR(__xludf.DUMMYFUNCTION("GOOGLETRANSLATE(A73, ""ar"", ""bn"")"),"জরিমানা")</f>
        <v>জরিমানা</v>
      </c>
    </row>
    <row r="74">
      <c r="A74" s="2" t="s">
        <v>3114</v>
      </c>
      <c r="B74" s="3" t="str">
        <f>IFERROR(__xludf.DUMMYFUNCTION("GOOGLETRANSLATE(A74, ""ar"", ""bn"")"),"প্যানাল্টি কিক্")</f>
        <v>প্যানাল্টি কিক্</v>
      </c>
    </row>
    <row r="75">
      <c r="A75" s="2" t="s">
        <v>3115</v>
      </c>
      <c r="B75" s="3" t="str">
        <f>IFERROR(__xludf.DUMMYFUNCTION("GOOGLETRANSLATE(A75, ""ar"", ""bn"")"),"শেষ খেলা")</f>
        <v>শেষ খেলা</v>
      </c>
    </row>
    <row r="76">
      <c r="A76" s="2" t="s">
        <v>3116</v>
      </c>
      <c r="B76" s="3" t="str">
        <f>IFERROR(__xludf.DUMMYFUNCTION("GOOGLETRANSLATE(A76, ""ar"", ""bn"")"),"ইকুয়ালাইজার")</f>
        <v>ইকুয়ালাইজার</v>
      </c>
    </row>
    <row r="77">
      <c r="A77" s="2" t="s">
        <v>3117</v>
      </c>
      <c r="B77" s="3" t="str">
        <f>IFERROR(__xludf.DUMMYFUNCTION("GOOGLETRANSLATE(A77, ""ar"", ""bn"")"),"জয়সূচক গোল")</f>
        <v>জয়সূচক গোল</v>
      </c>
    </row>
    <row r="78">
      <c r="A78" s="2" t="s">
        <v>3118</v>
      </c>
      <c r="B78" s="3" t="str">
        <f>IFERROR(__xludf.DUMMYFUNCTION("GOOGLETRANSLATE(A78, ""ar"", ""bn"")"),"অফসাইড")</f>
        <v>অফসাইড</v>
      </c>
    </row>
    <row r="79">
      <c r="A79" s="2" t="s">
        <v>3119</v>
      </c>
      <c r="B79" s="3" t="str">
        <f>IFERROR(__xludf.DUMMYFUNCTION("GOOGLETRANSLATE(A79, ""ar"", ""bn"")"),"Refree")</f>
        <v>Refree</v>
      </c>
    </row>
    <row r="80">
      <c r="A80" s="2" t="s">
        <v>3120</v>
      </c>
      <c r="B80" s="3" t="str">
        <f>IFERROR(__xludf.DUMMYFUNCTION("GOOGLETRANSLATE(A80, ""ar"", ""bn"")"),"বাস্কেটবল অ্যাসোসিয়েশন")</f>
        <v>বাস্কেটবল অ্যাসোসিয়েশন</v>
      </c>
    </row>
    <row r="81">
      <c r="A81" s="2" t="s">
        <v>3121</v>
      </c>
      <c r="B81" s="3" t="str">
        <f>IFERROR(__xludf.DUMMYFUNCTION("GOOGLETRANSLATE(A81, ""ar"", ""bn"")"),"টেবিল টেনিস ফেডারেশনের")</f>
        <v>টেবিল টেনিস ফেডারেশনের</v>
      </c>
    </row>
    <row r="82">
      <c r="A82" s="2" t="s">
        <v>3122</v>
      </c>
      <c r="B82" s="3" t="str">
        <f>IFERROR(__xludf.DUMMYFUNCTION("GOOGLETRANSLATE(A82, ""ar"", ""bn"")"),"ইউনিয়ন অভিনয় দাবা")</f>
        <v>ইউনিয়ন অভিনয় দাবা</v>
      </c>
    </row>
    <row r="83">
      <c r="A83" s="2" t="s">
        <v>3123</v>
      </c>
      <c r="B83" s="3" t="str">
        <f>IFERROR(__xludf.DUMMYFUNCTION("GOOGLETRANSLATE(A83, ""ar"", ""bn"")"),"বিলিয়ার্ড")</f>
        <v>বিলিয়ার্ড</v>
      </c>
    </row>
    <row r="84">
      <c r="A84" s="2" t="s">
        <v>3124</v>
      </c>
      <c r="B84" s="3" t="str">
        <f>IFERROR(__xludf.DUMMYFUNCTION("GOOGLETRANSLATE(A84, ""ar"", ""bn"")"),"হাতের অক্ষর")</f>
        <v>হাতের অক্ষর</v>
      </c>
    </row>
    <row r="85">
      <c r="A85" s="2" t="s">
        <v>3125</v>
      </c>
      <c r="B85" s="3" t="str">
        <f>IFERROR(__xludf.DUMMYFUNCTION("GOOGLETRANSLATE(A85, ""ar"", ""bn"")"),"হোম খেলা")</f>
        <v>হোম খেলা</v>
      </c>
    </row>
    <row r="86">
      <c r="A86" s="2" t="s">
        <v>3126</v>
      </c>
      <c r="B86" s="3" t="str">
        <f>IFERROR(__xludf.DUMMYFUNCTION("GOOGLETRANSLATE(A86, ""ar"", ""bn"")"),"যাচ্ছে ম্যাচ")</f>
        <v>যাচ্ছে ম্যাচ</v>
      </c>
    </row>
    <row r="87">
      <c r="A87" s="2" t="s">
        <v>3127</v>
      </c>
      <c r="B87" s="3" t="str">
        <f>IFERROR(__xludf.DUMMYFUNCTION("GOOGLETRANSLATE(A87, ""ar"", ""bn"")"),"ম্যাচে")</f>
        <v>ম্যাচে</v>
      </c>
    </row>
    <row r="88">
      <c r="A88" s="2" t="s">
        <v>3128</v>
      </c>
      <c r="B88" s="3" t="str">
        <f>IFERROR(__xludf.DUMMYFUNCTION("GOOGLETRANSLATE(A88, ""ar"", ""bn"")"),"ম্যাচ Nhayah")</f>
        <v>ম্যাচ Nhayah</v>
      </c>
    </row>
    <row r="89">
      <c r="A89" s="2" t="s">
        <v>3129</v>
      </c>
      <c r="B89" s="3" t="str">
        <f>IFERROR(__xludf.DUMMYFUNCTION("GOOGLETRANSLATE(A89, ""ar"", ""bn"")"),"কাপ ম্যাচ")</f>
        <v>কাপ ম্যাচ</v>
      </c>
    </row>
    <row r="90">
      <c r="A90" s="2" t="s">
        <v>3130</v>
      </c>
      <c r="B90" s="3" t="str">
        <f>IFERROR(__xludf.DUMMYFUNCTION("GOOGLETRANSLATE(A90, ""ar"", ""bn"")"),"ফ্রি ছোঁড়া")</f>
        <v>ফ্রি ছোঁড়া</v>
      </c>
    </row>
    <row r="91">
      <c r="A91" s="2" t="s">
        <v>3131</v>
      </c>
      <c r="B91" s="3" t="str">
        <f>IFERROR(__xludf.DUMMYFUNCTION("GOOGLETRANSLATE(A91, ""ar"", ""bn"")"),"একটি কোণ")</f>
        <v>একটি কোণ</v>
      </c>
    </row>
    <row r="92">
      <c r="A92" s="2" t="s">
        <v>3132</v>
      </c>
      <c r="B92" s="3" t="str">
        <f>IFERROR(__xludf.DUMMYFUNCTION("GOOGLETRANSLATE(A92, ""ar"", ""bn"")"),"গোলরক্ষক")</f>
        <v>গোলরক্ষক</v>
      </c>
    </row>
    <row r="93">
      <c r="A93" s="2" t="s">
        <v>3119</v>
      </c>
      <c r="B93" s="3" t="str">
        <f>IFERROR(__xludf.DUMMYFUNCTION("GOOGLETRANSLATE(A93, ""ar"", ""bn"")"),"Refree")</f>
        <v>Refree</v>
      </c>
    </row>
    <row r="94">
      <c r="A94" s="2" t="s">
        <v>3133</v>
      </c>
      <c r="B94" s="3" t="str">
        <f>IFERROR(__xludf.DUMMYFUNCTION("GOOGLETRANSLATE(A94, ""ar"", ""bn"")"),"দলনেতা")</f>
        <v>দলনেতা</v>
      </c>
    </row>
    <row r="95">
      <c r="A95" s="2" t="s">
        <v>3134</v>
      </c>
      <c r="B95" s="3" t="str">
        <f>IFERROR(__xludf.DUMMYFUNCTION("GOOGLETRANSLATE(A95, ""ar"", ""bn"")"),"ব্যান্টামওয়েট")</f>
        <v>ব্যান্টামওয়েট</v>
      </c>
    </row>
    <row r="96">
      <c r="A96" s="2" t="s">
        <v>3135</v>
      </c>
      <c r="B96" s="3" t="str">
        <f>IFERROR(__xludf.DUMMYFUNCTION("GOOGLETRANSLATE(A96, ""ar"", ""bn"")"),"উড়ে ওজন")</f>
        <v>উড়ে ওজন</v>
      </c>
    </row>
    <row r="97">
      <c r="A97" s="2" t="s">
        <v>3136</v>
      </c>
      <c r="B97" s="3" t="str">
        <f>IFERROR(__xludf.DUMMYFUNCTION("GOOGLETRANSLATE(A97, ""ar"", ""bn"")"),"কার রেসিং")</f>
        <v>কার রেসিং</v>
      </c>
    </row>
    <row r="98">
      <c r="A98" s="2" t="s">
        <v>3137</v>
      </c>
      <c r="B98" s="3" t="str">
        <f>IFERROR(__xludf.DUMMYFUNCTION("GOOGLETRANSLATE(A98, ""ar"", ""bn"")"),"হকিখেলা")</f>
        <v>হকিখেলা</v>
      </c>
    </row>
    <row r="99">
      <c r="A99" s="2" t="s">
        <v>3138</v>
      </c>
      <c r="B99" s="3" t="str">
        <f>IFERROR(__xludf.DUMMYFUNCTION("GOOGLETRANSLATE(A99, ""ar"", ""bn"")"),"শরীরচর্চা")</f>
        <v>শরীরচর্চা</v>
      </c>
    </row>
    <row r="100">
      <c r="A100" s="2" t="s">
        <v>3139</v>
      </c>
      <c r="B100" s="3" t="str">
        <f>IFERROR(__xludf.DUMMYFUNCTION("GOOGLETRANSLATE(A100, ""ar"", ""bn"")"),"বিশ্বের চ্যাম্পিয়ন")</f>
        <v>বিশ্বের চ্যাম্পিয়ন</v>
      </c>
    </row>
    <row r="101">
      <c r="A101" s="2" t="s">
        <v>3140</v>
      </c>
      <c r="B101" s="3" t="str">
        <f>IFERROR(__xludf.DUMMYFUNCTION("GOOGLETRANSLATE(A101, ""ar"", ""bn"")"),"সর্বোচচ গোলদাতা")</f>
        <v>সর্বোচচ গোলদাতা</v>
      </c>
    </row>
    <row r="102">
      <c r="A102" s="2" t="s">
        <v>3141</v>
      </c>
      <c r="B102" s="3" t="str">
        <f>IFERROR(__xludf.DUMMYFUNCTION("GOOGLETRANSLATE(A102, ""ar"", ""bn"")"),"কারাতে")</f>
        <v>কারাতে</v>
      </c>
    </row>
    <row r="103">
      <c r="A103" s="2" t="s">
        <v>3142</v>
      </c>
      <c r="B103" s="3" t="str">
        <f>IFERROR(__xludf.DUMMYFUNCTION("GOOGLETRANSLATE(A103, ""ar"", ""bn"")"),"জুডো")</f>
        <v>জুডো</v>
      </c>
    </row>
    <row r="104">
      <c r="A104" s="2" t="s">
        <v>3143</v>
      </c>
      <c r="B104" s="3" t="str">
        <f>IFERROR(__xludf.DUMMYFUNCTION("GOOGLETRANSLATE(A104, ""ar"", ""bn"")"),"অলিম্পিক গেমস")</f>
        <v>অলিম্পিক গেমস</v>
      </c>
    </row>
    <row r="105">
      <c r="A105" s="2" t="s">
        <v>3144</v>
      </c>
      <c r="B105" s="3" t="str">
        <f>IFERROR(__xludf.DUMMYFUNCTION("GOOGLETRANSLATE(A105, ""ar"", ""bn"")"),"যুব ও ক্রীড়া")</f>
        <v>যুব ও ক্রীড়া</v>
      </c>
    </row>
    <row r="106">
      <c r="A106" s="2" t="s">
        <v>3145</v>
      </c>
      <c r="B106" s="3" t="str">
        <f>IFERROR(__xludf.DUMMYFUNCTION("GOOGLETRANSLATE(A106, ""ar"", ""bn"")"),"যুব ও ক্রীড়া")</f>
        <v>যুব ও ক্রীড়া</v>
      </c>
    </row>
    <row r="107">
      <c r="A107" s="2" t="s">
        <v>3146</v>
      </c>
      <c r="B107" s="3" t="str">
        <f>IFERROR(__xludf.DUMMYFUNCTION("GOOGLETRANSLATE(A107, ""ar"", ""bn"")"),"গলফ")</f>
        <v>গলফ</v>
      </c>
    </row>
    <row r="108">
      <c r="A108" s="2" t="s">
        <v>3147</v>
      </c>
      <c r="B108" s="3" t="str">
        <f>IFERROR(__xludf.DUMMYFUNCTION("GOOGLETRANSLATE(A108, ""ar"", ""bn"")"),"শাস্তি")</f>
        <v>শাস্তি</v>
      </c>
    </row>
    <row r="109">
      <c r="A109" s="2" t="s">
        <v>3148</v>
      </c>
      <c r="B109" s="3" t="str">
        <f>IFERROR(__xludf.DUMMYFUNCTION("GOOGLETRANSLATE(A109, ""ar"", ""bn"")"),"গোল্ডেন গোল")</f>
        <v>গোল্ডেন গোল</v>
      </c>
    </row>
    <row r="110">
      <c r="A110" s="2" t="s">
        <v>3149</v>
      </c>
      <c r="B110" s="3" t="str">
        <f>IFERROR(__xludf.DUMMYFUNCTION("GOOGLETRANSLATE(A110, ""ar"", ""bn"")"),"প্রতি আক্রমণ")</f>
        <v>প্রতি আক্রমণ</v>
      </c>
    </row>
    <row r="111">
      <c r="A111" s="2" t="s">
        <v>3150</v>
      </c>
      <c r="B111" s="3" t="str">
        <f>IFERROR(__xludf.DUMMYFUNCTION("GOOGLETRANSLATE(A111, ""ar"", ""bn"")"),"প্রথমবার চালনার")</f>
        <v>প্রথমবার চালনার</v>
      </c>
    </row>
    <row r="112">
      <c r="A112" s="2" t="s">
        <v>3151</v>
      </c>
      <c r="B112" s="3" t="str">
        <f>IFERROR(__xludf.DUMMYFUNCTION("GOOGLETRANSLATE(A112, ""ar"", ""bn"")"),"প্রথমার্ধ")</f>
        <v>প্রথমার্ধ</v>
      </c>
    </row>
    <row r="113">
      <c r="A113" s="2" t="s">
        <v>3152</v>
      </c>
      <c r="B113" s="3" t="str">
        <f>IFERROR(__xludf.DUMMYFUNCTION("GOOGLETRANSLATE(A113, ""ar"", ""bn"")"),"চালান দ্বিতীয়")</f>
        <v>চালান দ্বিতীয়</v>
      </c>
    </row>
    <row r="114">
      <c r="A114" s="2" t="s">
        <v>3153</v>
      </c>
      <c r="B114" s="3" t="str">
        <f>IFERROR(__xludf.DUMMYFUNCTION("GOOGLETRANSLATE(A114, ""ar"", ""bn"")"),"দ্বিতীয়ার্ধে")</f>
        <v>দ্বিতীয়ার্ধে</v>
      </c>
    </row>
    <row r="115">
      <c r="A115" s="2" t="s">
        <v>3154</v>
      </c>
      <c r="B115" s="3" t="str">
        <f>IFERROR(__xludf.DUMMYFUNCTION("GOOGLETRANSLATE(A115, ""ar"", ""bn"")"),"একটি অতিরিক্ত রান")</f>
        <v>একটি অতিরিক্ত রান</v>
      </c>
    </row>
    <row r="116">
      <c r="A116" s="2" t="s">
        <v>3155</v>
      </c>
      <c r="B116" s="3" t="str">
        <f>IFERROR(__xludf.DUMMYFUNCTION("GOOGLETRANSLATE(A116, ""ar"", ""bn"")"),"মিডফিল্ডার")</f>
        <v>মিডফিল্ডার</v>
      </c>
    </row>
    <row r="117">
      <c r="A117" s="2" t="s">
        <v>3156</v>
      </c>
      <c r="B117" s="3" t="str">
        <f>IFERROR(__xludf.DUMMYFUNCTION("GOOGLETRANSLATE(A117, ""ar"", ""bn"")"),"অফেন্সিভ খেলোয়াড়ের")</f>
        <v>অফেন্সিভ খেলোয়াড়ের</v>
      </c>
    </row>
    <row r="118">
      <c r="A118" s="2" t="s">
        <v>3157</v>
      </c>
      <c r="B118" s="3" t="str">
        <f>IFERROR(__xludf.DUMMYFUNCTION("GOOGLETRANSLATE(A118, ""ar"", ""bn"")"),"প্লেয়ার প্রতিরক্ষা")</f>
        <v>প্লেয়ার প্রতিরক্ষা</v>
      </c>
    </row>
    <row r="119">
      <c r="A119" s="2" t="s">
        <v>3158</v>
      </c>
      <c r="B119" s="3" t="str">
        <f>IFERROR(__xludf.DUMMYFUNCTION("GOOGLETRANSLATE(A119, ""ar"", ""bn"")"),"একটি গোলরক্ষক")</f>
        <v>একটি গোলরক্ষক</v>
      </c>
    </row>
    <row r="120">
      <c r="A120" s="2" t="s">
        <v>3159</v>
      </c>
      <c r="B120" s="3" t="str">
        <f>IFERROR(__xludf.DUMMYFUNCTION("GOOGLETRANSLATE(A120, ""ar"", ""bn"")"),"ফ্রি কিক")</f>
        <v>ফ্রি কিক</v>
      </c>
    </row>
    <row r="121">
      <c r="A121" s="2" t="s">
        <v>3160</v>
      </c>
      <c r="B121" s="3" t="str">
        <f>IFERROR(__xludf.DUMMYFUNCTION("GOOGLETRANSLATE(A121, ""ar"", ""bn"")"),"ফ্রি কিক")</f>
        <v>ফ্রি কিক</v>
      </c>
    </row>
    <row r="122">
      <c r="A122" s="2" t="s">
        <v>3161</v>
      </c>
      <c r="B122" s="3" t="str">
        <f>IFERROR(__xludf.DUMMYFUNCTION("GOOGLETRANSLATE(A122, ""ar"", ""bn"")"),"প্যানাল্টি কিক্")</f>
        <v>প্যানাল্টি কিক্</v>
      </c>
    </row>
    <row r="123">
      <c r="A123" s="2" t="s">
        <v>3162</v>
      </c>
      <c r="B123" s="3" t="str">
        <f>IFERROR(__xludf.DUMMYFUNCTION("GOOGLETRANSLATE(A123, ""ar"", ""bn"")"),"প্লেয়ার রিজার্ভ")</f>
        <v>প্লেয়ার রিজার্ভ</v>
      </c>
    </row>
    <row r="124">
      <c r="A124" s="2" t="s">
        <v>3163</v>
      </c>
      <c r="B124" s="3" t="str">
        <f>IFERROR(__xludf.DUMMYFUNCTION("GOOGLETRANSLATE(A124, ""ar"", ""bn"")"),"কোচ")</f>
        <v>কোচ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4.14"/>
    <col customWidth="1" min="2" max="2" width="43.86"/>
  </cols>
  <sheetData>
    <row r="1">
      <c r="A1" s="1" t="s">
        <v>0</v>
      </c>
      <c r="B1" s="1" t="s">
        <v>1</v>
      </c>
    </row>
    <row r="2">
      <c r="A2" s="2" t="s">
        <v>3164</v>
      </c>
      <c r="B2" s="3" t="str">
        <f>IFERROR(__xludf.DUMMYFUNCTION("GOOGLETRANSLATE(A2, ""ar"", ""bn"")"),"ছেড়ে দেত্তয়া")</f>
        <v>ছেড়ে দেত্তয়া</v>
      </c>
    </row>
    <row r="3">
      <c r="A3" s="2" t="s">
        <v>3165</v>
      </c>
      <c r="B3" s="3" t="str">
        <f>IFERROR(__xludf.DUMMYFUNCTION("GOOGLETRANSLATE(A3, ""ar"", ""bn"")"),"পরিত্যক্ত")</f>
        <v>পরিত্যক্ত</v>
      </c>
    </row>
    <row r="4">
      <c r="A4" s="2" t="s">
        <v>3166</v>
      </c>
      <c r="B4" s="3" t="str">
        <f>IFERROR(__xludf.DUMMYFUNCTION("GOOGLETRANSLATE(A4, ""ar"", ""bn"")"),"ছুটি")</f>
        <v>ছুটি</v>
      </c>
    </row>
    <row r="5">
      <c r="A5" s="2" t="s">
        <v>3167</v>
      </c>
      <c r="B5" s="3" t="str">
        <f>IFERROR(__xludf.DUMMYFUNCTION("GOOGLETRANSLATE(A5, ""ar"", ""bn"")"),"পরিত্যাগ করা")</f>
        <v>পরিত্যাগ করা</v>
      </c>
    </row>
    <row r="6">
      <c r="A6" s="2" t="s">
        <v>3168</v>
      </c>
      <c r="B6" s="3" t="str">
        <f>IFERROR(__xludf.DUMMYFUNCTION("GOOGLETRANSLATE(A6, ""ar"", ""bn"")"),"ebbed")</f>
        <v>ebbed</v>
      </c>
    </row>
    <row r="7">
      <c r="A7" s="2" t="s">
        <v>3169</v>
      </c>
      <c r="B7" s="3" t="str">
        <f>IFERROR(__xludf.DUMMYFUNCTION("GOOGLETRANSLATE(A7, ""ar"", ""bn"")"),"ইজ্ড")</f>
        <v>ইজ্ড</v>
      </c>
    </row>
    <row r="8">
      <c r="A8" s="2" t="s">
        <v>3170</v>
      </c>
      <c r="B8" s="3" t="str">
        <f>IFERROR(__xludf.DUMMYFUNCTION("GOOGLETRANSLATE(A8, ""ar"", ""bn"")"),"রিসেশন")</f>
        <v>রিসেশন</v>
      </c>
    </row>
    <row r="9">
      <c r="A9" s="2" t="s">
        <v>3171</v>
      </c>
      <c r="B9" s="3" t="str">
        <f>IFERROR(__xludf.DUMMYFUNCTION("GOOGLETRANSLATE(A9, ""ar"", ""bn"")"),"গৌড়")</f>
        <v>গৌড়</v>
      </c>
    </row>
    <row r="10">
      <c r="A10" s="2" t="s">
        <v>3172</v>
      </c>
      <c r="B10" s="3" t="str">
        <f>IFERROR(__xludf.DUMMYFUNCTION("GOOGLETRANSLATE(A10, ""ar"", ""bn"")"),"অধিকার পরিত্যাগের ঘোষণা")</f>
        <v>অধিকার পরিত্যাগের ঘোষণা</v>
      </c>
    </row>
    <row r="11">
      <c r="A11" s="2" t="s">
        <v>3172</v>
      </c>
      <c r="B11" s="3" t="str">
        <f>IFERROR(__xludf.DUMMYFUNCTION("GOOGLETRANSLATE(A11, ""ar"", ""bn"")"),"অধিকার পরিত্যাগের ঘোষণা")</f>
        <v>অধিকার পরিত্যাগের ঘোষণা</v>
      </c>
    </row>
    <row r="12">
      <c r="A12" s="2" t="s">
        <v>3173</v>
      </c>
      <c r="B12" s="3" t="str">
        <f>IFERROR(__xludf.DUMMYFUNCTION("GOOGLETRANSLATE(A12, ""ar"", ""bn"")"),"যান")</f>
        <v>যান</v>
      </c>
    </row>
    <row r="13">
      <c r="A13" s="2" t="s">
        <v>3174</v>
      </c>
      <c r="B13" s="3" t="str">
        <f>IFERROR(__xludf.DUMMYFUNCTION("GOOGLETRANSLATE(A13, ""ar"", ""bn"")"),"ঘৃণাসহকারে পরিহার করা")</f>
        <v>ঘৃণাসহকারে পরিহার করা</v>
      </c>
    </row>
    <row r="14">
      <c r="A14" s="2" t="s">
        <v>3175</v>
      </c>
      <c r="B14" s="3" t="str">
        <f>IFERROR(__xludf.DUMMYFUNCTION("GOOGLETRANSLATE(A14, ""ar"", ""bn"")"),"ঘৃণা")</f>
        <v>ঘৃণা</v>
      </c>
    </row>
    <row r="15">
      <c r="A15" s="2" t="s">
        <v>3176</v>
      </c>
      <c r="B15" s="3" t="str">
        <f>IFERROR(__xludf.DUMMYFUNCTION("GOOGLETRANSLATE(A15, ""ar"", ""bn"")"),"ন্যক্কার")</f>
        <v>ন্যক্কার</v>
      </c>
    </row>
    <row r="16">
      <c r="A16" s="2" t="s">
        <v>3177</v>
      </c>
      <c r="B16" s="3" t="str">
        <f>IFERROR(__xludf.DUMMYFUNCTION("GOOGLETRANSLATE(A16, ""ar"", ""bn"")"),"অরূচিকর")</f>
        <v>অরূচিকর</v>
      </c>
    </row>
    <row r="17">
      <c r="A17" s="2" t="s">
        <v>3175</v>
      </c>
      <c r="B17" s="3" t="str">
        <f>IFERROR(__xludf.DUMMYFUNCTION("GOOGLETRANSLATE(A17, ""ar"", ""bn"")"),"ঘৃণা")</f>
        <v>ঘৃণা</v>
      </c>
    </row>
    <row r="18">
      <c r="A18" s="2" t="s">
        <v>3178</v>
      </c>
      <c r="B18" s="3" t="str">
        <f>IFERROR(__xludf.DUMMYFUNCTION("GOOGLETRANSLATE(A18, ""ar"", ""bn"")"),"চরম")</f>
        <v>চরম</v>
      </c>
    </row>
    <row r="19">
      <c r="A19" s="2" t="s">
        <v>3179</v>
      </c>
      <c r="B19" s="3" t="str">
        <f>IFERROR(__xludf.DUMMYFUNCTION("GOOGLETRANSLATE(A19, ""ar"", ""bn"")"),"miserably")</f>
        <v>miserably</v>
      </c>
    </row>
    <row r="20">
      <c r="A20" s="2" t="s">
        <v>3180</v>
      </c>
      <c r="B20" s="3" t="str">
        <f>IFERROR(__xludf.DUMMYFUNCTION("GOOGLETRANSLATE(A20, ""ar"", ""bn"")"),"অস্বাভাবিক")</f>
        <v>অস্বাভাবিক</v>
      </c>
    </row>
    <row r="21">
      <c r="A21" s="2" t="s">
        <v>3181</v>
      </c>
      <c r="B21" s="3" t="str">
        <f>IFERROR(__xludf.DUMMYFUNCTION("GOOGLETRANSLATE(A21, ""ar"", ""bn"")"),"অস্বাভাবিকতা")</f>
        <v>অস্বাভাবিকতা</v>
      </c>
    </row>
    <row r="22">
      <c r="A22" s="2" t="s">
        <v>3181</v>
      </c>
      <c r="B22" s="3" t="str">
        <f>IFERROR(__xludf.DUMMYFUNCTION("GOOGLETRANSLATE(A22, ""ar"", ""bn"")"),"অস্বাভাবিকতা")</f>
        <v>অস্বাভাবিকতা</v>
      </c>
    </row>
    <row r="23">
      <c r="A23" s="2" t="s">
        <v>3180</v>
      </c>
      <c r="B23" s="3" t="str">
        <f>IFERROR(__xludf.DUMMYFUNCTION("GOOGLETRANSLATE(A23, ""ar"", ""bn"")"),"অস্বাভাবিক")</f>
        <v>অস্বাভাবিক</v>
      </c>
    </row>
    <row r="24">
      <c r="A24" s="2" t="s">
        <v>3182</v>
      </c>
      <c r="B24" s="3" t="str">
        <f>IFERROR(__xludf.DUMMYFUNCTION("GOOGLETRANSLATE(A24, ""ar"", ""bn"")"),"বাতিল")</f>
        <v>বাতিল</v>
      </c>
    </row>
    <row r="25">
      <c r="A25" s="2" t="s">
        <v>3182</v>
      </c>
      <c r="B25" s="3" t="str">
        <f>IFERROR(__xludf.DUMMYFUNCTION("GOOGLETRANSLATE(A25, ""ar"", ""bn"")"),"বাতিল")</f>
        <v>বাতিল</v>
      </c>
    </row>
    <row r="26">
      <c r="A26" s="2" t="s">
        <v>3183</v>
      </c>
      <c r="B26" s="3" t="str">
        <f>IFERROR(__xludf.DUMMYFUNCTION("GOOGLETRANSLATE(A26, ""ar"", ""bn"")"),"ঘটিয়েছে")</f>
        <v>ঘটিয়েছে</v>
      </c>
    </row>
    <row r="27">
      <c r="A27" s="2" t="s">
        <v>3182</v>
      </c>
      <c r="B27" s="3" t="str">
        <f>IFERROR(__xludf.DUMMYFUNCTION("GOOGLETRANSLATE(A27, ""ar"", ""bn"")"),"বাতিল")</f>
        <v>বাতিল</v>
      </c>
    </row>
    <row r="28">
      <c r="A28" s="2" t="s">
        <v>3184</v>
      </c>
      <c r="B28" s="3" t="str">
        <f>IFERROR(__xludf.DUMMYFUNCTION("GOOGLETRANSLATE(A28, ""ar"", ""bn"")"),"ঘৃণ্য")</f>
        <v>ঘৃণ্য</v>
      </c>
    </row>
    <row r="29">
      <c r="A29" s="2" t="s">
        <v>3185</v>
      </c>
      <c r="B29" s="3" t="str">
        <f>IFERROR(__xludf.DUMMYFUNCTION("GOOGLETRANSLATE(A29, ""ar"", ""bn"")"),"অশ্লীলতা")</f>
        <v>অশ্লীলতা</v>
      </c>
    </row>
    <row r="30">
      <c r="A30" s="2" t="s">
        <v>3186</v>
      </c>
      <c r="B30" s="3" t="str">
        <f>IFERROR(__xludf.DUMMYFUNCTION("GOOGLETRANSLATE(A30, ""ar"", ""bn"")"),"ঘৃণায় পরিহার করা")</f>
        <v>ঘৃণায় পরিহার করা</v>
      </c>
    </row>
    <row r="31">
      <c r="A31" s="2" t="s">
        <v>3187</v>
      </c>
      <c r="B31" s="3" t="str">
        <f>IFERROR(__xludf.DUMMYFUNCTION("GOOGLETRANSLATE(A31, ""ar"", ""bn"")"),"আপত্তিকর")</f>
        <v>আপত্তিকর</v>
      </c>
    </row>
    <row r="32">
      <c r="A32" s="2" t="s">
        <v>3188</v>
      </c>
      <c r="B32" s="3" t="str">
        <f>IFERROR(__xludf.DUMMYFUNCTION("GOOGLETRANSLATE(A32, ""ar"", ""bn"")"),"তীব্র ঘৃণা")</f>
        <v>তীব্র ঘৃণা</v>
      </c>
    </row>
    <row r="33">
      <c r="A33" s="2" t="s">
        <v>3189</v>
      </c>
      <c r="B33" s="3" t="str">
        <f>IFERROR(__xludf.DUMMYFUNCTION("GOOGLETRANSLATE(A33, ""ar"", ""bn"")"),"সব জঘন্য কাজ")</f>
        <v>সব জঘন্য কাজ</v>
      </c>
    </row>
    <row r="34">
      <c r="A34" s="2" t="s">
        <v>3190</v>
      </c>
      <c r="B34" s="3" t="str">
        <f>IFERROR(__xludf.DUMMYFUNCTION("GOOGLETRANSLATE(A34, ""ar"", ""bn"")"),"ঘষিয়া তুলিয়া ফেলিতে সক্ষম")</f>
        <v>ঘষিয়া তুলিয়া ফেলিতে সক্ষম</v>
      </c>
    </row>
    <row r="35">
      <c r="A35" s="2" t="s">
        <v>3191</v>
      </c>
      <c r="B35" s="3" t="str">
        <f>IFERROR(__xludf.DUMMYFUNCTION("GOOGLETRANSLATE(A35, ""ar"", ""bn"")"),"চুলকানি")</f>
        <v>চুলকানি</v>
      </c>
    </row>
    <row r="36">
      <c r="A36" s="2" t="s">
        <v>3192</v>
      </c>
      <c r="B36" s="3" t="str">
        <f>IFERROR(__xludf.DUMMYFUNCTION("GOOGLETRANSLATE(A36, ""ar"", ""bn"")"),"গেরো")</f>
        <v>গেরো</v>
      </c>
    </row>
    <row r="37">
      <c r="A37" s="2" t="s">
        <v>3193</v>
      </c>
      <c r="B37" s="3" t="str">
        <f>IFERROR(__xludf.DUMMYFUNCTION("GOOGLETRANSLATE(A37, ""ar"", ""bn"")"),"আকস্মিক")</f>
        <v>আকস্মিক</v>
      </c>
    </row>
    <row r="38">
      <c r="A38" s="2" t="s">
        <v>3194</v>
      </c>
      <c r="B38" s="3" t="str">
        <f>IFERROR(__xludf.DUMMYFUNCTION("GOOGLETRANSLATE(A38, ""ar"", ""bn"")"),"হঠাৎ")</f>
        <v>হঠাৎ</v>
      </c>
    </row>
    <row r="39">
      <c r="A39" s="2" t="s">
        <v>3195</v>
      </c>
      <c r="B39" s="3" t="str">
        <f>IFERROR(__xludf.DUMMYFUNCTION("GOOGLETRANSLATE(A39, ""ar"", ""bn"")"),"বিস্ময়")</f>
        <v>বিস্ময়</v>
      </c>
    </row>
    <row r="40">
      <c r="A40" s="2" t="s">
        <v>3196</v>
      </c>
      <c r="B40" s="3" t="str">
        <f>IFERROR(__xludf.DUMMYFUNCTION("GOOGLETRANSLATE(A40, ""ar"", ""bn"")"),"পলান")</f>
        <v>পলান</v>
      </c>
    </row>
    <row r="41">
      <c r="A41" s="2" t="s">
        <v>3197</v>
      </c>
      <c r="B41" s="3" t="str">
        <f>IFERROR(__xludf.DUMMYFUNCTION("GOOGLETRANSLATE(A41, ""ar"", ""bn"")"),"পলাতক")</f>
        <v>পলাতক</v>
      </c>
    </row>
    <row r="42">
      <c r="A42" s="2" t="s">
        <v>3198</v>
      </c>
      <c r="B42" s="3" t="str">
        <f>IFERROR(__xludf.DUMMYFUNCTION("GOOGLETRANSLATE(A42, ""ar"", ""bn"")"),"পলায়ন")</f>
        <v>পলায়ন</v>
      </c>
    </row>
    <row r="43">
      <c r="A43" s="2" t="s">
        <v>3199</v>
      </c>
      <c r="B43" s="3" t="str">
        <f>IFERROR(__xludf.DUMMYFUNCTION("GOOGLETRANSLATE(A43, ""ar"", ""bn"")"),"ভাগা")</f>
        <v>ভাগা</v>
      </c>
    </row>
    <row r="44">
      <c r="A44" s="2" t="s">
        <v>3200</v>
      </c>
      <c r="B44" s="3" t="str">
        <f>IFERROR(__xludf.DUMMYFUNCTION("GOOGLETRANSLATE(A44, ""ar"", ""bn"")"),"অব্যাহতি")</f>
        <v>অব্যাহতি</v>
      </c>
    </row>
    <row r="45">
      <c r="A45" s="2" t="s">
        <v>3201</v>
      </c>
      <c r="B45" s="3" t="str">
        <f>IFERROR(__xludf.DUMMYFUNCTION("GOOGLETRANSLATE(A45, ""ar"", ""bn"")"),"অনুপস্থিতি")</f>
        <v>অনুপস্থিতি</v>
      </c>
    </row>
    <row r="46">
      <c r="A46" s="2" t="s">
        <v>3202</v>
      </c>
      <c r="B46" s="3" t="str">
        <f>IFERROR(__xludf.DUMMYFUNCTION("GOOGLETRANSLATE(A46, ""ar"", ""bn"")"),"অনুপস্থিতি")</f>
        <v>অনুপস্থিতি</v>
      </c>
    </row>
    <row r="47">
      <c r="A47" s="2" t="s">
        <v>3203</v>
      </c>
      <c r="B47" s="3" t="str">
        <f>IFERROR(__xludf.DUMMYFUNCTION("GOOGLETRANSLATE(A47, ""ar"", ""bn"")"),"অনুপস্থিত")</f>
        <v>অনুপস্থিত</v>
      </c>
    </row>
    <row r="48">
      <c r="A48" s="2" t="s">
        <v>3204</v>
      </c>
      <c r="B48" s="3" t="str">
        <f>IFERROR(__xludf.DUMMYFUNCTION("GOOGLETRANSLATE(A48, ""ar"", ""bn"")"),"অনুপস্থিত")</f>
        <v>অনুপস্থিত</v>
      </c>
    </row>
    <row r="49">
      <c r="A49" s="2" t="s">
        <v>3205</v>
      </c>
      <c r="B49" s="3" t="str">
        <f>IFERROR(__xludf.DUMMYFUNCTION("GOOGLETRANSLATE(A49, ""ar"", ""bn"")"),"অনুপস্থিত ব্যক্তি")</f>
        <v>অনুপস্থিত ব্যক্তি</v>
      </c>
    </row>
    <row r="50">
      <c r="A50" s="2" t="s">
        <v>3206</v>
      </c>
      <c r="B50" s="3" t="str">
        <f>IFERROR(__xludf.DUMMYFUNCTION("GOOGLETRANSLATE(A50, ""ar"", ""bn"")"),"কর্মক্ষেত্রাদিতে অনুপসি্থত থাকার অভ্যাস")</f>
        <v>কর্মক্ষেত্রাদিতে অনুপসি্থত থাকার অভ্যাস</v>
      </c>
    </row>
    <row r="51">
      <c r="A51" s="2" t="s">
        <v>3207</v>
      </c>
      <c r="B51" s="3" t="str">
        <f>IFERROR(__xludf.DUMMYFUNCTION("GOOGLETRANSLATE(A51, ""ar"", ""bn"")"),"অনুপস্থিত ব্যক্তি")</f>
        <v>অনুপস্থিত ব্যক্তি</v>
      </c>
    </row>
    <row r="52">
      <c r="A52" s="2" t="s">
        <v>3208</v>
      </c>
      <c r="B52" s="3" t="str">
        <f>IFERROR(__xludf.DUMMYFUNCTION("GOOGLETRANSLATE(A52, ""ar"", ""bn"")"),"অভাবে")</f>
        <v>অভাবে</v>
      </c>
    </row>
    <row r="53">
      <c r="A53" s="2" t="s">
        <v>3209</v>
      </c>
      <c r="B53" s="3" t="str">
        <f>IFERROR(__xludf.DUMMYFUNCTION("GOOGLETRANSLATE(A53, ""ar"", ""bn"")"),"Awesomely")</f>
        <v>Awesomely</v>
      </c>
    </row>
    <row r="54">
      <c r="A54" s="2" t="s">
        <v>3210</v>
      </c>
      <c r="B54" s="3" t="str">
        <f>IFERROR(__xludf.DUMMYFUNCTION("GOOGLETRANSLATE(A54, ""ar"", ""bn"")"),"Sharda")</f>
        <v>Sharda</v>
      </c>
    </row>
    <row r="55">
      <c r="A55" s="2" t="s">
        <v>3209</v>
      </c>
      <c r="B55" s="3" t="str">
        <f>IFERROR(__xludf.DUMMYFUNCTION("GOOGLETRANSLATE(A55, ""ar"", ""bn"")"),"Awesomely")</f>
        <v>Awesomely</v>
      </c>
    </row>
    <row r="56">
      <c r="A56" s="2" t="s">
        <v>3211</v>
      </c>
      <c r="B56" s="3" t="str">
        <f>IFERROR(__xludf.DUMMYFUNCTION("GOOGLETRANSLATE(A56, ""ar"", ""bn"")"),"বিস্ময়কর")</f>
        <v>বিস্ময়কর</v>
      </c>
    </row>
    <row r="57">
      <c r="A57" s="2" t="s">
        <v>3212</v>
      </c>
      <c r="B57" s="3" t="str">
        <f>IFERROR(__xludf.DUMMYFUNCTION("GOOGLETRANSLATE(A57, ""ar"", ""bn"")"),"নিরীহ")</f>
        <v>নিরীহ</v>
      </c>
    </row>
    <row r="58">
      <c r="A58" s="2" t="s">
        <v>3213</v>
      </c>
      <c r="B58" s="3" t="str">
        <f>IFERROR(__xludf.DUMMYFUNCTION("GOOGLETRANSLATE(A58, ""ar"", ""bn"")"),"কিম্ভুতকিমাকার")</f>
        <v>কিম্ভুতকিমাকার</v>
      </c>
    </row>
    <row r="59">
      <c r="A59" s="2" t="s">
        <v>3214</v>
      </c>
      <c r="B59" s="3" t="str">
        <f>IFERROR(__xludf.DUMMYFUNCTION("GOOGLETRANSLATE(A59, ""ar"", ""bn"")"),"জিনিসপত্র")</f>
        <v>জিনিসপত্র</v>
      </c>
    </row>
    <row r="60">
      <c r="A60" s="2" t="s">
        <v>3215</v>
      </c>
      <c r="B60" s="3" t="str">
        <f>IFERROR(__xludf.DUMMYFUNCTION("GOOGLETRANSLATE(A60, ""ar"", ""bn"")"),"অর্থহীনতা")</f>
        <v>অর্থহীনতা</v>
      </c>
    </row>
    <row r="61">
      <c r="A61" s="2" t="s">
        <v>3216</v>
      </c>
      <c r="B61" s="3" t="str">
        <f>IFERROR(__xludf.DUMMYFUNCTION("GOOGLETRANSLATE(A61, ""ar"", ""bn"")"),"অদ্ভূত")</f>
        <v>অদ্ভূত</v>
      </c>
    </row>
    <row r="62">
      <c r="A62" s="2" t="s">
        <v>3217</v>
      </c>
      <c r="B62" s="3" t="str">
        <f>IFERROR(__xludf.DUMMYFUNCTION("GOOGLETRANSLATE(A62, ""ar"", ""bn"")"),"হামলা")</f>
        <v>হামলা</v>
      </c>
    </row>
    <row r="63">
      <c r="A63" s="2" t="s">
        <v>3218</v>
      </c>
      <c r="B63" s="3" t="str">
        <f>IFERROR(__xludf.DUMMYFUNCTION("GOOGLETRANSLATE(A63, ""ar"", ""bn"")"),"অসদাচরণ")</f>
        <v>অসদাচরণ</v>
      </c>
    </row>
    <row r="64">
      <c r="A64" s="2" t="s">
        <v>3219</v>
      </c>
      <c r="B64" s="3" t="str">
        <f>IFERROR(__xludf.DUMMYFUNCTION("GOOGLETRANSLATE(A64, ""ar"", ""bn"")"),"অপব্যবহারকারী")</f>
        <v>অপব্যবহারকারী</v>
      </c>
    </row>
    <row r="65">
      <c r="A65" s="2" t="s">
        <v>3220</v>
      </c>
      <c r="B65" s="3" t="str">
        <f>IFERROR(__xludf.DUMMYFUNCTION("GOOGLETRANSLATE(A65, ""ar"", ""bn"")"),"abusers")</f>
        <v>abusers</v>
      </c>
    </row>
    <row r="66">
      <c r="A66" s="2" t="s">
        <v>3221</v>
      </c>
      <c r="B66" s="3" t="str">
        <f>IFERROR(__xludf.DUMMYFUNCTION("GOOGLETRANSLATE(A66, ""ar"", ""bn"")"),"অমান্যকারীদের")</f>
        <v>অমান্যকারীদের</v>
      </c>
    </row>
    <row r="67">
      <c r="A67" s="2" t="s">
        <v>3222</v>
      </c>
      <c r="B67" s="3" t="str">
        <f>IFERROR(__xludf.DUMMYFUNCTION("GOOGLETRANSLATE(A67, ""ar"", ""bn"")"),"অপব্যবহার")</f>
        <v>অপব্যবহার</v>
      </c>
    </row>
    <row r="68">
      <c r="A68" s="2" t="s">
        <v>3223</v>
      </c>
      <c r="B68" s="3" t="str">
        <f>IFERROR(__xludf.DUMMYFUNCTION("GOOGLETRANSLATE(A68, ""ar"", ""bn"")"),"অবমাননাকর")</f>
        <v>অবমাননাকর</v>
      </c>
    </row>
    <row r="69">
      <c r="A69" s="2" t="s">
        <v>3224</v>
      </c>
      <c r="B69" s="3" t="str">
        <f>IFERROR(__xludf.DUMMYFUNCTION("GOOGLETRANSLATE(A69, ""ar"", ""bn"")"),"ইচ্ছামত")</f>
        <v>ইচ্ছামত</v>
      </c>
    </row>
    <row r="70">
      <c r="A70" s="2" t="s">
        <v>3225</v>
      </c>
      <c r="B70" s="3" t="str">
        <f>IFERROR(__xludf.DUMMYFUNCTION("GOOGLETRANSLATE(A70, ""ar"", ""bn"")"),"Chutzpah")</f>
        <v>Chutzpah</v>
      </c>
    </row>
    <row r="71">
      <c r="A71" s="2" t="s">
        <v>3226</v>
      </c>
      <c r="B71" s="3" t="str">
        <f>IFERROR(__xludf.DUMMYFUNCTION("GOOGLETRANSLATE(A71, ""ar"", ""bn"")"),"রসাতল")</f>
        <v>রসাতল</v>
      </c>
    </row>
    <row r="72">
      <c r="A72" s="2" t="s">
        <v>3227</v>
      </c>
      <c r="B72" s="3" t="str">
        <f>IFERROR(__xludf.DUMMYFUNCTION("GOOGLETRANSLATE(A72, ""ar"", ""bn"")"),"অতল")</f>
        <v>অতল</v>
      </c>
    </row>
    <row r="73">
      <c r="A73" s="2" t="s">
        <v>3228</v>
      </c>
      <c r="B73" s="3" t="str">
        <f>IFERROR(__xludf.DUMMYFUNCTION("GOOGLETRANSLATE(A73, ""ar"", ""bn"")"),"Abysses")</f>
        <v>Abysses</v>
      </c>
    </row>
    <row r="74">
      <c r="A74" s="2" t="s">
        <v>3229</v>
      </c>
      <c r="B74" s="3" t="str">
        <f>IFERROR(__xludf.DUMMYFUNCTION("GOOGLETRANSLATE(A74, ""ar"", ""bn"")"),"দুর্ঘটনা")</f>
        <v>দুর্ঘটনা</v>
      </c>
    </row>
    <row r="75">
      <c r="A75" s="2" t="s">
        <v>3230</v>
      </c>
      <c r="B75" s="3" t="str">
        <f>IFERROR(__xludf.DUMMYFUNCTION("GOOGLETRANSLATE(A75, ""ar"", ""bn"")"),"আপতিক")</f>
        <v>আপতিক</v>
      </c>
    </row>
    <row r="76">
      <c r="A76" s="2" t="s">
        <v>3231</v>
      </c>
      <c r="B76" s="3" t="str">
        <f>IFERROR(__xludf.DUMMYFUNCTION("GOOGLETRANSLATE(A76, ""ar"", ""bn"")"),"দুর্ঘটনাক্রমে")</f>
        <v>দুর্ঘটনাক্রমে</v>
      </c>
    </row>
    <row r="77">
      <c r="A77" s="2" t="s">
        <v>3232</v>
      </c>
      <c r="B77" s="3" t="str">
        <f>IFERROR(__xludf.DUMMYFUNCTION("GOOGLETRANSLATE(A77, ""ar"", ""bn"")"),"দুর্ঘটনা")</f>
        <v>দুর্ঘটনা</v>
      </c>
    </row>
    <row r="78">
      <c r="A78" s="2" t="s">
        <v>3233</v>
      </c>
      <c r="B78" s="3" t="str">
        <f>IFERROR(__xludf.DUMMYFUNCTION("GOOGLETRANSLATE(A78, ""ar"", ""bn"")"),"সম্বোধন")</f>
        <v>সম্বোধন</v>
      </c>
    </row>
    <row r="79">
      <c r="A79" s="2" t="s">
        <v>3234</v>
      </c>
      <c r="B79" s="3" t="str">
        <f>IFERROR(__xludf.DUMMYFUNCTION("GOOGLETRANSLATE(A79, ""ar"", ""bn"")"),"আলো")</f>
        <v>আলো</v>
      </c>
    </row>
    <row r="80">
      <c r="A80" s="2" t="s">
        <v>3235</v>
      </c>
      <c r="B80" s="3" t="str">
        <f>IFERROR(__xludf.DUMMYFUNCTION("GOOGLETRANSLATE(A80, ""ar"", ""bn"")"),"প্রণয়প্রার্থনাকারী")</f>
        <v>প্রণয়প্রার্থনাকারী</v>
      </c>
    </row>
    <row r="81">
      <c r="A81" s="2" t="s">
        <v>3236</v>
      </c>
      <c r="B81" s="3" t="str">
        <f>IFERROR(__xludf.DUMMYFUNCTION("GOOGLETRANSLATE(A81, ""ar"", ""bn"")"),"অভিশপ্ত")</f>
        <v>অভিশপ্ত</v>
      </c>
    </row>
    <row r="82">
      <c r="A82" s="2" t="s">
        <v>3237</v>
      </c>
      <c r="B82" s="3" t="str">
        <f>IFERROR(__xludf.DUMMYFUNCTION("GOOGLETRANSLATE(A82, ""ar"", ""bn"")"),"অভিযোগ")</f>
        <v>অভিযোগ</v>
      </c>
    </row>
    <row r="83">
      <c r="A83" s="2" t="s">
        <v>3238</v>
      </c>
      <c r="B83" s="3" t="str">
        <f>IFERROR(__xludf.DUMMYFUNCTION("GOOGLETRANSLATE(A83, ""ar"", ""bn"")"),"চার্জ")</f>
        <v>চার্জ</v>
      </c>
    </row>
    <row r="84">
      <c r="A84" s="2" t="s">
        <v>3239</v>
      </c>
      <c r="B84" s="3" t="str">
        <f>IFERROR(__xludf.DUMMYFUNCTION("GOOGLETRANSLATE(A84, ""ar"", ""bn"")"),"দ্বিতীয়া-বিভক্তি")</f>
        <v>দ্বিতীয়া-বিভক্তি</v>
      </c>
    </row>
    <row r="85">
      <c r="A85" s="2" t="s">
        <v>3240</v>
      </c>
      <c r="B85" s="3" t="str">
        <f>IFERROR(__xludf.DUMMYFUNCTION("GOOGLETRANSLATE(A85, ""ar"", ""bn"")"),"অভিযোগাত্মক")</f>
        <v>অভিযোগাত্মক</v>
      </c>
    </row>
    <row r="86">
      <c r="A86" s="2" t="s">
        <v>3241</v>
      </c>
      <c r="B86" s="3" t="str">
        <f>IFERROR(__xludf.DUMMYFUNCTION("GOOGLETRANSLATE(A86, ""ar"", ""bn"")"),"অভিযুক্ত করা")</f>
        <v>অভিযুক্ত করা</v>
      </c>
    </row>
    <row r="87">
      <c r="A87" s="2" t="s">
        <v>3242</v>
      </c>
      <c r="B87" s="3" t="str">
        <f>IFERROR(__xludf.DUMMYFUNCTION("GOOGLETRANSLATE(A87, ""ar"", ""bn"")"),"অভিযুক্ত")</f>
        <v>অভিযুক্ত</v>
      </c>
    </row>
    <row r="88">
      <c r="A88" s="2" t="s">
        <v>3242</v>
      </c>
      <c r="B88" s="3" t="str">
        <f>IFERROR(__xludf.DUMMYFUNCTION("GOOGLETRANSLATE(A88, ""ar"", ""bn"")"),"অভিযুক্ত")</f>
        <v>অভিযুক্ত</v>
      </c>
    </row>
    <row r="89">
      <c r="A89" s="2" t="s">
        <v>3243</v>
      </c>
      <c r="B89" s="3" t="str">
        <f>IFERROR(__xludf.DUMMYFUNCTION("GOOGLETRANSLATE(A89, ""ar"", ""bn"")"),"আসামীদের")</f>
        <v>আসামীদের</v>
      </c>
    </row>
    <row r="90">
      <c r="A90" s="2" t="s">
        <v>3244</v>
      </c>
      <c r="B90" s="3" t="str">
        <f>IFERROR(__xludf.DUMMYFUNCTION("GOOGLETRANSLATE(A90, ""ar"", ""bn"")"),"অভিযুক্ত")</f>
        <v>অভিযুক্ত</v>
      </c>
    </row>
    <row r="91">
      <c r="A91" s="2" t="s">
        <v>3245</v>
      </c>
      <c r="B91" s="3" t="str">
        <f>IFERROR(__xludf.DUMMYFUNCTION("GOOGLETRANSLATE(A91, ""ar"", ""bn"")"),"অভিযোগ তোলেন")</f>
        <v>অভিযোগ তোলেন</v>
      </c>
    </row>
    <row r="92">
      <c r="A92" s="2" t="s">
        <v>3246</v>
      </c>
      <c r="B92" s="3" t="str">
        <f>IFERROR(__xludf.DUMMYFUNCTION("GOOGLETRANSLATE(A92, ""ar"", ""bn"")"),"এর মধ্যে Oud")</f>
        <v>এর মধ্যে Oud</v>
      </c>
    </row>
    <row r="93">
      <c r="A93" s="2" t="s">
        <v>3247</v>
      </c>
      <c r="B93" s="3" t="str">
        <f>IFERROR(__xludf.DUMMYFUNCTION("GOOGLETRANSLATE(A93, ""ar"", ""bn"")"),"চলিত")</f>
        <v>চলিত</v>
      </c>
    </row>
    <row r="94">
      <c r="A94" s="2" t="s">
        <v>3248</v>
      </c>
      <c r="B94" s="3" t="str">
        <f>IFERROR(__xludf.DUMMYFUNCTION("GOOGLETRANSLATE(A94, ""ar"", ""bn"")"),"অভ্যস্ত করা")</f>
        <v>অভ্যস্ত করা</v>
      </c>
    </row>
    <row r="95">
      <c r="A95" s="2" t="s">
        <v>3237</v>
      </c>
      <c r="B95" s="3" t="str">
        <f>IFERROR(__xludf.DUMMYFUNCTION("GOOGLETRANSLATE(A95, ""ar"", ""bn"")"),"অভিযোগ")</f>
        <v>অভিযোগ</v>
      </c>
    </row>
    <row r="96">
      <c r="A96" s="2" t="s">
        <v>3238</v>
      </c>
      <c r="B96" s="3" t="str">
        <f>IFERROR(__xludf.DUMMYFUNCTION("GOOGLETRANSLATE(A96, ""ar"", ""bn"")"),"চার্জ")</f>
        <v>চার্জ</v>
      </c>
    </row>
    <row r="97">
      <c r="A97" s="2" t="s">
        <v>3249</v>
      </c>
      <c r="B97" s="3" t="str">
        <f>IFERROR(__xludf.DUMMYFUNCTION("GOOGLETRANSLATE(A97, ""ar"", ""bn"")"),"ব্যাথা")</f>
        <v>ব্যাথা</v>
      </c>
    </row>
    <row r="98">
      <c r="A98" s="2" t="s">
        <v>3250</v>
      </c>
      <c r="B98" s="3" t="str">
        <f>IFERROR(__xludf.DUMMYFUNCTION("GOOGLETRANSLATE(A98, ""ar"", ""bn"")"),"ব্যথা")</f>
        <v>ব্যথা</v>
      </c>
    </row>
    <row r="99">
      <c r="A99" s="2" t="s">
        <v>3251</v>
      </c>
      <c r="B99" s="3" t="str">
        <f>IFERROR(__xludf.DUMMYFUNCTION("GOOGLETRANSLATE(A99, ""ar"", ""bn"")"),"ব্যাথা")</f>
        <v>ব্যাথা</v>
      </c>
    </row>
    <row r="100">
      <c r="A100" s="2" t="s">
        <v>3252</v>
      </c>
      <c r="B100" s="3" t="str">
        <f>IFERROR(__xludf.DUMMYFUNCTION("GOOGLETRANSLATE(A100, ""ar"", ""bn"")"),"বেদনাদায়ক")</f>
        <v>বেদনাদায়ক</v>
      </c>
    </row>
    <row r="101">
      <c r="A101" s="2" t="s">
        <v>3252</v>
      </c>
      <c r="B101" s="3" t="str">
        <f>IFERROR(__xludf.DUMMYFUNCTION("GOOGLETRANSLATE(A101, ""ar"", ""bn"")"),"বেদনাদায়ক")</f>
        <v>বেদনাদায়ক</v>
      </c>
    </row>
    <row r="102">
      <c r="A102" s="2" t="s">
        <v>3253</v>
      </c>
      <c r="B102" s="3" t="str">
        <f>IFERROR(__xludf.DUMMYFUNCTION("GOOGLETRANSLATE(A102, ""ar"", ""bn"")"),"তীব্র")</f>
        <v>তীব্র</v>
      </c>
    </row>
    <row r="103">
      <c r="A103" s="2" t="s">
        <v>3254</v>
      </c>
      <c r="B103" s="3" t="str">
        <f>IFERROR(__xludf.DUMMYFUNCTION("GOOGLETRANSLATE(A103, ""ar"", ""bn"")"),"রুঢ়ভাবে")</f>
        <v>রুঢ়ভাবে</v>
      </c>
    </row>
    <row r="104">
      <c r="A104" s="2" t="s">
        <v>3255</v>
      </c>
      <c r="B104" s="3" t="str">
        <f>IFERROR(__xludf.DUMMYFUNCTION("GOOGLETRANSLATE(A104, ""ar"", ""bn"")"),"ধাবমান")</f>
        <v>ধাবমান</v>
      </c>
    </row>
    <row r="105">
      <c r="A105" s="2" t="s">
        <v>3256</v>
      </c>
      <c r="B105" s="3" t="str">
        <f>IFERROR(__xludf.DUMMYFUNCTION("GOOGLETRANSLATE(A105, ""ar"", ""bn"")"),"আসক্ত")</f>
        <v>আসক্ত</v>
      </c>
    </row>
    <row r="106">
      <c r="A106" s="2" t="s">
        <v>3256</v>
      </c>
      <c r="B106" s="3" t="str">
        <f>IFERROR(__xludf.DUMMYFUNCTION("GOOGLETRANSLATE(A106, ""ar"", ""bn"")"),"আসক্ত")</f>
        <v>আসক্ত</v>
      </c>
    </row>
    <row r="107">
      <c r="A107" s="2" t="s">
        <v>3257</v>
      </c>
      <c r="B107" s="3" t="str">
        <f>IFERROR(__xludf.DUMMYFUNCTION("GOOGLETRANSLATE(A107, ""ar"", ""bn"")"),"অনুরতি")</f>
        <v>অনুরতি</v>
      </c>
    </row>
    <row r="108">
      <c r="A108" s="2" t="s">
        <v>3258</v>
      </c>
      <c r="B108" s="3" t="str">
        <f>IFERROR(__xludf.DUMMYFUNCTION("GOOGLETRANSLATE(A108, ""ar"", ""bn"")"),"অনুরতি")</f>
        <v>অনুরতি</v>
      </c>
    </row>
    <row r="109">
      <c r="A109" s="2" t="s">
        <v>3259</v>
      </c>
      <c r="B109" s="3" t="str">
        <f>IFERROR(__xludf.DUMMYFUNCTION("GOOGLETRANSLATE(A109, ""ar"", ""bn"")"),"আশক্তি")</f>
        <v>আশক্তি</v>
      </c>
    </row>
    <row r="110">
      <c r="A110" s="2" t="s">
        <v>3258</v>
      </c>
      <c r="B110" s="3" t="str">
        <f>IFERROR(__xludf.DUMMYFUNCTION("GOOGLETRANSLATE(A110, ""ar"", ""bn"")"),"অনুরতি")</f>
        <v>অনুরতি</v>
      </c>
    </row>
    <row r="111">
      <c r="A111" s="2" t="s">
        <v>3260</v>
      </c>
      <c r="B111" s="3" t="str">
        <f>IFERROR(__xludf.DUMMYFUNCTION("GOOGLETRANSLATE(A111, ""ar"", ""bn"")"),"আসক্ত")</f>
        <v>আসক্ত</v>
      </c>
    </row>
    <row r="112">
      <c r="A112" s="2" t="s">
        <v>3261</v>
      </c>
      <c r="B112" s="3" t="str">
        <f>IFERROR(__xludf.DUMMYFUNCTION("GOOGLETRANSLATE(A112, ""ar"", ""bn"")"),"সতর্ক করা")</f>
        <v>সতর্ক করা</v>
      </c>
    </row>
    <row r="113">
      <c r="A113" s="2" t="s">
        <v>3262</v>
      </c>
      <c r="B113" s="3" t="str">
        <f>IFERROR(__xludf.DUMMYFUNCTION("GOOGLETRANSLATE(A113, ""ar"", ""bn"")"),"সতর্ক")</f>
        <v>সতর্ক</v>
      </c>
    </row>
    <row r="114">
      <c r="A114" s="2" t="s">
        <v>3263</v>
      </c>
      <c r="B114" s="3" t="str">
        <f>IFERROR(__xludf.DUMMYFUNCTION("GOOGLETRANSLATE(A114, ""ar"", ""bn"")"),"উপদেশ")</f>
        <v>উপদেশ</v>
      </c>
    </row>
    <row r="115">
      <c r="A115" s="2" t="s">
        <v>3264</v>
      </c>
      <c r="B115" s="3" t="str">
        <f>IFERROR(__xludf.DUMMYFUNCTION("GOOGLETRANSLATE(A115, ""ar"", ""bn"")"),"তদন্ত")</f>
        <v>তদন্ত</v>
      </c>
    </row>
    <row r="116">
      <c r="A116" s="2" t="s">
        <v>3265</v>
      </c>
      <c r="B116" s="3" t="str">
        <f>IFERROR(__xludf.DUMMYFUNCTION("GOOGLETRANSLATE(A116, ""ar"", ""bn"")"),"পরামর্শ")</f>
        <v>পরামর্শ</v>
      </c>
    </row>
    <row r="117">
      <c r="A117" s="2" t="s">
        <v>3266</v>
      </c>
      <c r="B117" s="3" t="str">
        <f>IFERROR(__xludf.DUMMYFUNCTION("GOOGLETRANSLATE(A117, ""ar"", ""bn"")"),"ভর্ত্সনা")</f>
        <v>ভর্ত্সনা</v>
      </c>
    </row>
    <row r="118">
      <c r="A118" s="2" t="s">
        <v>3267</v>
      </c>
      <c r="B118" s="3" t="str">
        <f>IFERROR(__xludf.DUMMYFUNCTION("GOOGLETRANSLATE(A118, ""ar"", ""bn"")"),"সতর্কতা")</f>
        <v>সতর্কতা</v>
      </c>
    </row>
    <row r="119">
      <c r="A119" s="2" t="s">
        <v>3268</v>
      </c>
      <c r="B119" s="3" t="str">
        <f>IFERROR(__xludf.DUMMYFUNCTION("GOOGLETRANSLATE(A119, ""ar"", ""bn"")"),"পরিচায়ক")</f>
        <v>পরিচায়ক</v>
      </c>
    </row>
    <row r="120">
      <c r="A120" s="2" t="s">
        <v>3269</v>
      </c>
      <c r="B120" s="3" t="str">
        <f>IFERROR(__xludf.DUMMYFUNCTION("GOOGLETRANSLATE(A120, ""ar"", ""bn"")"),"প্রতারণা")</f>
        <v>প্রতারণা</v>
      </c>
    </row>
    <row r="121">
      <c r="A121" s="2" t="s">
        <v>3270</v>
      </c>
      <c r="B121" s="3" t="str">
        <f>IFERROR(__xludf.DUMMYFUNCTION("GOOGLETRANSLATE(A121, ""ar"", ""bn"")"),"ভেজাল")</f>
        <v>ভেজাল</v>
      </c>
    </row>
    <row r="122">
      <c r="A122" s="2" t="s">
        <v>3269</v>
      </c>
      <c r="B122" s="3" t="str">
        <f>IFERROR(__xludf.DUMMYFUNCTION("GOOGLETRANSLATE(A122, ""ar"", ""bn"")"),"প্রতারণা")</f>
        <v>প্রতারণা</v>
      </c>
    </row>
    <row r="123">
      <c r="A123" s="2" t="s">
        <v>3269</v>
      </c>
      <c r="B123" s="3" t="str">
        <f>IFERROR(__xludf.DUMMYFUNCTION("GOOGLETRANSLATE(A123, ""ar"", ""bn"")"),"প্রতারণা")</f>
        <v>প্রতারণা</v>
      </c>
    </row>
    <row r="124">
      <c r="A124" s="2" t="s">
        <v>3271</v>
      </c>
      <c r="B124" s="3" t="str">
        <f>IFERROR(__xludf.DUMMYFUNCTION("GOOGLETRANSLATE(A124, ""ar"", ""bn"")"),"ব্যভিচার")</f>
        <v>ব্যভিচার</v>
      </c>
    </row>
    <row r="125">
      <c r="A125" s="2" t="s">
        <v>3272</v>
      </c>
      <c r="B125" s="3" t="str">
        <f>IFERROR(__xludf.DUMMYFUNCTION("GOOGLETRANSLATE(A125, ""ar"", ""bn"")"),"দ্বন্দ্ব")</f>
        <v>দ্বন্দ্ব</v>
      </c>
    </row>
    <row r="126">
      <c r="A126" s="2" t="s">
        <v>3273</v>
      </c>
      <c r="B126" s="3" t="str">
        <f>IFERROR(__xludf.DUMMYFUNCTION("GOOGLETRANSLATE(A126, ""ar"", ""bn"")"),"দায়")</f>
        <v>দায়</v>
      </c>
    </row>
    <row r="127">
      <c r="A127" s="2" t="s">
        <v>3274</v>
      </c>
      <c r="B127" s="3" t="str">
        <f>IFERROR(__xludf.DUMMYFUNCTION("GOOGLETRANSLATE(A127, ""ar"", ""bn"")"),"ডিসকাউন্ট")</f>
        <v>ডিসকাউন্ট</v>
      </c>
    </row>
    <row r="128">
      <c r="A128" s="2" t="s">
        <v>3275</v>
      </c>
      <c r="B128" s="3" t="str">
        <f>IFERROR(__xludf.DUMMYFUNCTION("GOOGLETRANSLATE(A128, ""ar"", ""bn"")"),"বিপরীত")</f>
        <v>বিপরীত</v>
      </c>
    </row>
    <row r="129">
      <c r="A129" s="2" t="s">
        <v>3276</v>
      </c>
      <c r="B129" s="3" t="str">
        <f>IFERROR(__xludf.DUMMYFUNCTION("GOOGLETRANSLATE(A129, ""ar"", ""bn"")"),"নেতিবাচকভাবে")</f>
        <v>নেতিবাচকভাবে</v>
      </c>
    </row>
    <row r="130">
      <c r="A130" s="2" t="s">
        <v>3277</v>
      </c>
      <c r="B130" s="3" t="str">
        <f>IFERROR(__xludf.DUMMYFUNCTION("GOOGLETRANSLATE(A130, ""ar"", ""bn"")"),"দুর্দশাগুলোর")</f>
        <v>দুর্দশাগুলোর</v>
      </c>
    </row>
    <row r="131">
      <c r="A131" s="2" t="s">
        <v>3278</v>
      </c>
      <c r="B131" s="3" t="str">
        <f>IFERROR(__xludf.DUMMYFUNCTION("GOOGLETRANSLATE(A131, ""ar"", ""bn"")"),"কঠোর পরীক্ষা")</f>
        <v>কঠোর পরীক্ষা</v>
      </c>
    </row>
    <row r="132">
      <c r="A132" s="2" t="s">
        <v>3279</v>
      </c>
      <c r="B132" s="3" t="str">
        <f>IFERROR(__xludf.DUMMYFUNCTION("GOOGLETRANSLATE(A132, ""ar"", ""bn"")"),"ভান")</f>
        <v>ভান</v>
      </c>
    </row>
    <row r="133">
      <c r="A133" s="2" t="s">
        <v>3279</v>
      </c>
      <c r="B133" s="3" t="str">
        <f>IFERROR(__xludf.DUMMYFUNCTION("GOOGLETRANSLATE(A133, ""ar"", ""bn"")"),"ভান")</f>
        <v>ভান</v>
      </c>
    </row>
    <row r="134">
      <c r="A134" s="2" t="s">
        <v>3280</v>
      </c>
      <c r="B134" s="3" t="str">
        <f>IFERROR(__xludf.DUMMYFUNCTION("GOOGLETRANSLATE(A134, ""ar"", ""bn"")"),"পীড়িত করা")</f>
        <v>পীড়িত করা</v>
      </c>
    </row>
    <row r="135">
      <c r="A135" s="2" t="s">
        <v>3281</v>
      </c>
      <c r="B135" s="3" t="str">
        <f>IFERROR(__xludf.DUMMYFUNCTION("GOOGLETRANSLATE(A135, ""ar"", ""bn"")"),"জর্জরিত")</f>
        <v>জর্জরিত</v>
      </c>
    </row>
    <row r="136">
      <c r="A136" s="2" t="s">
        <v>3282</v>
      </c>
      <c r="B136" s="3" t="str">
        <f>IFERROR(__xludf.DUMMYFUNCTION("GOOGLETRANSLATE(A136, ""ar"", ""bn"")"),"পুড়ানিয়া")</f>
        <v>পুড়ানিয়া</v>
      </c>
    </row>
    <row r="137">
      <c r="A137" s="2" t="s">
        <v>3283</v>
      </c>
      <c r="B137" s="3" t="str">
        <f>IFERROR(__xludf.DUMMYFUNCTION("GOOGLETRANSLATE(A137, ""ar"", ""bn"")"),"ক্লেশ")</f>
        <v>ক্লেশ</v>
      </c>
    </row>
    <row r="138">
      <c r="A138" s="2" t="s">
        <v>3284</v>
      </c>
      <c r="B138" s="3" t="str">
        <f>IFERROR(__xludf.DUMMYFUNCTION("GOOGLETRANSLATE(A138, ""ar"", ""bn"")"),"ব্যথা")</f>
        <v>ব্যথা</v>
      </c>
    </row>
    <row r="139">
      <c r="A139" s="2" t="s">
        <v>3285</v>
      </c>
      <c r="B139" s="3" t="str">
        <f>IFERROR(__xludf.DUMMYFUNCTION("GOOGLETRANSLATE(A139, ""ar"", ""bn"")"),"সংক্রমিত")</f>
        <v>সংক্রমিত</v>
      </c>
    </row>
    <row r="140">
      <c r="A140" s="2" t="s">
        <v>3286</v>
      </c>
      <c r="B140" s="3" t="str">
        <f>IFERROR(__xludf.DUMMYFUNCTION("GOOGLETRANSLATE(A140, ""ar"", ""bn"")"),"সন্ত্রাসিত")</f>
        <v>সন্ত্রাসিত</v>
      </c>
    </row>
    <row r="141">
      <c r="A141" s="2" t="s">
        <v>3287</v>
      </c>
      <c r="B141" s="3" t="str">
        <f>IFERROR(__xludf.DUMMYFUNCTION("GOOGLETRANSLATE(A141, ""ar"", ""bn"")"),"বিরুদ্ধে")</f>
        <v>বিরুদ্ধে</v>
      </c>
    </row>
    <row r="142">
      <c r="A142" s="2" t="s">
        <v>3288</v>
      </c>
      <c r="B142" s="3" t="str">
        <f>IFERROR(__xludf.DUMMYFUNCTION("GOOGLETRANSLATE(A142, ""ar"", ""bn"")"),"অধোগমন")</f>
        <v>অধোগমন</v>
      </c>
    </row>
    <row r="143">
      <c r="A143" s="2" t="s">
        <v>3289</v>
      </c>
      <c r="B143" s="3" t="str">
        <f>IFERROR(__xludf.DUMMYFUNCTION("GOOGLETRANSLATE(A143, ""ar"", ""bn"")"),"ঘটায়")</f>
        <v>ঘটায়</v>
      </c>
    </row>
    <row r="144">
      <c r="A144" s="2" t="s">
        <v>3290</v>
      </c>
      <c r="B144" s="3" t="str">
        <f>IFERROR(__xludf.DUMMYFUNCTION("GOOGLETRANSLATE(A144, ""ar"", ""bn"")"),"হেয়")</f>
        <v>হেয়</v>
      </c>
    </row>
    <row r="145">
      <c r="A145" s="2" t="s">
        <v>3291</v>
      </c>
      <c r="B145" s="3" t="str">
        <f>IFERROR(__xludf.DUMMYFUNCTION("GOOGLETRANSLATE(A145, ""ar"", ""bn"")"),"বিরক্তিকর")</f>
        <v>বিরক্তিকর</v>
      </c>
    </row>
    <row r="146">
      <c r="A146" s="2" t="s">
        <v>3288</v>
      </c>
      <c r="B146" s="3" t="str">
        <f>IFERROR(__xludf.DUMMYFUNCTION("GOOGLETRANSLATE(A146, ""ar"", ""bn"")"),"অধোগমন")</f>
        <v>অধোগমন</v>
      </c>
    </row>
    <row r="147">
      <c r="A147" s="2" t="s">
        <v>3292</v>
      </c>
      <c r="B147" s="3" t="str">
        <f>IFERROR(__xludf.DUMMYFUNCTION("GOOGLETRANSLATE(A147, ""ar"", ""bn"")"),"পরিস্থিতির প্রকোপ বৃদ্ধি")</f>
        <v>পরিস্থিতির প্রকোপ বৃদ্ধি</v>
      </c>
    </row>
    <row r="148">
      <c r="A148" s="2" t="s">
        <v>197</v>
      </c>
      <c r="B148" s="3" t="str">
        <f>IFERROR(__xludf.DUMMYFUNCTION("GOOGLETRANSLATE(A148, ""ar"", ""bn"")"),"আক্রমণ")</f>
        <v>আক্রমণ</v>
      </c>
    </row>
    <row r="149">
      <c r="A149" s="2" t="s">
        <v>3293</v>
      </c>
      <c r="B149" s="3" t="str">
        <f>IFERROR(__xludf.DUMMYFUNCTION("GOOGLETRANSLATE(A149, ""ar"", ""bn"")"),"আক্রমন")</f>
        <v>আক্রমন</v>
      </c>
    </row>
    <row r="150">
      <c r="A150" s="2" t="s">
        <v>3294</v>
      </c>
      <c r="B150" s="3" t="str">
        <f>IFERROR(__xludf.DUMMYFUNCTION("GOOGLETRANSLATE(A150, ""ar"", ""bn"")"),"আক্রমনাত্মক")</f>
        <v>আক্রমনাত্মক</v>
      </c>
    </row>
    <row r="151">
      <c r="A151" s="2" t="s">
        <v>3295</v>
      </c>
      <c r="B151" s="3" t="str">
        <f>IFERROR(__xludf.DUMMYFUNCTION("GOOGLETRANSLATE(A151, ""ar"", ""bn"")"),"প্রবলভাবে")</f>
        <v>প্রবলভাবে</v>
      </c>
    </row>
    <row r="152">
      <c r="A152" s="2" t="s">
        <v>3296</v>
      </c>
      <c r="B152" s="3" t="str">
        <f>IFERROR(__xludf.DUMMYFUNCTION("GOOGLETRANSLATE(A152, ""ar"", ""bn"")"),"আক্রমণ")</f>
        <v>আক্রমণ</v>
      </c>
    </row>
    <row r="153">
      <c r="A153" s="2" t="s">
        <v>3297</v>
      </c>
      <c r="B153" s="3" t="str">
        <f>IFERROR(__xludf.DUMMYFUNCTION("GOOGLETRANSLATE(A153, ""ar"", ""bn"")"),"আক্রমণকারী")</f>
        <v>আক্রমণকারী</v>
      </c>
    </row>
    <row r="154">
      <c r="A154" s="2" t="s">
        <v>3298</v>
      </c>
      <c r="B154" s="3" t="str">
        <f>IFERROR(__xludf.DUMMYFUNCTION("GOOGLETRANSLATE(A154, ""ar"", ""bn"")"),"হানাদারদের")</f>
        <v>হানাদারদের</v>
      </c>
    </row>
    <row r="155">
      <c r="A155" s="2" t="s">
        <v>3299</v>
      </c>
      <c r="B155" s="3" t="str">
        <f>IFERROR(__xludf.DUMMYFUNCTION("GOOGLETRANSLATE(A155, ""ar"", ""bn"")"),"ক্ষতিগ্রস্ত")</f>
        <v>ক্ষতিগ্রস্ত</v>
      </c>
    </row>
    <row r="156">
      <c r="A156" s="2" t="s">
        <v>3300</v>
      </c>
      <c r="B156" s="3" t="str">
        <f>IFERROR(__xludf.DUMMYFUNCTION("GOOGLETRANSLATE(A156, ""ar"", ""bn"")"),"অবিচার")</f>
        <v>অবিচার</v>
      </c>
    </row>
    <row r="157">
      <c r="A157" s="2" t="s">
        <v>3301</v>
      </c>
      <c r="B157" s="3" t="str">
        <f>IFERROR(__xludf.DUMMYFUNCTION("GOOGLETRANSLATE(A157, ""ar"", ""bn"")"),"আতঙ্কগ্রস্ত")</f>
        <v>আতঙ্কগ্রস্ত</v>
      </c>
    </row>
    <row r="158">
      <c r="A158" s="2" t="s">
        <v>3302</v>
      </c>
      <c r="B158" s="3" t="str">
        <f>IFERROR(__xludf.DUMMYFUNCTION("GOOGLETRANSLATE(A158, ""ar"", ""bn"")"),"আলোড়ন")</f>
        <v>আলোড়ন</v>
      </c>
    </row>
    <row r="159">
      <c r="A159" s="2" t="s">
        <v>3303</v>
      </c>
      <c r="B159" s="3" t="str">
        <f>IFERROR(__xludf.DUMMYFUNCTION("GOOGLETRANSLATE(A159, ""ar"", ""bn"")"),"উচ্ছ্বসিত")</f>
        <v>উচ্ছ্বসিত</v>
      </c>
    </row>
    <row r="160">
      <c r="A160" s="2" t="s">
        <v>3304</v>
      </c>
      <c r="B160" s="3" t="str">
        <f>IFERROR(__xludf.DUMMYFUNCTION("GOOGLETRANSLATE(A160, ""ar"", ""bn"")"),"মানসম্পন্ন")</f>
        <v>মানসম্পন্ন</v>
      </c>
    </row>
    <row r="161">
      <c r="A161" s="2" t="s">
        <v>3305</v>
      </c>
      <c r="B161" s="3" t="str">
        <f>IFERROR(__xludf.DUMMYFUNCTION("GOOGLETRANSLATE(A161, ""ar"", ""bn"")"),"বিভ্রান্তিকর")</f>
        <v>বিভ্রান্তিকর</v>
      </c>
    </row>
    <row r="162">
      <c r="A162" s="2" t="s">
        <v>3306</v>
      </c>
      <c r="B162" s="3" t="str">
        <f>IFERROR(__xludf.DUMMYFUNCTION("GOOGLETRANSLATE(A162, ""ar"", ""bn"")"),"হুজুগ")</f>
        <v>হুজুগ</v>
      </c>
    </row>
    <row r="163">
      <c r="A163" s="2" t="s">
        <v>3307</v>
      </c>
      <c r="B163" s="3" t="str">
        <f>IFERROR(__xludf.DUMMYFUNCTION("GOOGLETRANSLATE(A163, ""ar"", ""bn"")"),"বিপ্লব")</f>
        <v>বিপ্লব</v>
      </c>
    </row>
    <row r="164">
      <c r="A164" s="2" t="s">
        <v>3308</v>
      </c>
      <c r="B164" s="3" t="str">
        <f>IFERROR(__xludf.DUMMYFUNCTION("GOOGLETRANSLATE(A164, ""ar"", ""bn"")"),"প্রচারক")</f>
        <v>প্রচারক</v>
      </c>
    </row>
    <row r="165">
      <c r="A165" s="2" t="s">
        <v>3309</v>
      </c>
      <c r="B165" s="3" t="str">
        <f>IFERROR(__xludf.DUMMYFUNCTION("GOOGLETRANSLATE(A165, ""ar"", ""bn"")"),"আন্দোলনকারীদের")</f>
        <v>আন্দোলনকারীদের</v>
      </c>
    </row>
    <row r="166">
      <c r="A166" s="2" t="s">
        <v>3310</v>
      </c>
      <c r="B166" s="3" t="str">
        <f>IFERROR(__xludf.DUMMYFUNCTION("GOOGLETRANSLATE(A166, ""ar"", ""bn"")"),"পীড়ন করা")</f>
        <v>পীড়ন করা</v>
      </c>
    </row>
    <row r="167">
      <c r="A167" s="2" t="s">
        <v>3311</v>
      </c>
      <c r="B167" s="3" t="str">
        <f>IFERROR(__xludf.DUMMYFUNCTION("GOOGLETRANSLATE(A167, ""ar"", ""bn"")"),"পীড়িত")</f>
        <v>পীড়িত</v>
      </c>
    </row>
    <row r="168">
      <c r="A168" s="2" t="s">
        <v>3252</v>
      </c>
      <c r="B168" s="3" t="str">
        <f>IFERROR(__xludf.DUMMYFUNCTION("GOOGLETRANSLATE(A168, ""ar"", ""bn"")"),"বেদনাদায়ক")</f>
        <v>বেদনাদায়ক</v>
      </c>
    </row>
    <row r="169">
      <c r="A169" s="2" t="s">
        <v>3252</v>
      </c>
      <c r="B169" s="3" t="str">
        <f>IFERROR(__xludf.DUMMYFUNCTION("GOOGLETRANSLATE(A169, ""ar"", ""bn"")"),"বেদনাদায়ক")</f>
        <v>বেদনাদায়ক</v>
      </c>
    </row>
    <row r="170">
      <c r="A170" s="2" t="s">
        <v>3312</v>
      </c>
      <c r="B170" s="3" t="str">
        <f>IFERROR(__xludf.DUMMYFUNCTION("GOOGLETRANSLATE(A170, ""ar"", ""bn"")"),"Nahed")</f>
        <v>Nahed</v>
      </c>
    </row>
    <row r="171">
      <c r="A171" s="2" t="s">
        <v>3313</v>
      </c>
      <c r="B171" s="3" t="str">
        <f>IFERROR(__xludf.DUMMYFUNCTION("GOOGLETRANSLATE(A171, ""ar"", ""bn"")"),"অ্যাগোনিস্ট")</f>
        <v>অ্যাগোনিস্ট</v>
      </c>
    </row>
    <row r="172">
      <c r="A172" s="2" t="s">
        <v>3314</v>
      </c>
      <c r="B172" s="3" t="str">
        <f>IFERROR(__xludf.DUMMYFUNCTION("GOOGLETRANSLATE(A172, ""ar"", ""bn"")"),"অন্তর্বেদনা")</f>
        <v>অন্তর্বেদনা</v>
      </c>
    </row>
    <row r="173">
      <c r="A173" s="2" t="s">
        <v>3315</v>
      </c>
      <c r="B173" s="3" t="str">
        <f>IFERROR(__xludf.DUMMYFUNCTION("GOOGLETRANSLATE(A173, ""ar"", ""bn"")"),"অসুস্থতাবোধ")</f>
        <v>অসুস্থতাবোধ</v>
      </c>
    </row>
    <row r="174">
      <c r="A174" s="2" t="s">
        <v>3316</v>
      </c>
      <c r="B174" s="3" t="str">
        <f>IFERROR(__xludf.DUMMYFUNCTION("GOOGLETRANSLATE(A174, ""ar"", ""bn"")"),"Aileron")</f>
        <v>Aileron</v>
      </c>
    </row>
    <row r="175">
      <c r="A175" s="2" t="s">
        <v>3317</v>
      </c>
      <c r="B175" s="3" t="str">
        <f>IFERROR(__xludf.DUMMYFUNCTION("GOOGLETRANSLATE(A175, ""ar"", ""bn"")"),"Ailerons")</f>
        <v>Ailerons</v>
      </c>
    </row>
    <row r="176">
      <c r="A176" s="2" t="s">
        <v>3318</v>
      </c>
      <c r="B176" s="3" t="str">
        <f>IFERROR(__xludf.DUMMYFUNCTION("GOOGLETRANSLATE(A176, ""ar"", ""bn"")"),"অসুস্থ")</f>
        <v>অসুস্থ</v>
      </c>
    </row>
    <row r="177">
      <c r="A177" s="2" t="s">
        <v>3319</v>
      </c>
      <c r="B177" s="3" t="str">
        <f>IFERROR(__xludf.DUMMYFUNCTION("GOOGLETRANSLATE(A177, ""ar"", ""bn"")"),"অসুস্থতা")</f>
        <v>অসুস্থতা</v>
      </c>
    </row>
    <row r="178">
      <c r="A178" s="2" t="s">
        <v>3320</v>
      </c>
      <c r="B178" s="3" t="str">
        <f>IFERROR(__xludf.DUMMYFUNCTION("GOOGLETRANSLATE(A178, ""ar"", ""bn"")"),"রোগ")</f>
        <v>রোগ</v>
      </c>
    </row>
    <row r="179">
      <c r="A179" s="2" t="s">
        <v>3321</v>
      </c>
      <c r="B179" s="3" t="str">
        <f>IFERROR(__xludf.DUMMYFUNCTION("GOOGLETRANSLATE(A179, ""ar"", ""bn"")"),"Ails")</f>
        <v>Ails</v>
      </c>
    </row>
    <row r="180">
      <c r="A180" s="2" t="s">
        <v>3318</v>
      </c>
      <c r="B180" s="3" t="str">
        <f>IFERROR(__xludf.DUMMYFUNCTION("GOOGLETRANSLATE(A180, ""ar"", ""bn"")"),"অসুস্থ")</f>
        <v>অসুস্থ</v>
      </c>
    </row>
    <row r="181">
      <c r="A181" s="2" t="s">
        <v>3319</v>
      </c>
      <c r="B181" s="3" t="str">
        <f>IFERROR(__xludf.DUMMYFUNCTION("GOOGLETRANSLATE(A181, ""ar"", ""bn"")"),"অসুস্থতা")</f>
        <v>অসুস্থতা</v>
      </c>
    </row>
    <row r="182">
      <c r="A182" s="2" t="s">
        <v>3320</v>
      </c>
      <c r="B182" s="3" t="str">
        <f>IFERROR(__xludf.DUMMYFUNCTION("GOOGLETRANSLATE(A182, ""ar"", ""bn"")"),"রোগ")</f>
        <v>রোগ</v>
      </c>
    </row>
    <row r="183">
      <c r="A183" s="2" t="s">
        <v>3321</v>
      </c>
      <c r="B183" s="3" t="str">
        <f>IFERROR(__xludf.DUMMYFUNCTION("GOOGLETRANSLATE(A183, ""ar"", ""bn"")"),"Ails")</f>
        <v>Ails</v>
      </c>
    </row>
    <row r="184">
      <c r="A184" s="2" t="s">
        <v>3322</v>
      </c>
      <c r="B184" s="3" t="str">
        <f>IFERROR(__xludf.DUMMYFUNCTION("GOOGLETRANSLATE(A184, ""ar"", ""bn"")"),"কোন লক্ষ্যে")</f>
        <v>কোন লক্ষ্যে</v>
      </c>
    </row>
    <row r="185">
      <c r="A185" s="2" t="s">
        <v>3322</v>
      </c>
      <c r="B185" s="3" t="str">
        <f>IFERROR(__xludf.DUMMYFUNCTION("GOOGLETRANSLATE(A185, ""ar"", ""bn"")"),"কোন লক্ষ্যে")</f>
        <v>কোন লক্ষ্যে</v>
      </c>
    </row>
    <row r="186">
      <c r="A186" s="2" t="s">
        <v>3323</v>
      </c>
      <c r="B186" s="3" t="str">
        <f>IFERROR(__xludf.DUMMYFUNCTION("GOOGLETRANSLATE(A186, ""ar"", ""bn"")"),"অকারণে")</f>
        <v>অকারণে</v>
      </c>
    </row>
    <row r="187">
      <c r="A187" s="2" t="s">
        <v>2511</v>
      </c>
      <c r="B187" s="3" t="str">
        <f>IFERROR(__xludf.DUMMYFUNCTION("GOOGLETRANSLATE(A187, ""ar"", ""bn"")"),"সতর্কতা")</f>
        <v>সতর্কতা</v>
      </c>
    </row>
    <row r="188">
      <c r="A188" s="2" t="s">
        <v>3324</v>
      </c>
      <c r="B188" s="3" t="str">
        <f>IFERROR(__xludf.DUMMYFUNCTION("GOOGLETRANSLATE(A188, ""ar"", ""bn"")"),"উদ্বেগ")</f>
        <v>উদ্বেগ</v>
      </c>
    </row>
    <row r="189">
      <c r="A189" s="2" t="s">
        <v>3325</v>
      </c>
      <c r="B189" s="3" t="str">
        <f>IFERROR(__xludf.DUMMYFUNCTION("GOOGLETRANSLATE(A189, ""ar"", ""bn"")"),"ভীতিকর")</f>
        <v>ভীতিকর</v>
      </c>
    </row>
    <row r="190">
      <c r="A190" s="2" t="s">
        <v>3326</v>
      </c>
      <c r="B190" s="3" t="str">
        <f>IFERROR(__xludf.DUMMYFUNCTION("GOOGLETRANSLATE(A190, ""ar"", ""bn"")"),"ভয়াবহ, আতঙ্কজনক")</f>
        <v>ভয়াবহ, আতঙ্কজনক</v>
      </c>
    </row>
    <row r="191">
      <c r="A191" s="2" t="s">
        <v>3327</v>
      </c>
      <c r="B191" s="3" t="str">
        <f>IFERROR(__xludf.DUMMYFUNCTION("GOOGLETRANSLATE(A191, ""ar"", ""bn"")"),"আতংক সৃষ্টির")</f>
        <v>আতংক সৃষ্টির</v>
      </c>
    </row>
    <row r="192">
      <c r="A192" s="2" t="s">
        <v>3328</v>
      </c>
      <c r="B192" s="3" t="str">
        <f>IFERROR(__xludf.DUMMYFUNCTION("GOOGLETRANSLATE(A192, ""ar"", ""bn"")"),"ভয়")</f>
        <v>ভয়</v>
      </c>
    </row>
    <row r="193">
      <c r="A193" s="2" t="s">
        <v>2511</v>
      </c>
      <c r="B193" s="3" t="str">
        <f>IFERROR(__xludf.DUMMYFUNCTION("GOOGLETRANSLATE(A193, ""ar"", ""bn"")"),"সতর্কতা")</f>
        <v>সতর্কতা</v>
      </c>
    </row>
    <row r="194">
      <c r="A194" s="2" t="s">
        <v>3329</v>
      </c>
      <c r="B194" s="3" t="str">
        <f>IFERROR(__xludf.DUMMYFUNCTION("GOOGLETRANSLATE(A194, ""ar"", ""bn"")"),"হায়রে")</f>
        <v>হায়রে</v>
      </c>
    </row>
    <row r="195">
      <c r="A195" s="2" t="s">
        <v>3330</v>
      </c>
      <c r="B195" s="3" t="str">
        <f>IFERROR(__xludf.DUMMYFUNCTION("GOOGLETRANSLATE(A195, ""ar"", ""bn"")"),"আলাস্কা")</f>
        <v>আলাস্কা</v>
      </c>
    </row>
    <row r="196">
      <c r="A196" s="2" t="s">
        <v>3330</v>
      </c>
      <c r="B196" s="3" t="str">
        <f>IFERROR(__xludf.DUMMYFUNCTION("GOOGLETRANSLATE(A196, ""ar"", ""bn"")"),"আলাস্কা")</f>
        <v>আলাস্কা</v>
      </c>
    </row>
    <row r="197">
      <c r="A197" s="2" t="s">
        <v>3331</v>
      </c>
      <c r="B197" s="3" t="str">
        <f>IFERROR(__xludf.DUMMYFUNCTION("GOOGLETRANSLATE(A197, ""ar"", ""bn"")"),"ছুতা")</f>
        <v>ছুতা</v>
      </c>
    </row>
    <row r="198">
      <c r="A198" s="2" t="s">
        <v>3332</v>
      </c>
      <c r="B198" s="3" t="str">
        <f>IFERROR(__xludf.DUMMYFUNCTION("GOOGLETRANSLATE(A198, ""ar"", ""bn"")"),"অজুহাত")</f>
        <v>অজুহাত</v>
      </c>
    </row>
    <row r="199">
      <c r="A199" s="2" t="s">
        <v>3333</v>
      </c>
      <c r="B199" s="3" t="str">
        <f>IFERROR(__xludf.DUMMYFUNCTION("GOOGLETRANSLATE(A199, ""ar"", ""bn"")"),"বিদেশী")</f>
        <v>বিদেশী</v>
      </c>
    </row>
    <row r="200">
      <c r="A200" s="2" t="s">
        <v>3334</v>
      </c>
      <c r="B200" s="3" t="str">
        <f>IFERROR(__xludf.DUMMYFUNCTION("GOOGLETRANSLATE(A200, ""ar"", ""bn"")"),"হস্তান্তর করিয়া দেত্তয়া")</f>
        <v>হস্তান্তর করিয়া দেত্তয়া</v>
      </c>
    </row>
    <row r="201">
      <c r="A201" s="2" t="s">
        <v>3335</v>
      </c>
      <c r="B201" s="3" t="str">
        <f>IFERROR(__xludf.DUMMYFUNCTION("GOOGLETRANSLATE(A201, ""ar"", ""bn"")"),"বিরাগ")</f>
        <v>বিরাগ</v>
      </c>
    </row>
    <row r="202">
      <c r="A202" s="2" t="s">
        <v>3336</v>
      </c>
      <c r="B202" s="3" t="str">
        <f>IFERROR(__xludf.DUMMYFUNCTION("GOOGLETRANSLATE(A202, ""ar"", ""bn"")"),"প্রতিকূলতা করা")</f>
        <v>প্রতিকূলতা করা</v>
      </c>
    </row>
    <row r="203">
      <c r="A203" s="2" t="s">
        <v>3337</v>
      </c>
      <c r="B203" s="3" t="str">
        <f>IFERROR(__xludf.DUMMYFUNCTION("GOOGLETRANSLATE(A203, ""ar"", ""bn"")"),"উন্মত্ততা")</f>
        <v>উন্মত্ততা</v>
      </c>
    </row>
    <row r="204">
      <c r="A204" s="2" t="s">
        <v>3338</v>
      </c>
      <c r="B204" s="3" t="str">
        <f>IFERROR(__xludf.DUMMYFUNCTION("GOOGLETRANSLATE(A204, ""ar"", ""bn"")"),"আলাদা করা")</f>
        <v>আলাদা করা</v>
      </c>
    </row>
    <row r="205">
      <c r="A205" s="2" t="s">
        <v>3339</v>
      </c>
      <c r="B205" s="3" t="str">
        <f>IFERROR(__xludf.DUMMYFUNCTION("GOOGLETRANSLATE(A205, ""ar"", ""bn"")"),"বিদেশীদের")</f>
        <v>বিদেশীদের</v>
      </c>
    </row>
    <row r="206">
      <c r="A206" s="2" t="s">
        <v>3334</v>
      </c>
      <c r="B206" s="3" t="str">
        <f>IFERROR(__xludf.DUMMYFUNCTION("GOOGLETRANSLATE(A206, ""ar"", ""bn"")"),"হস্তান্তর করিয়া দেত্তয়া")</f>
        <v>হস্তান্তর করিয়া দেত্তয়া</v>
      </c>
    </row>
    <row r="207">
      <c r="A207" s="2" t="s">
        <v>3335</v>
      </c>
      <c r="B207" s="3" t="str">
        <f>IFERROR(__xludf.DUMMYFUNCTION("GOOGLETRANSLATE(A207, ""ar"", ""bn"")"),"বিরাগ")</f>
        <v>বিরাগ</v>
      </c>
    </row>
    <row r="208">
      <c r="A208" s="2" t="s">
        <v>3336</v>
      </c>
      <c r="B208" s="3" t="str">
        <f>IFERROR(__xludf.DUMMYFUNCTION("GOOGLETRANSLATE(A208, ""ar"", ""bn"")"),"প্রতিকূলতা করা")</f>
        <v>প্রতিকূলতা করা</v>
      </c>
    </row>
    <row r="209">
      <c r="A209" s="2" t="s">
        <v>3337</v>
      </c>
      <c r="B209" s="3" t="str">
        <f>IFERROR(__xludf.DUMMYFUNCTION("GOOGLETRANSLATE(A209, ""ar"", ""bn"")"),"উন্মত্ততা")</f>
        <v>উন্মত্ততা</v>
      </c>
    </row>
    <row r="210">
      <c r="A210" s="2" t="s">
        <v>3338</v>
      </c>
      <c r="B210" s="3" t="str">
        <f>IFERROR(__xludf.DUMMYFUNCTION("GOOGLETRANSLATE(A210, ""ar"", ""bn"")"),"আলাদা করা")</f>
        <v>আলাদা করা</v>
      </c>
    </row>
    <row r="211">
      <c r="A211" s="2" t="s">
        <v>3340</v>
      </c>
      <c r="B211" s="3" t="str">
        <f>IFERROR(__xludf.DUMMYFUNCTION("GOOGLETRANSLATE(A211, ""ar"", ""bn"")"),"দাবি")</f>
        <v>দাবি</v>
      </c>
    </row>
    <row r="212">
      <c r="A212" s="2" t="s">
        <v>3341</v>
      </c>
      <c r="B212" s="3" t="str">
        <f>IFERROR(__xludf.DUMMYFUNCTION("GOOGLETRANSLATE(A212, ""ar"", ""bn"")"),"অভিযোগ")</f>
        <v>অভিযোগ</v>
      </c>
    </row>
    <row r="213">
      <c r="A213" s="2" t="s">
        <v>3342</v>
      </c>
      <c r="B213" s="3" t="str">
        <f>IFERROR(__xludf.DUMMYFUNCTION("GOOGLETRANSLATE(A213, ""ar"", ""bn"")"),"অভিযোগে")</f>
        <v>অভিযোগে</v>
      </c>
    </row>
    <row r="214">
      <c r="A214" s="2" t="s">
        <v>3343</v>
      </c>
      <c r="B214" s="3" t="str">
        <f>IFERROR(__xludf.DUMMYFUNCTION("GOOGLETRANSLATE(A214, ""ar"", ""bn"")"),"অভিযুক্ত")</f>
        <v>অভিযুক্ত</v>
      </c>
    </row>
    <row r="215">
      <c r="A215" s="2" t="s">
        <v>3344</v>
      </c>
      <c r="B215" s="3" t="str">
        <f>IFERROR(__xludf.DUMMYFUNCTION("GOOGLETRANSLATE(A215, ""ar"", ""bn"")"),"অভিযোগ")</f>
        <v>অভিযোগ</v>
      </c>
    </row>
    <row r="216">
      <c r="A216" s="2" t="s">
        <v>3345</v>
      </c>
      <c r="B216" s="3" t="str">
        <f>IFERROR(__xludf.DUMMYFUNCTION("GOOGLETRANSLATE(A216, ""ar"", ""bn"")"),"দাবি")</f>
        <v>দাবি</v>
      </c>
    </row>
    <row r="217">
      <c r="A217" s="2" t="s">
        <v>3346</v>
      </c>
      <c r="B217" s="3" t="str">
        <f>IFERROR(__xludf.DUMMYFUNCTION("GOOGLETRANSLATE(A217, ""ar"", ""bn"")"),"একা")</f>
        <v>একা</v>
      </c>
    </row>
    <row r="218">
      <c r="A218" s="2" t="s">
        <v>3347</v>
      </c>
      <c r="B218" s="3" t="str">
        <f>IFERROR(__xludf.DUMMYFUNCTION("GOOGLETRANSLATE(A218, ""ar"", ""bn"")"),"প্রখরতা")</f>
        <v>প্রখরতা</v>
      </c>
    </row>
    <row r="219">
      <c r="A219" s="2" t="s">
        <v>3348</v>
      </c>
      <c r="B219" s="3" t="str">
        <f>IFERROR(__xludf.DUMMYFUNCTION("GOOGLETRANSLATE(A219, ""ar"", ""bn"")"),"নির্লিপ্ত")</f>
        <v>নির্লিপ্ত</v>
      </c>
    </row>
    <row r="220">
      <c r="A220" s="2" t="s">
        <v>3349</v>
      </c>
      <c r="B220" s="3" t="str">
        <f>IFERROR(__xludf.DUMMYFUNCTION("GOOGLETRANSLATE(A220, ""ar"", ""bn"")"),"বিচক্ষণ")</f>
        <v>বিচক্ষণ</v>
      </c>
    </row>
    <row r="221">
      <c r="A221" s="2" t="s">
        <v>3350</v>
      </c>
      <c r="B221" s="3" t="str">
        <f>IFERROR(__xludf.DUMMYFUNCTION("GOOGLETRANSLATE(A221, ""ar"", ""bn"")"),"ঝগড়াঝাঁটি")</f>
        <v>ঝগড়াঝাঁটি</v>
      </c>
    </row>
    <row r="222">
      <c r="A222" s="2" t="s">
        <v>3351</v>
      </c>
      <c r="B222" s="3" t="str">
        <f>IFERROR(__xludf.DUMMYFUNCTION("GOOGLETRANSLATE(A222, ""ar"", ""bn"")"),"তর্ক-বিতর্কের")</f>
        <v>তর্ক-বিতর্কের</v>
      </c>
    </row>
    <row r="223">
      <c r="A223" s="2" t="s">
        <v>3352</v>
      </c>
      <c r="B223" s="3" t="str">
        <f>IFERROR(__xludf.DUMMYFUNCTION("GOOGLETRANSLATE(A223, ""ar"", ""bn"")"),"রহস্য")</f>
        <v>রহস্য</v>
      </c>
    </row>
    <row r="224">
      <c r="A224" s="2" t="s">
        <v>3353</v>
      </c>
      <c r="B224" s="3" t="str">
        <f>IFERROR(__xludf.DUMMYFUNCTION("GOOGLETRANSLATE(A224, ""ar"", ""bn"")"),"অস্পষ্টতা")</f>
        <v>অস্পষ্টতা</v>
      </c>
    </row>
    <row r="225">
      <c r="A225" s="2" t="s">
        <v>3354</v>
      </c>
      <c r="B225" s="3" t="str">
        <f>IFERROR(__xludf.DUMMYFUNCTION("GOOGLETRANSLATE(A225, ""ar"", ""bn"")"),"রহস্যময়")</f>
        <v>রহস্যময়</v>
      </c>
    </row>
    <row r="226">
      <c r="A226" s="2" t="s">
        <v>3355</v>
      </c>
      <c r="B226" s="3" t="str">
        <f>IFERROR(__xludf.DUMMYFUNCTION("GOOGLETRANSLATE(A226, ""ar"", ""bn"")"),"রহস্যময়")</f>
        <v>রহস্যময়</v>
      </c>
    </row>
    <row r="227">
      <c r="A227" s="2" t="s">
        <v>3356</v>
      </c>
      <c r="B227" s="3" t="str">
        <f>IFERROR(__xludf.DUMMYFUNCTION("GOOGLETRANSLATE(A227, ""ar"", ""bn"")"),"দ্বিধাগ্রস্ত")</f>
        <v>দ্বিধাগ্রস্ত</v>
      </c>
    </row>
    <row r="228">
      <c r="A228" s="2" t="s">
        <v>3357</v>
      </c>
      <c r="B228" s="3" t="str">
        <f>IFERROR(__xludf.DUMMYFUNCTION("GOOGLETRANSLATE(A228, ""ar"", ""bn"")"),"ফাঁদ")</f>
        <v>ফাঁদ</v>
      </c>
    </row>
    <row r="229">
      <c r="A229" s="2" t="s">
        <v>3357</v>
      </c>
      <c r="B229" s="3" t="str">
        <f>IFERROR(__xludf.DUMMYFUNCTION("GOOGLETRANSLATE(A229, ""ar"", ""bn"")"),"ফাঁদ")</f>
        <v>ফাঁদ</v>
      </c>
    </row>
    <row r="230">
      <c r="A230" s="2" t="s">
        <v>3358</v>
      </c>
      <c r="B230" s="3" t="str">
        <f>IFERROR(__xludf.DUMMYFUNCTION("GOOGLETRANSLATE(A230, ""ar"", ""bn"")"),"তারা আক্রমন করার জন্য চেষ্টা করছিলেন")</f>
        <v>তারা আক্রমন করার জন্য চেষ্টা করছিলেন</v>
      </c>
    </row>
    <row r="231">
      <c r="A231" s="2" t="s">
        <v>3359</v>
      </c>
      <c r="B231" s="3" t="str">
        <f>IFERROR(__xludf.DUMMYFUNCTION("GOOGLETRANSLATE(A231, ""ar"", ""bn"")"),"গোপন স্থানে সৈন্যদের")</f>
        <v>গোপন স্থানে সৈন্যদের</v>
      </c>
    </row>
    <row r="232">
      <c r="A232" s="2" t="s">
        <v>3360</v>
      </c>
      <c r="B232" s="3" t="str">
        <f>IFERROR(__xludf.DUMMYFUNCTION("GOOGLETRANSLATE(A232, ""ar"", ""bn"")"),"Ambushing")</f>
        <v>Ambushing</v>
      </c>
    </row>
    <row r="233">
      <c r="A233" s="2" t="s">
        <v>3361</v>
      </c>
      <c r="B233" s="3" t="str">
        <f>IFERROR(__xludf.DUMMYFUNCTION("GOOGLETRANSLATE(A233, ""ar"", ""bn"")"),"ভুল")</f>
        <v>ভুল</v>
      </c>
    </row>
    <row r="234">
      <c r="A234" s="2" t="s">
        <v>3362</v>
      </c>
      <c r="B234" s="3" t="str">
        <f>IFERROR(__xludf.DUMMYFUNCTION("GOOGLETRANSLATE(A234, ""ar"", ""bn"")"),"অনৈতিক")</f>
        <v>অনৈতিক</v>
      </c>
    </row>
    <row r="235">
      <c r="A235" s="2" t="s">
        <v>3363</v>
      </c>
      <c r="B235" s="3" t="str">
        <f>IFERROR(__xludf.DUMMYFUNCTION("GOOGLETRANSLATE(A235, ""ar"", ""bn"")"),"নীতিহীনতা")</f>
        <v>নীতিহীনতা</v>
      </c>
    </row>
    <row r="236">
      <c r="A236" s="2" t="s">
        <v>3364</v>
      </c>
      <c r="B236" s="3" t="str">
        <f>IFERROR(__xludf.DUMMYFUNCTION("GOOGLETRANSLATE(A236, ""ar"", ""bn"")"),"অঙ্গচ্ছেদ")</f>
        <v>অঙ্গচ্ছেদ</v>
      </c>
    </row>
    <row r="237">
      <c r="A237" s="2" t="s">
        <v>3365</v>
      </c>
      <c r="B237" s="3" t="str">
        <f>IFERROR(__xludf.DUMMYFUNCTION("GOOGLETRANSLATE(A237, ""ar"", ""bn"")"),"পুচ্ছহীন")</f>
        <v>পুচ্ছহীন</v>
      </c>
    </row>
    <row r="238">
      <c r="A238" s="2" t="s">
        <v>237</v>
      </c>
      <c r="B238" s="3" t="str">
        <f>IFERROR(__xludf.DUMMYFUNCTION("GOOGLETRANSLATE(A238, ""ar"", ""bn"")"),"বিশৃঙ্খল")</f>
        <v>বিশৃঙ্খল</v>
      </c>
    </row>
    <row r="239">
      <c r="A239" s="2" t="s">
        <v>3366</v>
      </c>
      <c r="B239" s="3" t="str">
        <f>IFERROR(__xludf.DUMMYFUNCTION("GOOGLETRANSLATE(A239, ""ar"", ""bn"")"),"নৈরাজ্যবাদ")</f>
        <v>নৈরাজ্যবাদ</v>
      </c>
    </row>
    <row r="240">
      <c r="A240" s="2" t="s">
        <v>3367</v>
      </c>
      <c r="B240" s="3" t="str">
        <f>IFERROR(__xludf.DUMMYFUNCTION("GOOGLETRANSLATE(A240, ""ar"", ""bn"")"),"নৈরাজ্যবাদীরা")</f>
        <v>নৈরাজ্যবাদীরা</v>
      </c>
    </row>
    <row r="241">
      <c r="A241" s="2" t="s">
        <v>239</v>
      </c>
      <c r="B241" s="3" t="str">
        <f>IFERROR(__xludf.DUMMYFUNCTION("GOOGLETRANSLATE(A241, ""ar"", ""bn"")"),"বিশৃঙ্খলা")</f>
        <v>বিশৃঙ্খলা</v>
      </c>
    </row>
    <row r="242">
      <c r="A242" s="2" t="s">
        <v>3368</v>
      </c>
      <c r="B242" s="3" t="str">
        <f>IFERROR(__xludf.DUMMYFUNCTION("GOOGLETRANSLATE(A242, ""ar"", ""bn"")"),"রাগ")</f>
        <v>রাগ</v>
      </c>
    </row>
    <row r="243">
      <c r="A243" s="2" t="s">
        <v>3368</v>
      </c>
      <c r="B243" s="3" t="str">
        <f>IFERROR(__xludf.DUMMYFUNCTION("GOOGLETRANSLATE(A243, ""ar"", ""bn"")"),"রাগ")</f>
        <v>রাগ</v>
      </c>
    </row>
    <row r="244">
      <c r="A244" s="2" t="s">
        <v>3369</v>
      </c>
      <c r="B244" s="3" t="str">
        <f>IFERROR(__xludf.DUMMYFUNCTION("GOOGLETRANSLATE(A244, ""ar"", ""bn"")"),"রাগানোর")</f>
        <v>রাগানোর</v>
      </c>
    </row>
    <row r="245">
      <c r="A245" s="2" t="s">
        <v>3370</v>
      </c>
      <c r="B245" s="3" t="str">
        <f>IFERROR(__xludf.DUMMYFUNCTION("GOOGLETRANSLATE(A245, ""ar"", ""bn"")"),"রাগ করা")</f>
        <v>রাগ করা</v>
      </c>
    </row>
    <row r="246">
      <c r="A246" s="2" t="s">
        <v>3371</v>
      </c>
      <c r="B246" s="3" t="str">
        <f>IFERROR(__xludf.DUMMYFUNCTION("GOOGLETRANSLATE(A246, ""ar"", ""bn"")"),"রাগ")</f>
        <v>রাগ</v>
      </c>
    </row>
    <row r="247">
      <c r="A247" s="2" t="s">
        <v>3372</v>
      </c>
      <c r="B247" s="3" t="str">
        <f>IFERROR(__xludf.DUMMYFUNCTION("GOOGLETRANSLATE(A247, ""ar"", ""bn"")"),"সবচেয়ে অগ্নিশর্মা")</f>
        <v>সবচেয়ে অগ্নিশর্মা</v>
      </c>
    </row>
    <row r="248">
      <c r="A248" s="2" t="s">
        <v>3373</v>
      </c>
      <c r="B248" s="3" t="str">
        <f>IFERROR(__xludf.DUMMYFUNCTION("GOOGLETRANSLATE(A248, ""ar"", ""bn"")"),"ক্রুদ্ধ")</f>
        <v>ক্রুদ্ধ</v>
      </c>
    </row>
    <row r="249">
      <c r="A249" s="2" t="s">
        <v>3374</v>
      </c>
      <c r="B249" s="3" t="str">
        <f>IFERROR(__xludf.DUMMYFUNCTION("GOOGLETRANSLATE(A249, ""ar"", ""bn"")"),"ক্রুদ্ধ")</f>
        <v>ক্রুদ্ধ</v>
      </c>
    </row>
    <row r="250">
      <c r="A250" s="2" t="s">
        <v>3375</v>
      </c>
      <c r="B250" s="3" t="str">
        <f>IFERROR(__xludf.DUMMYFUNCTION("GOOGLETRANSLATE(A250, ""ar"", ""bn"")"),"মর্মপীড়া")</f>
        <v>মর্মপীড়া</v>
      </c>
    </row>
    <row r="251">
      <c r="A251" s="2" t="s">
        <v>3311</v>
      </c>
      <c r="B251" s="3" t="str">
        <f>IFERROR(__xludf.DUMMYFUNCTION("GOOGLETRANSLATE(A251, ""ar"", ""bn"")"),"পীড়িত")</f>
        <v>পীড়িত</v>
      </c>
    </row>
    <row r="252">
      <c r="A252" s="2" t="s">
        <v>3376</v>
      </c>
      <c r="B252" s="3" t="str">
        <f>IFERROR(__xludf.DUMMYFUNCTION("GOOGLETRANSLATE(A252, ""ar"", ""bn"")"),"কিছু শাস্তি আছে")</f>
        <v>কিছু শাস্তি আছে</v>
      </c>
    </row>
    <row r="253">
      <c r="A253" s="2" t="s">
        <v>3377</v>
      </c>
      <c r="B253" s="3" t="str">
        <f>IFERROR(__xludf.DUMMYFUNCTION("GOOGLETRANSLATE(A253, ""ar"", ""bn"")"),"চর")</f>
        <v>চর</v>
      </c>
    </row>
    <row r="254">
      <c r="A254" s="2" t="s">
        <v>3378</v>
      </c>
      <c r="B254" s="3" t="str">
        <f>IFERROR(__xludf.DUMMYFUNCTION("GOOGLETRANSLATE(A254, ""ar"", ""bn"")"),"অধিকার")</f>
        <v>অধিকার</v>
      </c>
    </row>
    <row r="255">
      <c r="A255" s="2" t="s">
        <v>3379</v>
      </c>
      <c r="B255" s="3" t="str">
        <f>IFERROR(__xludf.DUMMYFUNCTION("GOOGLETRANSLATE(A255, ""ar"", ""bn"")"),"বিলুপ্ত")</f>
        <v>বিলুপ্ত</v>
      </c>
    </row>
    <row r="256">
      <c r="A256" s="2" t="s">
        <v>3380</v>
      </c>
      <c r="B256" s="3" t="str">
        <f>IFERROR(__xludf.DUMMYFUNCTION("GOOGLETRANSLATE(A256, ""ar"", ""bn"")"),"ব্যয়")</f>
        <v>ব্যয়</v>
      </c>
    </row>
    <row r="257">
      <c r="A257" s="2" t="s">
        <v>3381</v>
      </c>
      <c r="B257" s="3" t="str">
        <f>IFERROR(__xludf.DUMMYFUNCTION("GOOGLETRANSLATE(A257, ""ar"", ""bn"")"),"উন্মূলন")</f>
        <v>উন্মূলন</v>
      </c>
    </row>
    <row r="258">
      <c r="A258" s="2" t="s">
        <v>3368</v>
      </c>
      <c r="B258" s="3" t="str">
        <f>IFERROR(__xludf.DUMMYFUNCTION("GOOGLETRANSLATE(A258, ""ar"", ""bn"")"),"রাগ")</f>
        <v>রাগ</v>
      </c>
    </row>
    <row r="259">
      <c r="A259" s="2" t="s">
        <v>3382</v>
      </c>
      <c r="B259" s="3" t="str">
        <f>IFERROR(__xludf.DUMMYFUNCTION("GOOGLETRANSLATE(A259, ""ar"", ""bn"")"),"ঝগড়া")</f>
        <v>ঝগড়া</v>
      </c>
    </row>
    <row r="260">
      <c r="A260" s="2" t="s">
        <v>3383</v>
      </c>
      <c r="B260" s="3" t="str">
        <f>IFERROR(__xludf.DUMMYFUNCTION("GOOGLETRANSLATE(A260, ""ar"", ""bn"")"),"হয়রানি")</f>
        <v>হয়রানি</v>
      </c>
    </row>
    <row r="261">
      <c r="A261" s="2" t="s">
        <v>3384</v>
      </c>
      <c r="B261" s="3" t="str">
        <f>IFERROR(__xludf.DUMMYFUNCTION("GOOGLETRANSLATE(A261, ""ar"", ""bn"")"),"মর্মাহত")</f>
        <v>মর্মাহত</v>
      </c>
    </row>
    <row r="262">
      <c r="A262" s="2" t="s">
        <v>3385</v>
      </c>
      <c r="B262" s="3" t="str">
        <f>IFERROR(__xludf.DUMMYFUNCTION("GOOGLETRANSLATE(A262, ""ar"", ""bn"")"),"কষ্টকর")</f>
        <v>কষ্টকর</v>
      </c>
    </row>
    <row r="263">
      <c r="A263" s="2" t="s">
        <v>3386</v>
      </c>
      <c r="B263" s="3" t="str">
        <f>IFERROR(__xludf.DUMMYFUNCTION("GOOGLETRANSLATE(A263, ""ar"", ""bn"")"),"বিরক্তিকর")</f>
        <v>বিরক্তিকর</v>
      </c>
    </row>
    <row r="264">
      <c r="A264" s="2" t="s">
        <v>3386</v>
      </c>
      <c r="B264" s="3" t="str">
        <f>IFERROR(__xludf.DUMMYFUNCTION("GOOGLETRANSLATE(A264, ""ar"", ""bn"")"),"বিরক্তিকর")</f>
        <v>বিরক্তিকর</v>
      </c>
    </row>
    <row r="265">
      <c r="A265" s="2" t="s">
        <v>3387</v>
      </c>
      <c r="B265" s="3" t="str">
        <f>IFERROR(__xludf.DUMMYFUNCTION("GOOGLETRANSLATE(A265, ""ar"", ""bn"")"),"মাথা ঘামান")</f>
        <v>মাথা ঘামান</v>
      </c>
    </row>
    <row r="266">
      <c r="A266" s="2" t="s">
        <v>3388</v>
      </c>
      <c r="B266" s="3" t="str">
        <f>IFERROR(__xludf.DUMMYFUNCTION("GOOGLETRANSLATE(A266, ""ar"", ""bn"")"),"অস্বাভাবিকরকমে")</f>
        <v>অস্বাভাবিকরকমে</v>
      </c>
    </row>
    <row r="267">
      <c r="A267" s="2" t="s">
        <v>3389</v>
      </c>
      <c r="B267" s="3" t="str">
        <f>IFERROR(__xludf.DUMMYFUNCTION("GOOGLETRANSLATE(A267, ""ar"", ""bn"")"),"হঠাৎ")</f>
        <v>হঠাৎ</v>
      </c>
    </row>
    <row r="268">
      <c r="A268" s="2" t="s">
        <v>3181</v>
      </c>
      <c r="B268" s="3" t="str">
        <f>IFERROR(__xludf.DUMMYFUNCTION("GOOGLETRANSLATE(A268, ""ar"", ""bn"")"),"অস্বাভাবিকতা")</f>
        <v>অস্বাভাবিকতা</v>
      </c>
    </row>
    <row r="269">
      <c r="A269" s="2" t="s">
        <v>3390</v>
      </c>
      <c r="B269" s="3" t="str">
        <f>IFERROR(__xludf.DUMMYFUNCTION("GOOGLETRANSLATE(A269, ""ar"", ""bn"")"),"Antagonizing")</f>
        <v>Antagonizing</v>
      </c>
    </row>
    <row r="270">
      <c r="A270" s="2" t="s">
        <v>3377</v>
      </c>
      <c r="B270" s="3" t="str">
        <f>IFERROR(__xludf.DUMMYFUNCTION("GOOGLETRANSLATE(A270, ""ar"", ""bn"")"),"চর")</f>
        <v>চর</v>
      </c>
    </row>
    <row r="271">
      <c r="A271" s="2" t="s">
        <v>3390</v>
      </c>
      <c r="B271" s="3" t="str">
        <f>IFERROR(__xludf.DUMMYFUNCTION("GOOGLETRANSLATE(A271, ""ar"", ""bn"")"),"Antagonizing")</f>
        <v>Antagonizing</v>
      </c>
    </row>
    <row r="272">
      <c r="A272" s="2" t="s">
        <v>3391</v>
      </c>
      <c r="B272" s="3" t="str">
        <f>IFERROR(__xludf.DUMMYFUNCTION("GOOGLETRANSLATE(A272, ""ar"", ""bn"")"),"antibiosis")</f>
        <v>antibiosis</v>
      </c>
    </row>
    <row r="273">
      <c r="A273" s="2" t="s">
        <v>3392</v>
      </c>
      <c r="B273" s="3" t="str">
        <f>IFERROR(__xludf.DUMMYFUNCTION("GOOGLETRANSLATE(A273, ""ar"", ""bn"")"),"যুদ্ধবিগ্রহ")</f>
        <v>যুদ্ধবিগ্রহ</v>
      </c>
    </row>
    <row r="274">
      <c r="A274" s="2" t="s">
        <v>3274</v>
      </c>
      <c r="B274" s="3" t="str">
        <f>IFERROR(__xludf.DUMMYFUNCTION("GOOGLETRANSLATE(A274, ""ar"", ""bn"")"),"ডিসকাউন্ট")</f>
        <v>ডিসকাউন্ট</v>
      </c>
    </row>
    <row r="275">
      <c r="A275" s="2" t="s">
        <v>3393</v>
      </c>
      <c r="B275" s="3" t="str">
        <f>IFERROR(__xludf.DUMMYFUNCTION("GOOGLETRANSLATE(A275, ""ar"", ""bn"")"),"এপয়েন্টমেন্ট")</f>
        <v>এপয়েন্টমেন্ট</v>
      </c>
    </row>
    <row r="276">
      <c r="A276" s="2" t="s">
        <v>3273</v>
      </c>
      <c r="B276" s="3" t="str">
        <f>IFERROR(__xludf.DUMMYFUNCTION("GOOGLETRANSLATE(A276, ""ar"", ""bn"")"),"দায়")</f>
        <v>দায়</v>
      </c>
    </row>
    <row r="277">
      <c r="A277" s="2" t="s">
        <v>3394</v>
      </c>
      <c r="B277" s="3" t="str">
        <f>IFERROR(__xludf.DUMMYFUNCTION("GOOGLETRANSLATE(A277, ""ar"", ""bn"")"),"ঘৃণা")</f>
        <v>ঘৃণা</v>
      </c>
    </row>
    <row r="278">
      <c r="A278" s="2" t="s">
        <v>3395</v>
      </c>
      <c r="B278" s="3" t="str">
        <f>IFERROR(__xludf.DUMMYFUNCTION("GOOGLETRANSLATE(A278, ""ar"", ""bn"")"),"পুরাতন")</f>
        <v>পুরাতন</v>
      </c>
    </row>
    <row r="279">
      <c r="A279" s="2" t="s">
        <v>3396</v>
      </c>
      <c r="B279" s="3" t="str">
        <f>IFERROR(__xludf.DUMMYFUNCTION("GOOGLETRANSLATE(A279, ""ar"", ""bn"")"),"এন্টি-একাধিকার")</f>
        <v>এন্টি-একাধিকার</v>
      </c>
    </row>
    <row r="280">
      <c r="A280" s="2" t="s">
        <v>3397</v>
      </c>
      <c r="B280" s="3" t="str">
        <f>IFERROR(__xludf.DUMMYFUNCTION("GOOGLETRANSLATE(A280, ""ar"", ""bn"")"),"উদ্বেগ")</f>
        <v>উদ্বেগ</v>
      </c>
    </row>
    <row r="281">
      <c r="A281" s="2" t="s">
        <v>3324</v>
      </c>
      <c r="B281" s="3" t="str">
        <f>IFERROR(__xludf.DUMMYFUNCTION("GOOGLETRANSLATE(A281, ""ar"", ""bn"")"),"উদ্বেগ")</f>
        <v>উদ্বেগ</v>
      </c>
    </row>
    <row r="282">
      <c r="A282" s="2" t="s">
        <v>3324</v>
      </c>
      <c r="B282" s="3" t="str">
        <f>IFERROR(__xludf.DUMMYFUNCTION("GOOGLETRANSLATE(A282, ""ar"", ""bn"")"),"উদ্বেগ")</f>
        <v>উদ্বেগ</v>
      </c>
    </row>
    <row r="283">
      <c r="A283" s="2" t="s">
        <v>3398</v>
      </c>
      <c r="B283" s="3" t="str">
        <f>IFERROR(__xludf.DUMMYFUNCTION("GOOGLETRANSLATE(A283, ""ar"", ""bn"")"),"জোরে")</f>
        <v>জোরে</v>
      </c>
    </row>
    <row r="284">
      <c r="A284" s="2" t="s">
        <v>3399</v>
      </c>
      <c r="B284" s="3" t="str">
        <f>IFERROR(__xludf.DUMMYFUNCTION("GOOGLETRANSLATE(A284, ""ar"", ""bn"")"),"উদাসী")</f>
        <v>উদাসী</v>
      </c>
    </row>
    <row r="285">
      <c r="A285" s="2" t="s">
        <v>3400</v>
      </c>
      <c r="B285" s="3" t="str">
        <f>IFERROR(__xludf.DUMMYFUNCTION("GOOGLETRANSLATE(A285, ""ar"", ""bn"")"),"অযত্ন")</f>
        <v>অযত্ন</v>
      </c>
    </row>
    <row r="286">
      <c r="A286" s="2" t="s">
        <v>3401</v>
      </c>
      <c r="B286" s="3" t="str">
        <f>IFERROR(__xludf.DUMMYFUNCTION("GOOGLETRANSLATE(A286, ""ar"", ""bn"")"),"ভূত")</f>
        <v>ভূত</v>
      </c>
    </row>
    <row r="287">
      <c r="A287" s="2" t="s">
        <v>3402</v>
      </c>
      <c r="B287" s="3" t="str">
        <f>IFERROR(__xludf.DUMMYFUNCTION("GOOGLETRANSLATE(A287, ""ar"", ""bn"")"),"জঘন্য")</f>
        <v>জঘন্য</v>
      </c>
    </row>
    <row r="288">
      <c r="A288" s="2" t="s">
        <v>3403</v>
      </c>
      <c r="B288" s="3" t="str">
        <f>IFERROR(__xludf.DUMMYFUNCTION("GOOGLETRANSLATE(A288, ""ar"", ""bn"")"),"Appallingly")</f>
        <v>Appallingly</v>
      </c>
    </row>
    <row r="289">
      <c r="A289" s="2" t="s">
        <v>705</v>
      </c>
      <c r="B289" s="3" t="str">
        <f>IFERROR(__xludf.DUMMYFUNCTION("GOOGLETRANSLATE(A289, ""ar"", ""bn"")"),"গ্রেফতার")</f>
        <v>গ্রেফতার</v>
      </c>
    </row>
    <row r="290">
      <c r="A290" s="2" t="s">
        <v>3328</v>
      </c>
      <c r="B290" s="3" t="str">
        <f>IFERROR(__xludf.DUMMYFUNCTION("GOOGLETRANSLATE(A290, ""ar"", ""bn"")"),"ভয়")</f>
        <v>ভয়</v>
      </c>
    </row>
    <row r="291">
      <c r="A291" s="2" t="s">
        <v>3324</v>
      </c>
      <c r="B291" s="3" t="str">
        <f>IFERROR(__xludf.DUMMYFUNCTION("GOOGLETRANSLATE(A291, ""ar"", ""bn"")"),"উদ্বেগ")</f>
        <v>উদ্বেগ</v>
      </c>
    </row>
    <row r="292">
      <c r="A292" s="2" t="s">
        <v>3404</v>
      </c>
      <c r="B292" s="3" t="str">
        <f>IFERROR(__xludf.DUMMYFUNCTION("GOOGLETRANSLATE(A292, ""ar"", ""bn"")"),"উদ্বেগ")</f>
        <v>উদ্বেগ</v>
      </c>
    </row>
    <row r="293">
      <c r="A293" s="2" t="s">
        <v>705</v>
      </c>
      <c r="B293" s="3" t="str">
        <f>IFERROR(__xludf.DUMMYFUNCTION("GOOGLETRANSLATE(A293, ""ar"", ""bn"")"),"গ্রেফতার")</f>
        <v>গ্রেফতার</v>
      </c>
    </row>
    <row r="294">
      <c r="A294" s="2" t="s">
        <v>3328</v>
      </c>
      <c r="B294" s="3" t="str">
        <f>IFERROR(__xludf.DUMMYFUNCTION("GOOGLETRANSLATE(A294, ""ar"", ""bn"")"),"ভয়")</f>
        <v>ভয়</v>
      </c>
    </row>
    <row r="295">
      <c r="A295" s="2" t="s">
        <v>3324</v>
      </c>
      <c r="B295" s="3" t="str">
        <f>IFERROR(__xludf.DUMMYFUNCTION("GOOGLETRANSLATE(A295, ""ar"", ""bn"")"),"উদ্বেগ")</f>
        <v>উদ্বেগ</v>
      </c>
    </row>
    <row r="296">
      <c r="A296" s="2" t="s">
        <v>3404</v>
      </c>
      <c r="B296" s="3" t="str">
        <f>IFERROR(__xludf.DUMMYFUNCTION("GOOGLETRANSLATE(A296, ""ar"", ""bn"")"),"উদ্বেগ")</f>
        <v>উদ্বেগ</v>
      </c>
    </row>
    <row r="297">
      <c r="A297" s="2" t="s">
        <v>3405</v>
      </c>
      <c r="B297" s="3" t="str">
        <f>IFERROR(__xludf.DUMMYFUNCTION("GOOGLETRANSLATE(A297, ""ar"", ""bn"")"),"ইচ্ছামত")</f>
        <v>ইচ্ছামত</v>
      </c>
    </row>
    <row r="298">
      <c r="A298" s="2" t="s">
        <v>3406</v>
      </c>
      <c r="B298" s="3" t="str">
        <f>IFERROR(__xludf.DUMMYFUNCTION("GOOGLETRANSLATE(A298, ""ar"", ""bn"")"),"কঠিন")</f>
        <v>কঠিন</v>
      </c>
    </row>
    <row r="299">
      <c r="A299" s="2" t="s">
        <v>3407</v>
      </c>
      <c r="B299" s="3" t="str">
        <f>IFERROR(__xludf.DUMMYFUNCTION("GOOGLETRANSLATE(A299, ""ar"", ""bn"")"),"তর্কযোগ্য")</f>
        <v>তর্কযোগ্য</v>
      </c>
    </row>
    <row r="300">
      <c r="A300" s="2" t="s">
        <v>3408</v>
      </c>
      <c r="B300" s="3" t="str">
        <f>IFERROR(__xludf.DUMMYFUNCTION("GOOGLETRANSLATE(A300, ""ar"", ""bn"")"),"তুমি বলতে পারো")</f>
        <v>তুমি বলতে পারো</v>
      </c>
    </row>
    <row r="301">
      <c r="A301" s="2" t="s">
        <v>3409</v>
      </c>
      <c r="B301" s="3" t="str">
        <f>IFERROR(__xludf.DUMMYFUNCTION("GOOGLETRANSLATE(A301, ""ar"", ""bn"")"),"তর্ক করা")</f>
        <v>তর্ক করা</v>
      </c>
    </row>
    <row r="302">
      <c r="A302" s="2" t="s">
        <v>3410</v>
      </c>
      <c r="B302" s="3" t="str">
        <f>IFERROR(__xludf.DUMMYFUNCTION("GOOGLETRANSLATE(A302, ""ar"", ""bn"")"),"তর্ক করা")</f>
        <v>তর্ক করা</v>
      </c>
    </row>
    <row r="303">
      <c r="A303" s="2" t="s">
        <v>3411</v>
      </c>
      <c r="B303" s="3" t="str">
        <f>IFERROR(__xludf.DUMMYFUNCTION("GOOGLETRANSLATE(A303, ""ar"", ""bn"")"),"polemicist")</f>
        <v>polemicist</v>
      </c>
    </row>
    <row r="304">
      <c r="A304" s="2" t="s">
        <v>3412</v>
      </c>
      <c r="B304" s="3" t="str">
        <f>IFERROR(__xludf.DUMMYFUNCTION("GOOGLETRANSLATE(A304, ""ar"", ""bn"")"),"Arguers")</f>
        <v>Arguers</v>
      </c>
    </row>
    <row r="305">
      <c r="A305" s="2" t="s">
        <v>3413</v>
      </c>
      <c r="B305" s="3" t="str">
        <f>IFERROR(__xludf.DUMMYFUNCTION("GOOGLETRANSLATE(A305, ""ar"", ""bn"")"),"যুক্তি")</f>
        <v>যুক্তি</v>
      </c>
    </row>
    <row r="306">
      <c r="A306" s="2" t="s">
        <v>3414</v>
      </c>
      <c r="B306" s="3" t="str">
        <f>IFERROR(__xludf.DUMMYFUNCTION("GOOGLETRANSLATE(A306, ""ar"", ""bn"")"),"বিতর্ক")</f>
        <v>বিতর্ক</v>
      </c>
    </row>
    <row r="307">
      <c r="A307" s="2" t="s">
        <v>3415</v>
      </c>
      <c r="B307" s="3" t="str">
        <f>IFERROR(__xludf.DUMMYFUNCTION("GOOGLETRANSLATE(A307, ""ar"", ""bn"")"),"যুক্তি")</f>
        <v>যুক্তি</v>
      </c>
    </row>
    <row r="308">
      <c r="A308" s="2" t="s">
        <v>3416</v>
      </c>
      <c r="B308" s="3" t="str">
        <f>IFERROR(__xludf.DUMMYFUNCTION("GOOGLETRANSLATE(A308, ""ar"", ""bn"")"),"সনির্বন্ধ মিনতি")</f>
        <v>সনির্বন্ধ মিনতি</v>
      </c>
    </row>
    <row r="309">
      <c r="A309" s="2" t="s">
        <v>3417</v>
      </c>
      <c r="B309" s="3" t="str">
        <f>IFERROR(__xludf.DUMMYFUNCTION("GOOGLETRANSLATE(A309, ""ar"", ""bn"")"),"বিতর্কমূলক")</f>
        <v>বিতর্কমূলক</v>
      </c>
    </row>
    <row r="310">
      <c r="A310" s="2" t="s">
        <v>3418</v>
      </c>
      <c r="B310" s="3" t="str">
        <f>IFERROR(__xludf.DUMMYFUNCTION("GOOGLETRANSLATE(A310, ""ar"", ""bn"")"),"যুক্তি")</f>
        <v>যুক্তি</v>
      </c>
    </row>
    <row r="311">
      <c r="A311" s="2" t="s">
        <v>3419</v>
      </c>
      <c r="B311" s="3" t="str">
        <f>IFERROR(__xludf.DUMMYFUNCTION("GOOGLETRANSLATE(A311, ""ar"", ""bn"")"),"সার্জেণ্ট")</f>
        <v>সার্জেণ্ট</v>
      </c>
    </row>
    <row r="312">
      <c r="A312" s="2" t="s">
        <v>3420</v>
      </c>
      <c r="B312" s="3" t="str">
        <f>IFERROR(__xludf.DUMMYFUNCTION("GOOGLETRANSLATE(A312, ""ar"", ""bn"")"),"দাম্ভিকতা")</f>
        <v>দাম্ভিকতা</v>
      </c>
    </row>
    <row r="313">
      <c r="A313" s="2" t="s">
        <v>3421</v>
      </c>
      <c r="B313" s="3" t="str">
        <f>IFERROR(__xludf.DUMMYFUNCTION("GOOGLETRANSLATE(A313, ""ar"", ""bn"")"),"অহংকারী")</f>
        <v>অহংকারী</v>
      </c>
    </row>
    <row r="314">
      <c r="A314" s="2" t="s">
        <v>3422</v>
      </c>
      <c r="B314" s="3" t="str">
        <f>IFERROR(__xludf.DUMMYFUNCTION("GOOGLETRANSLATE(A314, ""ar"", ""bn"")"),"ক্রীড়াচ্ছলে")</f>
        <v>ক্রীড়াচ্ছলে</v>
      </c>
    </row>
    <row r="315">
      <c r="A315" s="2" t="s">
        <v>3423</v>
      </c>
      <c r="B315" s="3" t="str">
        <f>IFERROR(__xludf.DUMMYFUNCTION("GOOGLETRANSLATE(A315, ""ar"", ""bn"")"),"কৃত্রিম")</f>
        <v>কৃত্রিম</v>
      </c>
    </row>
    <row r="316">
      <c r="A316" s="2" t="s">
        <v>3424</v>
      </c>
      <c r="B316" s="3" t="str">
        <f>IFERROR(__xludf.DUMMYFUNCTION("GOOGLETRANSLATE(A316, ""ar"", ""bn"")"),"মিথ্যা কথা")</f>
        <v>মিথ্যা কথা</v>
      </c>
    </row>
    <row r="317">
      <c r="A317" s="2" t="s">
        <v>3423</v>
      </c>
      <c r="B317" s="3" t="str">
        <f>IFERROR(__xludf.DUMMYFUNCTION("GOOGLETRANSLATE(A317, ""ar"", ""bn"")"),"কৃত্রিম")</f>
        <v>কৃত্রিম</v>
      </c>
    </row>
    <row r="318">
      <c r="A318" s="2" t="s">
        <v>3425</v>
      </c>
      <c r="B318" s="3" t="str">
        <f>IFERROR(__xludf.DUMMYFUNCTION("GOOGLETRANSLATE(A318, ""ar"", ""bn"")"),"লজ্জিত")</f>
        <v>লজ্জিত</v>
      </c>
    </row>
    <row r="319">
      <c r="A319" s="2" t="s">
        <v>3425</v>
      </c>
      <c r="B319" s="3" t="str">
        <f>IFERROR(__xludf.DUMMYFUNCTION("GOOGLETRANSLATE(A319, ""ar"", ""bn"")"),"লজ্জিত")</f>
        <v>লজ্জিত</v>
      </c>
    </row>
    <row r="320">
      <c r="A320" s="2" t="s">
        <v>3426</v>
      </c>
      <c r="B320" s="3" t="str">
        <f>IFERROR(__xludf.DUMMYFUNCTION("GOOGLETRANSLATE(A320, ""ar"", ""bn"")"),"পায়ী")</f>
        <v>পায়ী</v>
      </c>
    </row>
    <row r="321">
      <c r="A321" s="2" t="s">
        <v>3427</v>
      </c>
      <c r="B321" s="3" t="str">
        <f>IFERROR(__xludf.DUMMYFUNCTION("GOOGLETRANSLATE(A321, ""ar"", ""bn"")"),"oversteer")</f>
        <v>oversteer</v>
      </c>
    </row>
    <row r="322">
      <c r="A322" s="2" t="s">
        <v>3428</v>
      </c>
      <c r="B322" s="3" t="str">
        <f>IFERROR(__xludf.DUMMYFUNCTION("GOOGLETRANSLATE(A322, ""ar"", ""bn"")"),"আক্রমণসাধ্য")</f>
        <v>আক্রমণসাধ্য</v>
      </c>
    </row>
    <row r="323">
      <c r="A323" s="2" t="s">
        <v>3429</v>
      </c>
      <c r="B323" s="3" t="str">
        <f>IFERROR(__xludf.DUMMYFUNCTION("GOOGLETRANSLATE(A323, ""ar"", ""bn"")"),"আক্রমণকারী")</f>
        <v>আক্রমণকারী</v>
      </c>
    </row>
    <row r="324">
      <c r="A324" s="2" t="s">
        <v>3430</v>
      </c>
      <c r="B324" s="3" t="str">
        <f>IFERROR(__xludf.DUMMYFUNCTION("GOOGLETRANSLATE(A324, ""ar"", ""bn"")"),"সম্মুখে")</f>
        <v>সম্মুখে</v>
      </c>
    </row>
    <row r="325">
      <c r="A325" s="2" t="s">
        <v>3431</v>
      </c>
      <c r="B325" s="3" t="str">
        <f>IFERROR(__xludf.DUMMYFUNCTION("GOOGLETRANSLATE(A325, ""ar"", ""bn"")"),"আক্রমণ")</f>
        <v>আক্রমণ</v>
      </c>
    </row>
    <row r="326">
      <c r="A326" s="2" t="s">
        <v>3432</v>
      </c>
      <c r="B326" s="3" t="str">
        <f>IFERROR(__xludf.DUMMYFUNCTION("GOOGLETRANSLATE(A326, ""ar"", ""bn"")"),"হামলা")</f>
        <v>হামলা</v>
      </c>
    </row>
    <row r="327">
      <c r="A327" s="2" t="s">
        <v>3433</v>
      </c>
      <c r="B327" s="3" t="str">
        <f>IFERROR(__xludf.DUMMYFUNCTION("GOOGLETRANSLATE(A327, ""ar"", ""bn"")"),"Assails")</f>
        <v>Assails</v>
      </c>
    </row>
    <row r="328">
      <c r="A328" s="2" t="s">
        <v>3434</v>
      </c>
      <c r="B328" s="3" t="str">
        <f>IFERROR(__xludf.DUMMYFUNCTION("GOOGLETRANSLATE(A328, ""ar"", ""bn"")"),"হত্যাকারী")</f>
        <v>হত্যাকারী</v>
      </c>
    </row>
    <row r="329">
      <c r="A329" s="2" t="s">
        <v>3435</v>
      </c>
      <c r="B329" s="3" t="str">
        <f>IFERROR(__xludf.DUMMYFUNCTION("GOOGLETRANSLATE(A329, ""ar"", ""bn"")"),"গুপ্তহত্যা")</f>
        <v>গুপ্তহত্যা</v>
      </c>
    </row>
    <row r="330">
      <c r="A330" s="2" t="s">
        <v>3436</v>
      </c>
      <c r="B330" s="3" t="str">
        <f>IFERROR(__xludf.DUMMYFUNCTION("GOOGLETRANSLATE(A330, ""ar"", ""bn"")"),"গুপ্তহত্যা করা")</f>
        <v>গুপ্তহত্যা করা</v>
      </c>
    </row>
    <row r="331">
      <c r="A331" s="2" t="s">
        <v>3435</v>
      </c>
      <c r="B331" s="3" t="str">
        <f>IFERROR(__xludf.DUMMYFUNCTION("GOOGLETRANSLATE(A331, ""ar"", ""bn"")"),"গুপ্তহত্যা")</f>
        <v>গুপ্তহত্যা</v>
      </c>
    </row>
    <row r="332">
      <c r="A332" s="2" t="s">
        <v>3437</v>
      </c>
      <c r="B332" s="3" t="str">
        <f>IFERROR(__xludf.DUMMYFUNCTION("GOOGLETRANSLATE(A332, ""ar"", ""bn"")"),"হত্যা")</f>
        <v>হত্যা</v>
      </c>
    </row>
    <row r="333">
      <c r="A333" s="2" t="s">
        <v>3438</v>
      </c>
      <c r="B333" s="3" t="str">
        <f>IFERROR(__xludf.DUMMYFUNCTION("GOOGLETRANSLATE(A333, ""ar"", ""bn"")"),"গুপ্তহত্যা")</f>
        <v>গুপ্তহত্যা</v>
      </c>
    </row>
    <row r="334">
      <c r="A334" s="2" t="s">
        <v>3439</v>
      </c>
      <c r="B334" s="3" t="str">
        <f>IFERROR(__xludf.DUMMYFUNCTION("GOOGLETRANSLATE(A334, ""ar"", ""bn"")"),"হত্যাকারি")</f>
        <v>হত্যাকারি</v>
      </c>
    </row>
    <row r="335">
      <c r="A335" s="2" t="s">
        <v>3440</v>
      </c>
      <c r="B335" s="3" t="str">
        <f>IFERROR(__xludf.DUMMYFUNCTION("GOOGLETRANSLATE(A335, ""ar"", ""bn"")"),"হামলা")</f>
        <v>হামলা</v>
      </c>
    </row>
    <row r="336">
      <c r="A336" s="2" t="s">
        <v>3440</v>
      </c>
      <c r="B336" s="3" t="str">
        <f>IFERROR(__xludf.DUMMYFUNCTION("GOOGLETRANSLATE(A336, ""ar"", ""bn"")"),"হামলা")</f>
        <v>হামলা</v>
      </c>
    </row>
    <row r="337">
      <c r="A337" s="2" t="s">
        <v>3217</v>
      </c>
      <c r="B337" s="3" t="str">
        <f>IFERROR(__xludf.DUMMYFUNCTION("GOOGLETRANSLATE(A337, ""ar"", ""bn"")"),"হামলা")</f>
        <v>হামলা</v>
      </c>
    </row>
    <row r="338">
      <c r="A338" s="2" t="s">
        <v>3293</v>
      </c>
      <c r="B338" s="3" t="str">
        <f>IFERROR(__xludf.DUMMYFUNCTION("GOOGLETRANSLATE(A338, ""ar"", ""bn"")"),"আক্রমন")</f>
        <v>আক্রমন</v>
      </c>
    </row>
    <row r="339">
      <c r="A339" s="2" t="s">
        <v>3441</v>
      </c>
      <c r="B339" s="3" t="str">
        <f>IFERROR(__xludf.DUMMYFUNCTION("GOOGLETRANSLATE(A339, ""ar"", ""bn"")"),"বিপথে")</f>
        <v>বিপথে</v>
      </c>
    </row>
    <row r="340">
      <c r="A340" s="2" t="s">
        <v>3442</v>
      </c>
      <c r="B340" s="3" t="str">
        <f>IFERROR(__xludf.DUMMYFUNCTION("GOOGLETRANSLATE(A340, ""ar"", ""bn"")"),"পরস্পর বিচ্ছিন্ন হইয়া")</f>
        <v>পরস্পর বিচ্ছিন্ন হইয়া</v>
      </c>
    </row>
    <row r="341">
      <c r="A341" s="2" t="s">
        <v>3443</v>
      </c>
      <c r="B341" s="3" t="str">
        <f>IFERROR(__xludf.DUMMYFUNCTION("GOOGLETRANSLATE(A341, ""ar"", ""bn"")"),"ভয়ঙ্কর")</f>
        <v>ভয়ঙ্কর</v>
      </c>
    </row>
    <row r="342">
      <c r="A342" s="2" t="s">
        <v>3443</v>
      </c>
      <c r="B342" s="3" t="str">
        <f>IFERROR(__xludf.DUMMYFUNCTION("GOOGLETRANSLATE(A342, ""ar"", ""bn"")"),"ভয়ঙ্কর")</f>
        <v>ভয়ঙ্কর</v>
      </c>
    </row>
    <row r="343">
      <c r="A343" s="2" t="s">
        <v>3444</v>
      </c>
      <c r="B343" s="3" t="str">
        <f>IFERROR(__xludf.DUMMYFUNCTION("GOOGLETRANSLATE(A343, ""ar"", ""bn"")"),"ক্ষয়িষ্ণুতা")</f>
        <v>ক্ষয়িষ্ণুতা</v>
      </c>
    </row>
    <row r="344">
      <c r="A344" s="2" t="s">
        <v>3445</v>
      </c>
      <c r="B344" s="3" t="str">
        <f>IFERROR(__xludf.DUMMYFUNCTION("GOOGLETRANSLATE(A344, ""ar"", ""bn"")"),"ক্ষয়িষ্ণুতা")</f>
        <v>ক্ষয়িষ্ণুতা</v>
      </c>
    </row>
    <row r="345">
      <c r="A345" s="2" t="s">
        <v>3446</v>
      </c>
      <c r="B345" s="3" t="str">
        <f>IFERROR(__xludf.DUMMYFUNCTION("GOOGLETRANSLATE(A345, ""ar"", ""bn"")"),"আক্রমণ")</f>
        <v>আক্রমণ</v>
      </c>
    </row>
    <row r="346">
      <c r="A346" s="2" t="s">
        <v>3431</v>
      </c>
      <c r="B346" s="3" t="str">
        <f>IFERROR(__xludf.DUMMYFUNCTION("GOOGLETRANSLATE(A346, ""ar"", ""bn"")"),"আক্রমণ")</f>
        <v>আক্রমণ</v>
      </c>
    </row>
    <row r="347">
      <c r="A347" s="2" t="s">
        <v>3429</v>
      </c>
      <c r="B347" s="3" t="str">
        <f>IFERROR(__xludf.DUMMYFUNCTION("GOOGLETRANSLATE(A347, ""ar"", ""bn"")"),"আক্রমণকারী")</f>
        <v>আক্রমণকারী</v>
      </c>
    </row>
    <row r="348">
      <c r="A348" s="2" t="s">
        <v>3447</v>
      </c>
      <c r="B348" s="3" t="str">
        <f>IFERROR(__xludf.DUMMYFUNCTION("GOOGLETRANSLATE(A348, ""ar"", ""bn"")"),"আক্রমণকারীরা")</f>
        <v>আক্রমণকারীরা</v>
      </c>
    </row>
    <row r="349">
      <c r="A349" s="2" t="s">
        <v>3448</v>
      </c>
      <c r="B349" s="3" t="str">
        <f>IFERROR(__xludf.DUMMYFUNCTION("GOOGLETRANSLATE(A349, ""ar"", ""bn"")"),"আক্রমণ")</f>
        <v>আক্রমণ</v>
      </c>
    </row>
    <row r="350">
      <c r="A350" s="2" t="s">
        <v>3449</v>
      </c>
      <c r="B350" s="3" t="str">
        <f>IFERROR(__xludf.DUMMYFUNCTION("GOOGLETRANSLATE(A350, ""ar"", ""bn"")"),"আক্রমন")</f>
        <v>আক্রমন</v>
      </c>
    </row>
    <row r="351">
      <c r="A351" s="2" t="s">
        <v>3450</v>
      </c>
      <c r="B351" s="3" t="str">
        <f>IFERROR(__xludf.DUMMYFUNCTION("GOOGLETRANSLATE(A351, ""ar"", ""bn"")"),"যথাযথ")</f>
        <v>যথাযথ</v>
      </c>
    </row>
    <row r="352">
      <c r="A352" s="2" t="s">
        <v>304</v>
      </c>
      <c r="B352" s="3" t="str">
        <f>IFERROR(__xludf.DUMMYFUNCTION("GOOGLETRANSLATE(A352, ""ar"", ""bn"")"),"কঠোরতা")</f>
        <v>কঠোরতা</v>
      </c>
    </row>
    <row r="353">
      <c r="A353" s="2" t="s">
        <v>3451</v>
      </c>
      <c r="B353" s="3" t="str">
        <f>IFERROR(__xludf.DUMMYFUNCTION("GOOGLETRANSLATE(A353, ""ar"", ""bn"")"),"অত্যাচারী")</f>
        <v>অত্যাচারী</v>
      </c>
    </row>
    <row r="354">
      <c r="A354" s="2" t="s">
        <v>3452</v>
      </c>
      <c r="B354" s="3" t="str">
        <f>IFERROR(__xludf.DUMMYFUNCTION("GOOGLETRANSLATE(A354, ""ar"", ""bn"")"),"অত্যাচারী")</f>
        <v>অত্যাচারী</v>
      </c>
    </row>
    <row r="355">
      <c r="A355" s="2" t="s">
        <v>3453</v>
      </c>
      <c r="B355" s="3" t="str">
        <f>IFERROR(__xludf.DUMMYFUNCTION("GOOGLETRANSLATE(A355, ""ar"", ""bn"")"),"Autocratically")</f>
        <v>Autocratically</v>
      </c>
    </row>
    <row r="356">
      <c r="A356" s="2" t="s">
        <v>3454</v>
      </c>
      <c r="B356" s="3" t="str">
        <f>IFERROR(__xludf.DUMMYFUNCTION("GOOGLETRANSLATE(A356, ""ar"", ""bn"")"),"স্বৈরশাসক")</f>
        <v>স্বৈরশাসক</v>
      </c>
    </row>
    <row r="357">
      <c r="A357" s="2" t="s">
        <v>3452</v>
      </c>
      <c r="B357" s="3" t="str">
        <f>IFERROR(__xludf.DUMMYFUNCTION("GOOGLETRANSLATE(A357, ""ar"", ""bn"")"),"অত্যাচারী")</f>
        <v>অত্যাচারী</v>
      </c>
    </row>
    <row r="358">
      <c r="A358" s="2" t="s">
        <v>3453</v>
      </c>
      <c r="B358" s="3" t="str">
        <f>IFERROR(__xludf.DUMMYFUNCTION("GOOGLETRANSLATE(A358, ""ar"", ""bn"")"),"Autocratically")</f>
        <v>Autocratically</v>
      </c>
    </row>
    <row r="359">
      <c r="A359" s="2" t="s">
        <v>3455</v>
      </c>
      <c r="B359" s="3" t="str">
        <f>IFERROR(__xludf.DUMMYFUNCTION("GOOGLETRANSLATE(A359, ""ar"", ""bn"")"),"ক্ষুধা")</f>
        <v>ক্ষুধা</v>
      </c>
    </row>
    <row r="360">
      <c r="A360" s="2" t="s">
        <v>3455</v>
      </c>
      <c r="B360" s="3" t="str">
        <f>IFERROR(__xludf.DUMMYFUNCTION("GOOGLETRANSLATE(A360, ""ar"", ""bn"")"),"ক্ষুধা")</f>
        <v>ক্ষুধা</v>
      </c>
    </row>
    <row r="361">
      <c r="A361" s="2" t="s">
        <v>3456</v>
      </c>
      <c r="B361" s="3" t="str">
        <f>IFERROR(__xludf.DUMMYFUNCTION("GOOGLETRANSLATE(A361, ""ar"", ""bn"")"),"ক্ষুধা")</f>
        <v>ক্ষুধা</v>
      </c>
    </row>
    <row r="362">
      <c r="A362" s="2" t="s">
        <v>3457</v>
      </c>
      <c r="B362" s="3" t="str">
        <f>IFERROR(__xludf.DUMMYFUNCTION("GOOGLETRANSLATE(A362, ""ar"", ""bn"")"),"প্রতিশোধ")</f>
        <v>প্রতিশোধ</v>
      </c>
    </row>
    <row r="363">
      <c r="A363" s="2" t="s">
        <v>3458</v>
      </c>
      <c r="B363" s="3" t="str">
        <f>IFERROR(__xludf.DUMMYFUNCTION("GOOGLETRANSLATE(A363, ""ar"", ""bn"")"),"প্রতিশোধ")</f>
        <v>প্রতিশোধ</v>
      </c>
    </row>
    <row r="364">
      <c r="A364" s="2" t="s">
        <v>3459</v>
      </c>
      <c r="B364" s="3" t="str">
        <f>IFERROR(__xludf.DUMMYFUNCTION("GOOGLETRANSLATE(A364, ""ar"", ""bn"")"),"যে ব্যক্তি প্রতিহিংসা গ্রহণ করে")</f>
        <v>যে ব্যক্তি প্রতিহিংসা গ্রহণ করে</v>
      </c>
    </row>
    <row r="365">
      <c r="A365" s="2" t="s">
        <v>3460</v>
      </c>
      <c r="B365" s="3" t="str">
        <f>IFERROR(__xludf.DUMMYFUNCTION("GOOGLETRANSLATE(A365, ""ar"", ""bn"")"),"প্রতিশোধ পরায়ণ ব্যক্তি")</f>
        <v>প্রতিশোধ পরায়ণ ব্যক্তি</v>
      </c>
    </row>
    <row r="366">
      <c r="A366" s="2" t="s">
        <v>3461</v>
      </c>
      <c r="B366" s="3" t="str">
        <f>IFERROR(__xludf.DUMMYFUNCTION("GOOGLETRANSLATE(A366, ""ar"", ""bn"")"),"প্রতিশোধ")</f>
        <v>প্রতিশোধ</v>
      </c>
    </row>
    <row r="367">
      <c r="A367" s="2" t="s">
        <v>3335</v>
      </c>
      <c r="B367" s="3" t="str">
        <f>IFERROR(__xludf.DUMMYFUNCTION("GOOGLETRANSLATE(A367, ""ar"", ""bn"")"),"বিরাগ")</f>
        <v>বিরাগ</v>
      </c>
    </row>
    <row r="368">
      <c r="A368" s="2" t="s">
        <v>3462</v>
      </c>
      <c r="B368" s="3" t="str">
        <f>IFERROR(__xludf.DUMMYFUNCTION("GOOGLETRANSLATE(A368, ""ar"", ""bn"")"),"বিকর্ষণ")</f>
        <v>বিকর্ষণ</v>
      </c>
    </row>
    <row r="369">
      <c r="A369" s="2" t="s">
        <v>3463</v>
      </c>
      <c r="B369" s="3" t="str">
        <f>IFERROR(__xludf.DUMMYFUNCTION("GOOGLETRANSLATE(A369, ""ar"", ""bn"")"),"জোরপূর্বক")</f>
        <v>জোরপূর্বক</v>
      </c>
    </row>
    <row r="370">
      <c r="A370" s="2" t="s">
        <v>3464</v>
      </c>
      <c r="B370" s="3" t="str">
        <f>IFERROR(__xludf.DUMMYFUNCTION("GOOGLETRANSLATE(A370, ""ar"", ""bn"")"),"এড়ানোর")</f>
        <v>এড়ানোর</v>
      </c>
    </row>
    <row r="371">
      <c r="A371" s="2" t="s">
        <v>3464</v>
      </c>
      <c r="B371" s="3" t="str">
        <f>IFERROR(__xludf.DUMMYFUNCTION("GOOGLETRANSLATE(A371, ""ar"", ""bn"")"),"এড়ানোর")</f>
        <v>এড়ানোর</v>
      </c>
    </row>
    <row r="372">
      <c r="A372" s="2" t="s">
        <v>3465</v>
      </c>
      <c r="B372" s="3" t="str">
        <f>IFERROR(__xludf.DUMMYFUNCTION("GOOGLETRANSLATE(A372, ""ar"", ""bn"")"),"এড়ানোর")</f>
        <v>এড়ানোর</v>
      </c>
    </row>
    <row r="373">
      <c r="A373" s="2" t="s">
        <v>3466</v>
      </c>
      <c r="B373" s="3" t="str">
        <f>IFERROR(__xludf.DUMMYFUNCTION("GOOGLETRANSLATE(A373, ""ar"", ""bn"")"),"আটকান আঘাত")</f>
        <v>আটকান আঘাত</v>
      </c>
    </row>
    <row r="374">
      <c r="A374" s="2" t="s">
        <v>3464</v>
      </c>
      <c r="B374" s="3" t="str">
        <f>IFERROR(__xludf.DUMMYFUNCTION("GOOGLETRANSLATE(A374, ""ar"", ""bn"")"),"এড়ানোর")</f>
        <v>এড়ানোর</v>
      </c>
    </row>
    <row r="375">
      <c r="A375" s="2" t="s">
        <v>3467</v>
      </c>
      <c r="B375" s="3" t="str">
        <f>IFERROR(__xludf.DUMMYFUNCTION("GOOGLETRANSLATE(A375, ""ar"", ""bn"")"),"এড়ানো যায়")</f>
        <v>এড়ানো যায়</v>
      </c>
    </row>
    <row r="376">
      <c r="A376" s="2" t="s">
        <v>3464</v>
      </c>
      <c r="B376" s="3" t="str">
        <f>IFERROR(__xludf.DUMMYFUNCTION("GOOGLETRANSLATE(A376, ""ar"", ""bn"")"),"এড়ানোর")</f>
        <v>এড়ানোর</v>
      </c>
    </row>
    <row r="377">
      <c r="A377" s="2" t="s">
        <v>3464</v>
      </c>
      <c r="B377" s="3" t="str">
        <f>IFERROR(__xludf.DUMMYFUNCTION("GOOGLETRANSLATE(A377, ""ar"", ""bn"")"),"এড়ানোর")</f>
        <v>এড়ানোর</v>
      </c>
    </row>
    <row r="378">
      <c r="A378" s="2" t="s">
        <v>3464</v>
      </c>
      <c r="B378" s="3" t="str">
        <f>IFERROR(__xludf.DUMMYFUNCTION("GOOGLETRANSLATE(A378, ""ar"", ""bn"")"),"এড়ানোর")</f>
        <v>এড়ানোর</v>
      </c>
    </row>
    <row r="379">
      <c r="A379" s="2" t="s">
        <v>3468</v>
      </c>
      <c r="B379" s="3" t="str">
        <f>IFERROR(__xludf.DUMMYFUNCTION("GOOGLETRANSLATE(A379, ""ar"", ""bn"")"),"এড়াতে")</f>
        <v>এড়াতে</v>
      </c>
    </row>
    <row r="380">
      <c r="A380" s="2" t="s">
        <v>3469</v>
      </c>
      <c r="B380" s="3" t="str">
        <f>IFERROR(__xludf.DUMMYFUNCTION("GOOGLETRANSLATE(A380, ""ar"", ""bn"")"),"ভয়ের")</f>
        <v>ভয়ের</v>
      </c>
    </row>
    <row r="381">
      <c r="A381" s="2" t="s">
        <v>3470</v>
      </c>
      <c r="B381" s="3" t="str">
        <f>IFERROR(__xludf.DUMMYFUNCTION("GOOGLETRANSLATE(A381, ""ar"", ""bn"")"),"অতিশয়")</f>
        <v>অতিশয়</v>
      </c>
    </row>
    <row r="382">
      <c r="A382" s="2" t="s">
        <v>3471</v>
      </c>
      <c r="B382" s="3" t="str">
        <f>IFERROR(__xludf.DUMMYFUNCTION("GOOGLETRANSLATE(A382, ""ar"", ""bn"")"),"ভয়")</f>
        <v>ভয়</v>
      </c>
    </row>
    <row r="383">
      <c r="A383" s="2" t="s">
        <v>3472</v>
      </c>
      <c r="B383" s="3" t="str">
        <f>IFERROR(__xludf.DUMMYFUNCTION("GOOGLETRANSLATE(A383, ""ar"", ""bn"")"),"অনুপযুক্ত")</f>
        <v>অনুপযুক্ত</v>
      </c>
    </row>
    <row r="384">
      <c r="A384" s="2" t="s">
        <v>3473</v>
      </c>
      <c r="B384" s="3" t="str">
        <f>IFERROR(__xludf.DUMMYFUNCTION("GOOGLETRANSLATE(A384, ""ar"", ""bn"")"),"awkwardly")</f>
        <v>awkwardly</v>
      </c>
    </row>
    <row r="385">
      <c r="A385" s="2" t="s">
        <v>3474</v>
      </c>
      <c r="B385" s="3" t="str">
        <f>IFERROR(__xludf.DUMMYFUNCTION("GOOGLETRANSLATE(A385, ""ar"", ""bn"")"),"সংকটপূর্ণ")</f>
        <v>সংকটপূর্ণ</v>
      </c>
    </row>
    <row r="386">
      <c r="A386" s="2" t="s">
        <v>3475</v>
      </c>
      <c r="B386" s="3" t="str">
        <f>IFERROR(__xludf.DUMMYFUNCTION("GOOGLETRANSLATE(A386, ""ar"", ""bn"")"),"চ্যাট")</f>
        <v>চ্যাট</v>
      </c>
    </row>
    <row r="387">
      <c r="A387" s="2" t="s">
        <v>3476</v>
      </c>
      <c r="B387" s="3" t="str">
        <f>IFERROR(__xludf.DUMMYFUNCTION("GOOGLETRANSLATE(A387, ""ar"", ""bn"")"),"অস্পষ্ট আত্তয়াজ করা")</f>
        <v>অস্পষ্ট আত্তয়াজ করা</v>
      </c>
    </row>
    <row r="388">
      <c r="A388" s="2" t="s">
        <v>3477</v>
      </c>
      <c r="B388" s="3" t="str">
        <f>IFERROR(__xludf.DUMMYFUNCTION("GOOGLETRANSLATE(A388, ""ar"", ""bn"")"),"ফচকে")</f>
        <v>ফচকে</v>
      </c>
    </row>
    <row r="389">
      <c r="A389" s="2" t="s">
        <v>3478</v>
      </c>
      <c r="B389" s="3" t="str">
        <f>IFERROR(__xludf.DUMMYFUNCTION("GOOGLETRANSLATE(A389, ""ar"", ""bn"")"),"Jabbering")</f>
        <v>Jabbering</v>
      </c>
    </row>
    <row r="390">
      <c r="A390" s="2" t="s">
        <v>3479</v>
      </c>
      <c r="B390" s="3" t="str">
        <f>IFERROR(__xludf.DUMMYFUNCTION("GOOGLETRANSLATE(A390, ""ar"", ""bn"")"),"চিতকার")</f>
        <v>চিতকার</v>
      </c>
    </row>
    <row r="391">
      <c r="A391" s="2" t="s">
        <v>3480</v>
      </c>
      <c r="B391" s="3" t="str">
        <f>IFERROR(__xludf.DUMMYFUNCTION("GOOGLETRANSLATE(A391, ""ar"", ""bn"")"),"আন্ডার ডেভলপমেন্ট")</f>
        <v>আন্ডার ডেভলপমেন্ট</v>
      </c>
    </row>
    <row r="392">
      <c r="A392" s="2" t="s">
        <v>3481</v>
      </c>
      <c r="B392" s="3" t="str">
        <f>IFERROR(__xludf.DUMMYFUNCTION("GOOGLETRANSLATE(A392, ""ar"", ""bn"")"),"খারাপ")</f>
        <v>খারাপ</v>
      </c>
    </row>
    <row r="393">
      <c r="A393" s="2" t="s">
        <v>3482</v>
      </c>
      <c r="B393" s="3" t="str">
        <f>IFERROR(__xludf.DUMMYFUNCTION("GOOGLETRANSLATE(A393, ""ar"", ""bn"")"),"বার্লি চাল")</f>
        <v>বার্লি চাল</v>
      </c>
    </row>
    <row r="394">
      <c r="A394" s="2" t="s">
        <v>3483</v>
      </c>
      <c r="B394" s="3" t="str">
        <f>IFERROR(__xludf.DUMMYFUNCTION("GOOGLETRANSLATE(A394, ""ar"", ""bn"")"),"বড়ে")</f>
        <v>বড়ে</v>
      </c>
    </row>
    <row r="395">
      <c r="A395" s="2" t="s">
        <v>3484</v>
      </c>
      <c r="B395" s="3" t="str">
        <f>IFERROR(__xludf.DUMMYFUNCTION("GOOGLETRANSLATE(A395, ""ar"", ""bn"")"),"বদর")</f>
        <v>বদর</v>
      </c>
    </row>
    <row r="396">
      <c r="A396" s="2" t="s">
        <v>3485</v>
      </c>
      <c r="B396" s="3" t="str">
        <f>IFERROR(__xludf.DUMMYFUNCTION("GOOGLETRANSLATE(A396, ""ar"", ""bn"")"),"ব্যাজ")</f>
        <v>ব্যাজ</v>
      </c>
    </row>
    <row r="397">
      <c r="A397" s="2" t="s">
        <v>3486</v>
      </c>
      <c r="B397" s="3" t="str">
        <f>IFERROR(__xludf.DUMMYFUNCTION("GOOGLETRANSLATE(A397, ""ar"", ""bn"")"),"বিন্দু")</f>
        <v>বিন্দু</v>
      </c>
    </row>
    <row r="398">
      <c r="A398" s="2" t="s">
        <v>3487</v>
      </c>
      <c r="B398" s="3" t="str">
        <f>IFERROR(__xludf.DUMMYFUNCTION("GOOGLETRANSLATE(A398, ""ar"", ""bn"")"),"ব্যাজার")</f>
        <v>ব্যাজার</v>
      </c>
    </row>
    <row r="399">
      <c r="A399" s="2" t="s">
        <v>3488</v>
      </c>
      <c r="B399" s="3" t="str">
        <f>IFERROR(__xludf.DUMMYFUNCTION("GOOGLETRANSLATE(A399, ""ar"", ""bn"")"),"তাড়ন")</f>
        <v>তাড়ন</v>
      </c>
    </row>
    <row r="400">
      <c r="A400" s="2" t="s">
        <v>3489</v>
      </c>
      <c r="B400" s="3" t="str">
        <f>IFERROR(__xludf.DUMMYFUNCTION("GOOGLETRANSLATE(A400, ""ar"", ""bn"")"),"হয়রানি")</f>
        <v>হয়রানি</v>
      </c>
    </row>
    <row r="401">
      <c r="A401" s="2" t="s">
        <v>3490</v>
      </c>
      <c r="B401" s="3" t="str">
        <f>IFERROR(__xludf.DUMMYFUNCTION("GOOGLETRANSLATE(A401, ""ar"", ""bn"")"),"আল Ghurair")</f>
        <v>আল Ghurair</v>
      </c>
    </row>
    <row r="402">
      <c r="A402" s="2" t="s">
        <v>3491</v>
      </c>
      <c r="B402" s="3" t="str">
        <f>IFERROR(__xludf.DUMMYFUNCTION("GOOGLETRANSLATE(A402, ""ar"", ""bn"")"),"ব্যাজ")</f>
        <v>ব্যাজ</v>
      </c>
    </row>
    <row r="403">
      <c r="A403" s="2" t="s">
        <v>3492</v>
      </c>
      <c r="B403" s="3" t="str">
        <f>IFERROR(__xludf.DUMMYFUNCTION("GOOGLETRANSLATE(A403, ""ar"", ""bn"")"),"দুষ্টুমি")</f>
        <v>দুষ্টুমি</v>
      </c>
    </row>
    <row r="404">
      <c r="A404" s="2" t="s">
        <v>3493</v>
      </c>
      <c r="B404" s="3" t="str">
        <f>IFERROR(__xludf.DUMMYFUNCTION("GOOGLETRANSLATE(A404, ""ar"", ""bn"")"),"মোটামুটি")</f>
        <v>মোটামুটি</v>
      </c>
    </row>
    <row r="405">
      <c r="A405" s="2" t="s">
        <v>3494</v>
      </c>
      <c r="B405" s="3" t="str">
        <f>IFERROR(__xludf.DUMMYFUNCTION("GOOGLETRANSLATE(A405, ""ar"", ""bn"")"),"একটি খারাপ পদ্ধতিতে")</f>
        <v>একটি খারাপ পদ্ধতিতে</v>
      </c>
    </row>
    <row r="406">
      <c r="A406" s="2" t="s">
        <v>3495</v>
      </c>
      <c r="B406" s="3" t="str">
        <f>IFERROR(__xludf.DUMMYFUNCTION("GOOGLETRANSLATE(A406, ""ar"", ""bn"")"),"ব্যাড্মিন্টন-খেলা")</f>
        <v>ব্যাড্মিন্টন-খেলা</v>
      </c>
    </row>
    <row r="407">
      <c r="A407" s="2" t="s">
        <v>3496</v>
      </c>
      <c r="B407" s="3" t="str">
        <f>IFERROR(__xludf.DUMMYFUNCTION("GOOGLETRANSLATE(A407, ""ar"", ""bn"")"),"আক্রোশ")</f>
        <v>আক্রোশ</v>
      </c>
    </row>
    <row r="408">
      <c r="A408" s="2" t="s">
        <v>3494</v>
      </c>
      <c r="B408" s="3" t="str">
        <f>IFERROR(__xludf.DUMMYFUNCTION("GOOGLETRANSLATE(A408, ""ar"", ""bn"")"),"একটি খারাপ পদ্ধতিতে")</f>
        <v>একটি খারাপ পদ্ধতিতে</v>
      </c>
    </row>
    <row r="409">
      <c r="A409" s="2" t="s">
        <v>3496</v>
      </c>
      <c r="B409" s="3" t="str">
        <f>IFERROR(__xludf.DUMMYFUNCTION("GOOGLETRANSLATE(A409, ""ar"", ""bn"")"),"আক্রোশ")</f>
        <v>আক্রোশ</v>
      </c>
    </row>
    <row r="410">
      <c r="A410" s="2" t="s">
        <v>3497</v>
      </c>
      <c r="B410" s="3" t="str">
        <f>IFERROR(__xludf.DUMMYFUNCTION("GOOGLETRANSLATE(A410, ""ar"", ""bn"")"),"বিশৃঙ্খলা")</f>
        <v>বিশৃঙ্খলা</v>
      </c>
    </row>
    <row r="411">
      <c r="A411" s="2" t="s">
        <v>3498</v>
      </c>
      <c r="B411" s="3" t="str">
        <f>IFERROR(__xludf.DUMMYFUNCTION("GOOGLETRANSLATE(A411, ""ar"", ""bn"")"),"বিভ্রান্ত")</f>
        <v>বিভ্রান্ত</v>
      </c>
    </row>
    <row r="412">
      <c r="A412" s="2" t="s">
        <v>3499</v>
      </c>
      <c r="B412" s="3" t="str">
        <f>IFERROR(__xludf.DUMMYFUNCTION("GOOGLETRANSLATE(A412, ""ar"", ""bn"")"),"বিশৃঙ্খলা")</f>
        <v>বিশৃঙ্খলা</v>
      </c>
    </row>
    <row r="413">
      <c r="A413" s="2" t="s">
        <v>3500</v>
      </c>
      <c r="B413" s="3" t="str">
        <f>IFERROR(__xludf.DUMMYFUNCTION("GOOGLETRANSLATE(A413, ""ar"", ""bn"")"),"বিভ্রান্তিকর")</f>
        <v>বিভ্রান্তিকর</v>
      </c>
    </row>
    <row r="414">
      <c r="A414" s="2" t="s">
        <v>3501</v>
      </c>
      <c r="B414" s="3" t="str">
        <f>IFERROR(__xludf.DUMMYFUNCTION("GOOGLETRANSLATE(A414, ""ar"", ""bn"")"),"ধাঁধাঁর মতো")</f>
        <v>ধাঁধাঁর মতো</v>
      </c>
    </row>
    <row r="415">
      <c r="A415" s="2" t="s">
        <v>3502</v>
      </c>
      <c r="B415" s="3" t="str">
        <f>IFERROR(__xludf.DUMMYFUNCTION("GOOGLETRANSLATE(A415, ""ar"", ""bn"")"),"জামিন")</f>
        <v>জামিন</v>
      </c>
    </row>
    <row r="416">
      <c r="A416" s="2" t="s">
        <v>3503</v>
      </c>
      <c r="B416" s="3" t="str">
        <f>IFERROR(__xludf.DUMMYFUNCTION("GOOGLETRANSLATE(A416, ""ar"", ""bn"")"),"উদ্ধার")</f>
        <v>উদ্ধার</v>
      </c>
    </row>
    <row r="417">
      <c r="A417" s="2" t="s">
        <v>3504</v>
      </c>
      <c r="B417" s="3" t="str">
        <f>IFERROR(__xludf.DUMMYFUNCTION("GOOGLETRANSLATE(A417, ""ar"", ""bn"")"),"সাধ্যপাল")</f>
        <v>সাধ্যপাল</v>
      </c>
    </row>
    <row r="418">
      <c r="A418" s="2" t="s">
        <v>3505</v>
      </c>
      <c r="B418" s="3" t="str">
        <f>IFERROR(__xludf.DUMMYFUNCTION("GOOGLETRANSLATE(A418, ""ar"", ""bn"")"),"বেইলিফ")</f>
        <v>বেইলিফ</v>
      </c>
    </row>
    <row r="419">
      <c r="A419" s="2" t="s">
        <v>3506</v>
      </c>
      <c r="B419" s="3" t="str">
        <f>IFERROR(__xludf.DUMMYFUNCTION("GOOGLETRANSLATE(A419, ""ar"", ""bn"")"),"bailing")</f>
        <v>bailing</v>
      </c>
    </row>
    <row r="420">
      <c r="A420" s="2" t="s">
        <v>1173</v>
      </c>
      <c r="B420" s="3" t="str">
        <f>IFERROR(__xludf.DUMMYFUNCTION("GOOGLETRANSLATE(A420, ""ar"", ""bn"")"),"বেলিফের অধিকারভুক্ত এলাকা")</f>
        <v>বেলিফের অধিকারভুক্ত এলাকা</v>
      </c>
    </row>
    <row r="421">
      <c r="A421" s="2" t="s">
        <v>3507</v>
      </c>
      <c r="B421" s="3" t="str">
        <f>IFERROR(__xludf.DUMMYFUNCTION("GOOGLETRANSLATE(A421, ""ar"", ""bn"")"),"উদ্ধার")</f>
        <v>উদ্ধার</v>
      </c>
    </row>
    <row r="422">
      <c r="A422" s="2" t="s">
        <v>3508</v>
      </c>
      <c r="B422" s="3" t="str">
        <f>IFERROR(__xludf.DUMMYFUNCTION("GOOGLETRANSLATE(A422, ""ar"", ""bn"")"),"নিশ্চয়তা")</f>
        <v>নিশ্চয়তা</v>
      </c>
    </row>
    <row r="423">
      <c r="A423" s="2" t="s">
        <v>3509</v>
      </c>
      <c r="B423" s="3" t="str">
        <f>IFERROR(__xludf.DUMMYFUNCTION("GOOGLETRANSLATE(A423, ""ar"", ""bn"")"),"টোপ")</f>
        <v>টোপ</v>
      </c>
    </row>
    <row r="424">
      <c r="A424" s="2" t="s">
        <v>3510</v>
      </c>
      <c r="B424" s="3" t="str">
        <f>IFERROR(__xludf.DUMMYFUNCTION("GOOGLETRANSLATE(A424, ""ar"", ""bn"")"),"ফাঁদে ধরা")</f>
        <v>ফাঁদে ধরা</v>
      </c>
    </row>
    <row r="425">
      <c r="A425" s="2" t="s">
        <v>3511</v>
      </c>
      <c r="B425" s="3" t="str">
        <f>IFERROR(__xludf.DUMMYFUNCTION("GOOGLETRANSLATE(A425, ""ar"", ""bn"")"),"Baiting")</f>
        <v>Baiting</v>
      </c>
    </row>
    <row r="426">
      <c r="A426" s="2" t="s">
        <v>3512</v>
      </c>
      <c r="B426" s="3" t="str">
        <f>IFERROR(__xludf.DUMMYFUNCTION("GOOGLETRANSLATE(A426, ""ar"", ""bn"")"),"টোপ")</f>
        <v>টোপ</v>
      </c>
    </row>
    <row r="427">
      <c r="A427" s="2" t="s">
        <v>3513</v>
      </c>
      <c r="B427" s="3" t="str">
        <f>IFERROR(__xludf.DUMMYFUNCTION("GOOGLETRANSLATE(A427, ""ar"", ""bn"")"),"ছাইপাঁশ")</f>
        <v>ছাইপাঁশ</v>
      </c>
    </row>
    <row r="428">
      <c r="A428" s="2" t="s">
        <v>3514</v>
      </c>
      <c r="B428" s="3" t="str">
        <f>IFERROR(__xludf.DUMMYFUNCTION("GOOGLETRANSLATE(A428, ""ar"", ""bn"")"),"বাজে কথা")</f>
        <v>বাজে কথা</v>
      </c>
    </row>
    <row r="429">
      <c r="A429" s="2" t="s">
        <v>3515</v>
      </c>
      <c r="B429" s="3" t="str">
        <f>IFERROR(__xludf.DUMMYFUNCTION("GOOGLETRANSLATE(A429, ""ar"", ""bn"")"),"হেলাফেলা করা")</f>
        <v>হেলাফেলা করা</v>
      </c>
    </row>
    <row r="430">
      <c r="A430" s="2" t="s">
        <v>3516</v>
      </c>
      <c r="B430" s="3" t="str">
        <f>IFERROR(__xludf.DUMMYFUNCTION("GOOGLETRANSLATE(A430, ""ar"", ""bn"")"),"Trivialities")</f>
        <v>Trivialities</v>
      </c>
    </row>
    <row r="431">
      <c r="A431" s="2" t="s">
        <v>3517</v>
      </c>
      <c r="B431" s="3" t="str">
        <f>IFERROR(__xludf.DUMMYFUNCTION("GOOGLETRANSLATE(A431, ""ar"", ""bn"")"),"ক্ষুদ্রতা")</f>
        <v>ক্ষুদ্রতা</v>
      </c>
    </row>
    <row r="432">
      <c r="A432" s="2" t="s">
        <v>3518</v>
      </c>
      <c r="B432" s="3" t="str">
        <f>IFERROR(__xludf.DUMMYFUNCTION("GOOGLETRANSLATE(A432, ""ar"", ""bn"")"),"মকর")</f>
        <v>মকর</v>
      </c>
    </row>
    <row r="433">
      <c r="A433" s="2" t="s">
        <v>3519</v>
      </c>
      <c r="B433" s="3" t="str">
        <f>IFERROR(__xludf.DUMMYFUNCTION("GOOGLETRANSLATE(A433, ""ar"", ""bn"")"),"রাহাজানি")</f>
        <v>রাহাজানি</v>
      </c>
    </row>
    <row r="434">
      <c r="A434" s="2" t="s">
        <v>3520</v>
      </c>
      <c r="B434" s="3" t="str">
        <f>IFERROR(__xludf.DUMMYFUNCTION("GOOGLETRANSLATE(A434, ""ar"", ""bn"")"),"দস্যুরা")</f>
        <v>দস্যুরা</v>
      </c>
    </row>
    <row r="435">
      <c r="A435" s="2" t="s">
        <v>3521</v>
      </c>
      <c r="B435" s="3" t="str">
        <f>IFERROR(__xludf.DUMMYFUNCTION("GOOGLETRANSLATE(A435, ""ar"", ""bn"")"),"ধ্বংস")</f>
        <v>ধ্বংস</v>
      </c>
    </row>
    <row r="436">
      <c r="A436" s="2" t="s">
        <v>3522</v>
      </c>
      <c r="B436" s="3" t="str">
        <f>IFERROR(__xludf.DUMMYFUNCTION("GOOGLETRANSLATE(A436, ""ar"", ""bn"")"),"অস্বীকৃতি")</f>
        <v>অস্বীকৃতি</v>
      </c>
    </row>
    <row r="437">
      <c r="A437" s="2" t="s">
        <v>3523</v>
      </c>
      <c r="B437" s="3" t="str">
        <f>IFERROR(__xludf.DUMMYFUNCTION("GOOGLETRANSLATE(A437, ""ar"", ""bn"")"),"অস্বীকৃতি")</f>
        <v>অস্বীকৃতি</v>
      </c>
    </row>
    <row r="438">
      <c r="A438" s="2" t="s">
        <v>3524</v>
      </c>
      <c r="B438" s="3" t="str">
        <f>IFERROR(__xludf.DUMMYFUNCTION("GOOGLETRANSLATE(A438, ""ar"", ""bn"")"),"negates")</f>
        <v>negates</v>
      </c>
    </row>
    <row r="439">
      <c r="A439" s="2" t="s">
        <v>3525</v>
      </c>
      <c r="B439" s="3" t="str">
        <f>IFERROR(__xludf.DUMMYFUNCTION("GOOGLETRANSLATE(A439, ""ar"", ""bn"")"),"নির্বাসন")</f>
        <v>নির্বাসন</v>
      </c>
    </row>
    <row r="440">
      <c r="A440" s="2" t="s">
        <v>3523</v>
      </c>
      <c r="B440" s="3" t="str">
        <f>IFERROR(__xludf.DUMMYFUNCTION("GOOGLETRANSLATE(A440, ""ar"", ""bn"")"),"অস্বীকৃতি")</f>
        <v>অস্বীকৃতি</v>
      </c>
    </row>
    <row r="441">
      <c r="A441" s="2" t="s">
        <v>3526</v>
      </c>
      <c r="B441" s="3" t="str">
        <f>IFERROR(__xludf.DUMMYFUNCTION("GOOGLETRANSLATE(A441, ""ar"", ""bn"")"),"দেউলিয়া")</f>
        <v>দেউলিয়া</v>
      </c>
    </row>
    <row r="442">
      <c r="A442" s="2" t="s">
        <v>3527</v>
      </c>
      <c r="B442" s="3" t="str">
        <f>IFERROR(__xludf.DUMMYFUNCTION("GOOGLETRANSLATE(A442, ""ar"", ""bn"")"),"দেউলিয়া অবস্থা")</f>
        <v>দেউলিয়া অবস্থা</v>
      </c>
    </row>
    <row r="443">
      <c r="A443" s="2" t="s">
        <v>3528</v>
      </c>
      <c r="B443" s="3" t="str">
        <f>IFERROR(__xludf.DUMMYFUNCTION("GOOGLETRANSLATE(A443, ""ar"", ""bn"")"),"দেউলিয়া অবস্থা")</f>
        <v>দেউলিয়া অবস্থা</v>
      </c>
    </row>
    <row r="444">
      <c r="A444" s="2" t="s">
        <v>3528</v>
      </c>
      <c r="B444" s="3" t="str">
        <f>IFERROR(__xludf.DUMMYFUNCTION("GOOGLETRANSLATE(A444, ""ar"", ""bn"")"),"দেউলিয়া অবস্থা")</f>
        <v>দেউলিয়া অবস্থা</v>
      </c>
    </row>
    <row r="445">
      <c r="A445" s="2" t="s">
        <v>3528</v>
      </c>
      <c r="B445" s="3" t="str">
        <f>IFERROR(__xludf.DUMMYFUNCTION("GOOGLETRANSLATE(A445, ""ar"", ""bn"")"),"দেউলিয়া অবস্থা")</f>
        <v>দেউলিয়া অবস্থা</v>
      </c>
    </row>
    <row r="446">
      <c r="A446" s="2" t="s">
        <v>3529</v>
      </c>
      <c r="B446" s="3" t="str">
        <f>IFERROR(__xludf.DUMMYFUNCTION("GOOGLETRANSLATE(A446, ""ar"", ""bn"")"),"Bankrupts")</f>
        <v>Bankrupts</v>
      </c>
    </row>
    <row r="447">
      <c r="A447" s="2" t="s">
        <v>3530</v>
      </c>
      <c r="B447" s="3" t="str">
        <f>IFERROR(__xludf.DUMMYFUNCTION("GOOGLETRANSLATE(A447, ""ar"", ""bn"")"),"আদিম")</f>
        <v>আদিম</v>
      </c>
    </row>
    <row r="448">
      <c r="A448" s="2" t="s">
        <v>3531</v>
      </c>
      <c r="B448" s="3" t="str">
        <f>IFERROR(__xludf.DUMMYFUNCTION("GOOGLETRANSLATE(A448, ""ar"", ""bn"")"),"বর্বরদের")</f>
        <v>বর্বরদের</v>
      </c>
    </row>
    <row r="449">
      <c r="A449" s="2" t="s">
        <v>3530</v>
      </c>
      <c r="B449" s="3" t="str">
        <f>IFERROR(__xludf.DUMMYFUNCTION("GOOGLETRANSLATE(A449, ""ar"", ""bn"")"),"আদিম")</f>
        <v>আদিম</v>
      </c>
    </row>
    <row r="450">
      <c r="A450" s="2" t="s">
        <v>3532</v>
      </c>
      <c r="B450" s="3" t="str">
        <f>IFERROR(__xludf.DUMMYFUNCTION("GOOGLETRANSLATE(A450, ""ar"", ""bn"")"),"পশুত্ব")</f>
        <v>পশুত্ব</v>
      </c>
    </row>
    <row r="451">
      <c r="A451" s="2" t="s">
        <v>3533</v>
      </c>
      <c r="B451" s="3" t="str">
        <f>IFERROR(__xludf.DUMMYFUNCTION("GOOGLETRANSLATE(A451, ""ar"", ""bn"")"),"বর্বরতা")</f>
        <v>বর্বরতা</v>
      </c>
    </row>
    <row r="452">
      <c r="A452" s="2" t="s">
        <v>3534</v>
      </c>
      <c r="B452" s="3" t="str">
        <f>IFERROR(__xludf.DUMMYFUNCTION("GOOGLETRANSLATE(A452, ""ar"", ""bn"")"),"বর্বরতার")</f>
        <v>বর্বরতার</v>
      </c>
    </row>
    <row r="453">
      <c r="A453" s="2" t="s">
        <v>3535</v>
      </c>
      <c r="B453" s="3" t="str">
        <f>IFERROR(__xludf.DUMMYFUNCTION("GOOGLETRANSLATE(A453, ""ar"", ""bn"")"),"বর্বরতা")</f>
        <v>বর্বরতা</v>
      </c>
    </row>
    <row r="454">
      <c r="A454" s="2" t="s">
        <v>3536</v>
      </c>
      <c r="B454" s="3" t="str">
        <f>IFERROR(__xludf.DUMMYFUNCTION("GOOGLETRANSLATE(A454, ""ar"", ""bn"")"),"শুষ্ক")</f>
        <v>শুষ্ক</v>
      </c>
    </row>
    <row r="455">
      <c r="A455" s="2" t="s">
        <v>3536</v>
      </c>
      <c r="B455" s="3" t="str">
        <f>IFERROR(__xludf.DUMMYFUNCTION("GOOGLETRANSLATE(A455, ""ar"", ""bn"")"),"শুষ্ক")</f>
        <v>শুষ্ক</v>
      </c>
    </row>
    <row r="456">
      <c r="A456" s="2" t="s">
        <v>3537</v>
      </c>
      <c r="B456" s="3" t="str">
        <f>IFERROR(__xludf.DUMMYFUNCTION("GOOGLETRANSLATE(A456, ""ar"", ""bn"")"),"বাধা")</f>
        <v>বাধা</v>
      </c>
    </row>
    <row r="457">
      <c r="A457" s="2" t="s">
        <v>3538</v>
      </c>
      <c r="B457" s="3" t="str">
        <f>IFERROR(__xludf.DUMMYFUNCTION("GOOGLETRANSLATE(A457, ""ar"", ""bn"")"),"বাধা")</f>
        <v>বাধা</v>
      </c>
    </row>
    <row r="458">
      <c r="A458" s="2" t="s">
        <v>3539</v>
      </c>
      <c r="B458" s="3" t="str">
        <f>IFERROR(__xludf.DUMMYFUNCTION("GOOGLETRANSLATE(A458, ""ar"", ""bn"")"),"শালীন")</f>
        <v>শালীন</v>
      </c>
    </row>
    <row r="459">
      <c r="A459" s="2" t="s">
        <v>3540</v>
      </c>
      <c r="B459" s="3" t="str">
        <f>IFERROR(__xludf.DUMMYFUNCTION("GOOGLETRANSLATE(A459, ""ar"", ""bn"")"),"timidly")</f>
        <v>timidly</v>
      </c>
    </row>
    <row r="460">
      <c r="A460" s="2" t="s">
        <v>3541</v>
      </c>
      <c r="B460" s="3" t="str">
        <f>IFERROR(__xludf.DUMMYFUNCTION("GOOGLETRANSLATE(A460, ""ar"", ""bn"")"),"ব্রীড়া")</f>
        <v>ব্রীড়া</v>
      </c>
    </row>
    <row r="461">
      <c r="A461" s="2" t="s">
        <v>3542</v>
      </c>
      <c r="B461" s="3" t="str">
        <f>IFERROR(__xludf.DUMMYFUNCTION("GOOGLETRANSLATE(A461, ""ar"", ""bn"")"),"জারজ")</f>
        <v>জারজ</v>
      </c>
    </row>
    <row r="462">
      <c r="A462" s="2" t="s">
        <v>3543</v>
      </c>
      <c r="B462" s="3" t="str">
        <f>IFERROR(__xludf.DUMMYFUNCTION("GOOGLETRANSLATE(A462, ""ar"", ""bn"")"),"বেজন্মাদের")</f>
        <v>বেজন্মাদের</v>
      </c>
    </row>
    <row r="463">
      <c r="A463" s="2" t="s">
        <v>3544</v>
      </c>
      <c r="B463" s="3" t="str">
        <f>IFERROR(__xludf.DUMMYFUNCTION("GOOGLETRANSLATE(A463, ""ar"", ""bn"")"),"জারজতা")</f>
        <v>জারজতা</v>
      </c>
    </row>
    <row r="464">
      <c r="A464" s="2" t="s">
        <v>3545</v>
      </c>
      <c r="B464" s="3" t="str">
        <f>IFERROR(__xludf.DUMMYFUNCTION("GOOGLETRANSLATE(A464, ""ar"", ""bn"")"),"যুদ্ধ")</f>
        <v>যুদ্ধ</v>
      </c>
    </row>
    <row r="465">
      <c r="A465" s="2" t="s">
        <v>3546</v>
      </c>
      <c r="B465" s="3" t="str">
        <f>IFERROR(__xludf.DUMMYFUNCTION("GOOGLETRANSLATE(A465, ""ar"", ""bn"")"),"চন্দ্র")</f>
        <v>চন্দ্র</v>
      </c>
    </row>
    <row r="466">
      <c r="A466" s="2" t="s">
        <v>3547</v>
      </c>
      <c r="B466" s="3" t="str">
        <f>IFERROR(__xludf.DUMMYFUNCTION("GOOGLETRANSLATE(A466, ""ar"", ""bn"")"),"সংঘর্ষ")</f>
        <v>সংঘর্ষ</v>
      </c>
    </row>
    <row r="467">
      <c r="A467" s="2" t="s">
        <v>3548</v>
      </c>
      <c r="B467" s="3" t="str">
        <f>IFERROR(__xludf.DUMMYFUNCTION("GOOGLETRANSLATE(A467, ""ar"", ""bn"")"),"যুদ্ধক্ষেত্র")</f>
        <v>যুদ্ধক্ষেত্র</v>
      </c>
    </row>
    <row r="468">
      <c r="A468" s="2" t="s">
        <v>3549</v>
      </c>
      <c r="B468" s="3" t="str">
        <f>IFERROR(__xludf.DUMMYFUNCTION("GOOGLETRANSLATE(A468, ""ar"", ""bn"")"),"battlefields")</f>
        <v>battlefields</v>
      </c>
    </row>
    <row r="469">
      <c r="A469" s="2" t="s">
        <v>3548</v>
      </c>
      <c r="B469" s="3" t="str">
        <f>IFERROR(__xludf.DUMMYFUNCTION("GOOGLETRANSLATE(A469, ""ar"", ""bn"")"),"যুদ্ধক্ষেত্র")</f>
        <v>যুদ্ধক্ষেত্র</v>
      </c>
    </row>
    <row r="470">
      <c r="A470" s="2" t="s">
        <v>3550</v>
      </c>
      <c r="B470" s="3" t="str">
        <f>IFERROR(__xludf.DUMMYFUNCTION("GOOGLETRANSLATE(A470, ""ar"", ""bn"")"),"যুদ্ধসমূহ")</f>
        <v>যুদ্ধসমূহ</v>
      </c>
    </row>
    <row r="471">
      <c r="A471" s="2" t="s">
        <v>3551</v>
      </c>
      <c r="B471" s="3" t="str">
        <f>IFERROR(__xludf.DUMMYFUNCTION("GOOGLETRANSLATE(A471, ""ar"", ""bn"")"),"গুলি চালাইবার ছিদ্র-বিশিষ্ট প্রাচীর")</f>
        <v>গুলি চালাইবার ছিদ্র-বিশিষ্ট প্রাচীর</v>
      </c>
    </row>
    <row r="472">
      <c r="A472" s="2" t="s">
        <v>3552</v>
      </c>
      <c r="B472" s="3" t="str">
        <f>IFERROR(__xludf.DUMMYFUNCTION("GOOGLETRANSLATE(A472, ""ar"", ""bn"")"),"ব্যাটেলমেন্ট")</f>
        <v>ব্যাটেলমেন্ট</v>
      </c>
    </row>
    <row r="473">
      <c r="A473" s="2" t="s">
        <v>3553</v>
      </c>
      <c r="B473" s="3" t="str">
        <f>IFERROR(__xludf.DUMMYFUNCTION("GOOGLETRANSLATE(A473, ""ar"", ""bn"")"),"যোদ্ধা")</f>
        <v>যোদ্ধা</v>
      </c>
    </row>
    <row r="474">
      <c r="A474" s="2" t="s">
        <v>3554</v>
      </c>
      <c r="B474" s="3" t="str">
        <f>IFERROR(__xludf.DUMMYFUNCTION("GOOGLETRANSLATE(A474, ""ar"", ""bn"")"),"মুক্তিযোদ্ধার")</f>
        <v>মুক্তিযোদ্ধার</v>
      </c>
    </row>
    <row r="475">
      <c r="A475" s="2" t="s">
        <v>3550</v>
      </c>
      <c r="B475" s="3" t="str">
        <f>IFERROR(__xludf.DUMMYFUNCTION("GOOGLETRANSLATE(A475, ""ar"", ""bn"")"),"যুদ্ধসমূহ")</f>
        <v>যুদ্ধসমূহ</v>
      </c>
    </row>
    <row r="476">
      <c r="A476" s="2" t="s">
        <v>3555</v>
      </c>
      <c r="B476" s="3" t="str">
        <f>IFERROR(__xludf.DUMMYFUNCTION("GOOGLETRANSLATE(A476, ""ar"", ""bn"")"),"রণতরী")</f>
        <v>রণতরী</v>
      </c>
    </row>
    <row r="477">
      <c r="A477" s="2" t="s">
        <v>3556</v>
      </c>
      <c r="B477" s="3" t="str">
        <f>IFERROR(__xludf.DUMMYFUNCTION("GOOGLETRANSLATE(A477, ""ar"", ""bn"")"),"টি যুদ্ধের")</f>
        <v>টি যুদ্ধের</v>
      </c>
    </row>
    <row r="478">
      <c r="A478" s="2" t="s">
        <v>3184</v>
      </c>
      <c r="B478" s="3" t="str">
        <f>IFERROR(__xludf.DUMMYFUNCTION("GOOGLETRANSLATE(A478, ""ar"", ""bn"")"),"ঘৃণ্য")</f>
        <v>ঘৃণ্য</v>
      </c>
    </row>
    <row r="479">
      <c r="A479" s="2" t="s">
        <v>3557</v>
      </c>
      <c r="B479" s="3" t="str">
        <f>IFERROR(__xludf.DUMMYFUNCTION("GOOGLETRANSLATE(A479, ""ar"", ""bn"")"),"গুন")</f>
        <v>গুন</v>
      </c>
    </row>
    <row r="480">
      <c r="A480" s="2" t="s">
        <v>3558</v>
      </c>
      <c r="B480" s="3" t="str">
        <f>IFERROR(__xludf.DUMMYFUNCTION("GOOGLETRANSLATE(A480, ""ar"", ""bn"")"),"প্রহার")</f>
        <v>প্রহার</v>
      </c>
    </row>
    <row r="481">
      <c r="A481" s="2" t="s">
        <v>3559</v>
      </c>
      <c r="B481" s="3" t="str">
        <f>IFERROR(__xludf.DUMMYFUNCTION("GOOGLETRANSLATE(A481, ""ar"", ""bn"")"),"ভিক্ষা")</f>
        <v>ভিক্ষা</v>
      </c>
    </row>
    <row r="482">
      <c r="A482" s="2" t="s">
        <v>3560</v>
      </c>
      <c r="B482" s="3" t="str">
        <f>IFERROR(__xludf.DUMMYFUNCTION("GOOGLETRANSLATE(A482, ""ar"", ""bn"")"),"মনে")</f>
        <v>মনে</v>
      </c>
    </row>
    <row r="483">
      <c r="A483" s="2" t="s">
        <v>3561</v>
      </c>
      <c r="B483" s="3" t="str">
        <f>IFERROR(__xludf.DUMMYFUNCTION("GOOGLETRANSLATE(A483, ""ar"", ""bn"")"),"পিতা")</f>
        <v>পিতা</v>
      </c>
    </row>
    <row r="484">
      <c r="A484" s="2" t="s">
        <v>3562</v>
      </c>
      <c r="B484" s="3" t="str">
        <f>IFERROR(__xludf.DUMMYFUNCTION("GOOGLETRANSLATE(A484, ""ar"", ""bn"")"),"হুজুর")</f>
        <v>হুজুর</v>
      </c>
    </row>
    <row r="485">
      <c r="A485" s="2" t="s">
        <v>3563</v>
      </c>
      <c r="B485" s="3" t="str">
        <f>IFERROR(__xludf.DUMMYFUNCTION("GOOGLETRANSLATE(A485, ""ar"", ""bn"")"),"উত্পন্ন")</f>
        <v>উত্পন্ন</v>
      </c>
    </row>
    <row r="486">
      <c r="A486" s="2" t="s">
        <v>3564</v>
      </c>
      <c r="B486" s="3" t="str">
        <f>IFERROR(__xludf.DUMMYFUNCTION("GOOGLETRANSLATE(A486, ""ar"", ""bn"")"),"জন্ম দান")</f>
        <v>জন্ম দান</v>
      </c>
    </row>
    <row r="487">
      <c r="A487" s="2" t="s">
        <v>3565</v>
      </c>
      <c r="B487" s="3" t="str">
        <f>IFERROR(__xludf.DUMMYFUNCTION("GOOGLETRANSLATE(A487, ""ar"", ""bn"")"),"ভিক্ষুক")</f>
        <v>ভিক্ষুক</v>
      </c>
    </row>
    <row r="488">
      <c r="A488" s="2" t="s">
        <v>3566</v>
      </c>
      <c r="B488" s="3" t="str">
        <f>IFERROR(__xludf.DUMMYFUNCTION("GOOGLETRANSLATE(A488, ""ar"", ""bn"")"),"Impoverishing")</f>
        <v>Impoverishing</v>
      </c>
    </row>
    <row r="489">
      <c r="A489" s="2" t="s">
        <v>3567</v>
      </c>
      <c r="B489" s="3" t="str">
        <f>IFERROR(__xludf.DUMMYFUNCTION("GOOGLETRANSLATE(A489, ""ar"", ""bn"")"),"আঠাল")</f>
        <v>আঠাল</v>
      </c>
    </row>
    <row r="490">
      <c r="A490" s="2" t="s">
        <v>3568</v>
      </c>
      <c r="B490" s="3" t="str">
        <f>IFERROR(__xludf.DUMMYFUNCTION("GOOGLETRANSLATE(A490, ""ar"", ""bn"")"),"ভিক্ষুকের")</f>
        <v>ভিক্ষুকের</v>
      </c>
    </row>
    <row r="491">
      <c r="A491" s="2" t="s">
        <v>3569</v>
      </c>
      <c r="B491" s="3" t="str">
        <f>IFERROR(__xludf.DUMMYFUNCTION("GOOGLETRANSLATE(A491, ""ar"", ""bn"")"),"নি: স্বতা")</f>
        <v>নি: স্বতা</v>
      </c>
    </row>
    <row r="492">
      <c r="A492" s="2" t="s">
        <v>3570</v>
      </c>
      <c r="B492" s="3" t="str">
        <f>IFERROR(__xludf.DUMMYFUNCTION("GOOGLETRANSLATE(A492, ""ar"", ""bn"")"),"আমি begged")</f>
        <v>আমি begged</v>
      </c>
    </row>
    <row r="493">
      <c r="A493" s="2" t="s">
        <v>3571</v>
      </c>
      <c r="B493" s="3" t="str">
        <f>IFERROR(__xludf.DUMMYFUNCTION("GOOGLETRANSLATE(A493, ""ar"", ""bn"")"),"ভিক্ষা")</f>
        <v>ভিক্ষা</v>
      </c>
    </row>
    <row r="494">
      <c r="A494" s="2" t="s">
        <v>3560</v>
      </c>
      <c r="B494" s="3" t="str">
        <f>IFERROR(__xludf.DUMMYFUNCTION("GOOGLETRANSLATE(A494, ""ar"", ""bn"")"),"মনে")</f>
        <v>মনে</v>
      </c>
    </row>
    <row r="495">
      <c r="A495" s="2" t="s">
        <v>3572</v>
      </c>
      <c r="B495" s="3" t="str">
        <f>IFERROR(__xludf.DUMMYFUNCTION("GOOGLETRANSLATE(A495, ""ar"", ""bn"")"),"ছোট")</f>
        <v>ছোট</v>
      </c>
    </row>
    <row r="496">
      <c r="A496" s="2" t="s">
        <v>3573</v>
      </c>
      <c r="B496" s="3" t="str">
        <f>IFERROR(__xludf.DUMMYFUNCTION("GOOGLETRANSLATE(A496, ""ar"", ""bn"")"),"নতুনদের")</f>
        <v>নতুনদের</v>
      </c>
    </row>
    <row r="497">
      <c r="A497" s="2" t="s">
        <v>3574</v>
      </c>
      <c r="B497" s="3" t="str">
        <f>IFERROR(__xludf.DUMMYFUNCTION("GOOGLETRANSLATE(A497, ""ar"", ""bn"")"),"শুরু")</f>
        <v>শুরু</v>
      </c>
    </row>
    <row r="498">
      <c r="A498" s="2" t="s">
        <v>3575</v>
      </c>
      <c r="B498" s="3" t="str">
        <f>IFERROR(__xludf.DUMMYFUNCTION("GOOGLETRANSLATE(A498, ""ar"", ""bn"")"),"সূচনা")</f>
        <v>সূচনা</v>
      </c>
    </row>
    <row r="499">
      <c r="A499" s="2" t="s">
        <v>3576</v>
      </c>
      <c r="B499" s="3" t="str">
        <f>IFERROR(__xludf.DUMMYFUNCTION("GOOGLETRANSLATE(A499, ""ar"", ""bn"")"),"শুরু হয়")</f>
        <v>শুরু হয়</v>
      </c>
    </row>
    <row r="500">
      <c r="A500" s="2" t="s">
        <v>3577</v>
      </c>
      <c r="B500" s="3" t="str">
        <f>IFERROR(__xludf.DUMMYFUNCTION("GOOGLETRANSLATE(A500, ""ar"", ""bn"")"),"বরাবর চালানো")</f>
        <v>বরাবর চালানো</v>
      </c>
    </row>
    <row r="501">
      <c r="A501" s="2" t="s">
        <v>3578</v>
      </c>
      <c r="B501" s="3" t="str">
        <f>IFERROR(__xludf.DUMMYFUNCTION("GOOGLETRANSLATE(A501, ""ar"", ""bn"")"),"Begonias")</f>
        <v>Begonias</v>
      </c>
    </row>
    <row r="502">
      <c r="A502" s="2" t="s">
        <v>3579</v>
      </c>
      <c r="B502" s="3" t="str">
        <f>IFERROR(__xludf.DUMMYFUNCTION("GOOGLETRANSLATE(A502, ""ar"", ""bn"")"),"ছেলে")</f>
        <v>ছেলে</v>
      </c>
    </row>
    <row r="503">
      <c r="A503" s="2" t="s">
        <v>3580</v>
      </c>
      <c r="B503" s="3" t="str">
        <f>IFERROR(__xludf.DUMMYFUNCTION("GOOGLETRANSLATE(A503, ""ar"", ""bn"")"),"পয়দা করা")</f>
        <v>পয়দা করা</v>
      </c>
    </row>
    <row r="504">
      <c r="A504" s="2" t="s">
        <v>3581</v>
      </c>
      <c r="B504" s="3" t="str">
        <f>IFERROR(__xludf.DUMMYFUNCTION("GOOGLETRANSLATE(A504, ""ar"", ""bn"")"),"দ্বেষ")</f>
        <v>দ্বেষ</v>
      </c>
    </row>
    <row r="505">
      <c r="A505" s="2" t="s">
        <v>3582</v>
      </c>
      <c r="B505" s="3" t="str">
        <f>IFERROR(__xludf.DUMMYFUNCTION("GOOGLETRANSLATE(A505, ""ar"", ""bn"")"),"Begrudged")</f>
        <v>Begrudged</v>
      </c>
    </row>
    <row r="506">
      <c r="A506" s="2" t="s">
        <v>3583</v>
      </c>
      <c r="B506" s="3" t="str">
        <f>IFERROR(__xludf.DUMMYFUNCTION("GOOGLETRANSLATE(A506, ""ar"", ""bn"")"),"begrudgingly")</f>
        <v>begrudgingly</v>
      </c>
    </row>
    <row r="507">
      <c r="A507" s="2" t="s">
        <v>3584</v>
      </c>
      <c r="B507" s="3" t="str">
        <f>IFERROR(__xludf.DUMMYFUNCTION("GOOGLETRANSLATE(A507, ""ar"", ""bn"")"),"begs")</f>
        <v>begs</v>
      </c>
    </row>
    <row r="508">
      <c r="A508" s="2" t="s">
        <v>3585</v>
      </c>
      <c r="B508" s="3" t="str">
        <f>IFERROR(__xludf.DUMMYFUNCTION("GOOGLETRANSLATE(A508, ""ar"", ""bn"")"),"আমোদিত করা")</f>
        <v>আমোদিত করা</v>
      </c>
    </row>
    <row r="509">
      <c r="A509" s="2" t="s">
        <v>3586</v>
      </c>
      <c r="B509" s="3" t="str">
        <f>IFERROR(__xludf.DUMMYFUNCTION("GOOGLETRANSLATE(A509, ""ar"", ""bn"")"),"প্রতারিত")</f>
        <v>প্রতারিত</v>
      </c>
    </row>
    <row r="510">
      <c r="A510" s="2" t="s">
        <v>3587</v>
      </c>
      <c r="B510" s="3" t="str">
        <f>IFERROR(__xludf.DUMMYFUNCTION("GOOGLETRANSLATE(A510, ""ar"", ""bn"")"),"প্রতারিত")</f>
        <v>প্রতারিত</v>
      </c>
    </row>
    <row r="511">
      <c r="A511" s="2" t="s">
        <v>3588</v>
      </c>
      <c r="B511" s="3" t="str">
        <f>IFERROR(__xludf.DUMMYFUNCTION("GOOGLETRANSLATE(A511, ""ar"", ""bn"")"),"শিল্প খাত")</f>
        <v>শিল্প খাত</v>
      </c>
    </row>
    <row r="512">
      <c r="A512" s="2" t="s">
        <v>3589</v>
      </c>
      <c r="B512" s="3" t="str">
        <f>IFERROR(__xludf.DUMMYFUNCTION("GOOGLETRANSLATE(A512, ""ar"", ""bn"")"),"শুরু")</f>
        <v>শুরু</v>
      </c>
    </row>
    <row r="513">
      <c r="A513" s="2" t="s">
        <v>3565</v>
      </c>
      <c r="B513" s="3" t="str">
        <f>IFERROR(__xludf.DUMMYFUNCTION("GOOGLETRANSLATE(A513, ""ar"", ""bn"")"),"ভিক্ষুক")</f>
        <v>ভিক্ষুক</v>
      </c>
    </row>
    <row r="514">
      <c r="A514" s="2" t="s">
        <v>3566</v>
      </c>
      <c r="B514" s="3" t="str">
        <f>IFERROR(__xludf.DUMMYFUNCTION("GOOGLETRANSLATE(A514, ""ar"", ""bn"")"),"Impoverishing")</f>
        <v>Impoverishing</v>
      </c>
    </row>
    <row r="515">
      <c r="A515" s="2" t="s">
        <v>3567</v>
      </c>
      <c r="B515" s="3" t="str">
        <f>IFERROR(__xludf.DUMMYFUNCTION("GOOGLETRANSLATE(A515, ""ar"", ""bn"")"),"আঠাল")</f>
        <v>আঠাল</v>
      </c>
    </row>
    <row r="516">
      <c r="A516" s="2" t="s">
        <v>3568</v>
      </c>
      <c r="B516" s="3" t="str">
        <f>IFERROR(__xludf.DUMMYFUNCTION("GOOGLETRANSLATE(A516, ""ar"", ""bn"")"),"ভিক্ষুকের")</f>
        <v>ভিক্ষুকের</v>
      </c>
    </row>
    <row r="517">
      <c r="A517" s="2" t="s">
        <v>3569</v>
      </c>
      <c r="B517" s="3" t="str">
        <f>IFERROR(__xludf.DUMMYFUNCTION("GOOGLETRANSLATE(A517, ""ar"", ""bn"")"),"নি: স্বতা")</f>
        <v>নি: স্বতা</v>
      </c>
    </row>
    <row r="518">
      <c r="A518" s="2" t="s">
        <v>3590</v>
      </c>
      <c r="B518" s="3" t="str">
        <f>IFERROR(__xludf.DUMMYFUNCTION("GOOGLETRANSLATE(A518, ""ar"", ""bn"")"),"কতল করা")</f>
        <v>কতল করা</v>
      </c>
    </row>
    <row r="519">
      <c r="A519" s="2" t="s">
        <v>3591</v>
      </c>
      <c r="B519" s="3" t="str">
        <f>IFERROR(__xludf.DUMMYFUNCTION("GOOGLETRANSLATE(A519, ""ar"", ""bn"")"),"মস্তিষ্কহীন")</f>
        <v>মস্তিষ্কহীন</v>
      </c>
    </row>
    <row r="520">
      <c r="A520" s="2" t="s">
        <v>3592</v>
      </c>
      <c r="B520" s="3" t="str">
        <f>IFERROR(__xludf.DUMMYFUNCTION("GOOGLETRANSLATE(A520, ""ar"", ""bn"")"),"বধ")</f>
        <v>বধ</v>
      </c>
    </row>
    <row r="521">
      <c r="A521" s="2" t="s">
        <v>3593</v>
      </c>
      <c r="B521" s="3" t="str">
        <f>IFERROR(__xludf.DUMMYFUNCTION("GOOGLETRANSLATE(A521, ""ar"", ""bn"")"),"বিলম্বে")</f>
        <v>বিলম্বে</v>
      </c>
    </row>
    <row r="522">
      <c r="A522" s="2" t="s">
        <v>3594</v>
      </c>
      <c r="B522" s="3" t="str">
        <f>IFERROR(__xludf.DUMMYFUNCTION("GOOGLETRANSLATE(A522, ""ar"", ""bn"")"),"বিলম্বে")</f>
        <v>বিলম্বে</v>
      </c>
    </row>
    <row r="523">
      <c r="A523" s="2" t="s">
        <v>3595</v>
      </c>
      <c r="B523" s="3" t="str">
        <f>IFERROR(__xludf.DUMMYFUNCTION("GOOGLETRANSLATE(A523, ""ar"", ""bn"")"),"অস্বীকার করা")</f>
        <v>অস্বীকার করা</v>
      </c>
    </row>
    <row r="524">
      <c r="A524" s="2" t="s">
        <v>3596</v>
      </c>
      <c r="B524" s="3" t="str">
        <f>IFERROR(__xludf.DUMMYFUNCTION("GOOGLETRANSLATE(A524, ""ar"", ""bn"")"),"lied")</f>
        <v>lied</v>
      </c>
    </row>
    <row r="525">
      <c r="A525" s="2" t="s">
        <v>3597</v>
      </c>
      <c r="B525" s="3" t="str">
        <f>IFERROR(__xludf.DUMMYFUNCTION("GOOGLETRANSLATE(A525, ""ar"", ""bn"")"),"বিশ্বাস")</f>
        <v>বিশ্বাস</v>
      </c>
    </row>
    <row r="526">
      <c r="A526" s="2" t="s">
        <v>3598</v>
      </c>
      <c r="B526" s="3" t="str">
        <f>IFERROR(__xludf.DUMMYFUNCTION("GOOGLETRANSLATE(A526, ""ar"", ""bn"")"),"বিশ্বাস")</f>
        <v>বিশ্বাস</v>
      </c>
    </row>
    <row r="527">
      <c r="A527" s="2" t="s">
        <v>3599</v>
      </c>
      <c r="B527" s="3" t="str">
        <f>IFERROR(__xludf.DUMMYFUNCTION("GOOGLETRANSLATE(A527, ""ar"", ""bn"")"),"contradicts")</f>
        <v>contradicts</v>
      </c>
    </row>
    <row r="528">
      <c r="A528" s="2" t="s">
        <v>3600</v>
      </c>
      <c r="B528" s="3" t="str">
        <f>IFERROR(__xludf.DUMMYFUNCTION("GOOGLETRANSLATE(A528, ""ar"", ""bn"")"),"বিশ্বাসযোগ্যতা")</f>
        <v>বিশ্বাসযোগ্যতা</v>
      </c>
    </row>
    <row r="529">
      <c r="A529" s="2" t="s">
        <v>3601</v>
      </c>
      <c r="B529" s="3" t="str">
        <f>IFERROR(__xludf.DUMMYFUNCTION("GOOGLETRANSLATE(A529, ""ar"", ""bn"")"),"যৌক্তিক")</f>
        <v>যৌক্তিক</v>
      </c>
    </row>
    <row r="530">
      <c r="A530" s="2" t="s">
        <v>3602</v>
      </c>
      <c r="B530" s="3" t="str">
        <f>IFERROR(__xludf.DUMMYFUNCTION("GOOGLETRANSLATE(A530, ""ar"", ""bn"")"),"Believably")</f>
        <v>Believably</v>
      </c>
    </row>
    <row r="531">
      <c r="A531" s="2" t="s">
        <v>3603</v>
      </c>
      <c r="B531" s="3" t="str">
        <f>IFERROR(__xludf.DUMMYFUNCTION("GOOGLETRANSLATE(A531, ""ar"", ""bn"")"),"মনে")</f>
        <v>মনে</v>
      </c>
    </row>
    <row r="532">
      <c r="A532" s="2" t="s">
        <v>3604</v>
      </c>
      <c r="B532" s="3" t="str">
        <f>IFERROR(__xludf.DUMMYFUNCTION("GOOGLETRANSLATE(A532, ""ar"", ""bn"")"),"বিশ্বাস")</f>
        <v>বিশ্বাস</v>
      </c>
    </row>
    <row r="533">
      <c r="A533" s="2" t="s">
        <v>3605</v>
      </c>
      <c r="B533" s="3" t="str">
        <f>IFERROR(__xludf.DUMMYFUNCTION("GOOGLETRANSLATE(A533, ""ar"", ""bn"")"),"বিশ্বাসী")</f>
        <v>বিশ্বাসী</v>
      </c>
    </row>
    <row r="534">
      <c r="A534" s="2" t="s">
        <v>3606</v>
      </c>
      <c r="B534" s="3" t="str">
        <f>IFERROR(__xludf.DUMMYFUNCTION("GOOGLETRANSLATE(A534, ""ar"", ""bn"")"),"মুমিনদের")</f>
        <v>মুমিনদের</v>
      </c>
    </row>
    <row r="535">
      <c r="A535" s="2" t="s">
        <v>3604</v>
      </c>
      <c r="B535" s="3" t="str">
        <f>IFERROR(__xludf.DUMMYFUNCTION("GOOGLETRANSLATE(A535, ""ar"", ""bn"")"),"বিশ্বাস")</f>
        <v>বিশ্বাস</v>
      </c>
    </row>
    <row r="536">
      <c r="A536" s="2" t="s">
        <v>3607</v>
      </c>
      <c r="B536" s="3" t="str">
        <f>IFERROR(__xludf.DUMMYFUNCTION("GOOGLETRANSLATE(A536, ""ar"", ""bn"")"),"বিশ্বাস")</f>
        <v>বিশ্বাস</v>
      </c>
    </row>
    <row r="537">
      <c r="A537" s="2" t="s">
        <v>3608</v>
      </c>
      <c r="B537" s="3" t="str">
        <f>IFERROR(__xludf.DUMMYFUNCTION("GOOGLETRANSLATE(A537, ""ar"", ""bn"")"),"অবমূল্যায়ন")</f>
        <v>অবমূল্যায়ন</v>
      </c>
    </row>
    <row r="538">
      <c r="A538" s="2" t="s">
        <v>3609</v>
      </c>
      <c r="B538" s="3" t="str">
        <f>IFERROR(__xludf.DUMMYFUNCTION("GOOGLETRANSLATE(A538, ""ar"", ""bn"")"),"হ্রাস করা")</f>
        <v>হ্রাস করা</v>
      </c>
    </row>
    <row r="539">
      <c r="A539" s="2" t="s">
        <v>3610</v>
      </c>
      <c r="B539" s="3" t="str">
        <f>IFERROR(__xludf.DUMMYFUNCTION("GOOGLETRANSLATE(A539, ""ar"", ""bn"")"),"মর্যাদা ও অনুভূতিতে")</f>
        <v>মর্যাদা ও অনুভূতিতে</v>
      </c>
    </row>
    <row r="540">
      <c r="A540" s="2" t="s">
        <v>3611</v>
      </c>
      <c r="B540" s="3" t="str">
        <f>IFERROR(__xludf.DUMMYFUNCTION("GOOGLETRANSLATE(A540, ""ar"", ""bn"")"),"ঘৃণা")</f>
        <v>ঘৃণা</v>
      </c>
    </row>
    <row r="541">
      <c r="A541" s="2" t="s">
        <v>3612</v>
      </c>
      <c r="B541" s="3" t="str">
        <f>IFERROR(__xludf.DUMMYFUNCTION("GOOGLETRANSLATE(A541, ""ar"", ""bn"")"),"সৈনিক")</f>
        <v>সৈনিক</v>
      </c>
    </row>
    <row r="542">
      <c r="A542" s="2" t="s">
        <v>3613</v>
      </c>
      <c r="B542" s="3" t="str">
        <f>IFERROR(__xludf.DUMMYFUNCTION("GOOGLETRANSLATE(A542, ""ar"", ""bn"")"),"প্রতিকূল")</f>
        <v>প্রতিকূল</v>
      </c>
    </row>
    <row r="543">
      <c r="A543" s="2" t="s">
        <v>3614</v>
      </c>
      <c r="B543" s="3" t="str">
        <f>IFERROR(__xludf.DUMMYFUNCTION("GOOGLETRANSLATE(A543, ""ar"", ""bn"")"),"Belligerents")</f>
        <v>Belligerents</v>
      </c>
    </row>
    <row r="544">
      <c r="A544" s="2" t="s">
        <v>3615</v>
      </c>
      <c r="B544" s="3" t="str">
        <f>IFERROR(__xludf.DUMMYFUNCTION("GOOGLETRANSLATE(A544, ""ar"", ""bn"")"),"বিচ্ছিন্ন করা")</f>
        <v>বিচ্ছিন্ন করা</v>
      </c>
    </row>
    <row r="545">
      <c r="A545" s="2" t="s">
        <v>3616</v>
      </c>
      <c r="B545" s="3" t="str">
        <f>IFERROR(__xludf.DUMMYFUNCTION("GOOGLETRANSLATE(A545, ""ar"", ""bn"")"),"প্রি়জন-নিয়োগবিধুর")</f>
        <v>প্রি়জন-নিয়োগবিধুর</v>
      </c>
    </row>
    <row r="546">
      <c r="A546" s="2" t="s">
        <v>3617</v>
      </c>
      <c r="B546" s="3" t="str">
        <f>IFERROR(__xludf.DUMMYFUNCTION("GOOGLETRANSLATE(A546, ""ar"", ""bn"")"),"আত্মীয়ের মৃতু্য")</f>
        <v>আত্মীয়ের মৃতু্য</v>
      </c>
    </row>
    <row r="547">
      <c r="A547" s="2" t="s">
        <v>3615</v>
      </c>
      <c r="B547" s="3" t="str">
        <f>IFERROR(__xludf.DUMMYFUNCTION("GOOGLETRANSLATE(A547, ""ar"", ""bn"")"),"বিচ্ছিন্ন করা")</f>
        <v>বিচ্ছিন্ন করা</v>
      </c>
    </row>
    <row r="548">
      <c r="A548" s="2" t="s">
        <v>3618</v>
      </c>
      <c r="B548" s="3" t="str">
        <f>IFERROR(__xludf.DUMMYFUNCTION("GOOGLETRANSLATE(A548, ""ar"", ""bn"")"),"শ্বাসরুদ্ধ করিয়া মারা")</f>
        <v>শ্বাসরুদ্ধ করিয়া মারা</v>
      </c>
    </row>
    <row r="549">
      <c r="A549" s="2" t="s">
        <v>3303</v>
      </c>
      <c r="B549" s="3" t="str">
        <f>IFERROR(__xludf.DUMMYFUNCTION("GOOGLETRANSLATE(A549, ""ar"", ""bn"")"),"উচ্ছ্বসিত")</f>
        <v>উচ্ছ্বসিত</v>
      </c>
    </row>
    <row r="550">
      <c r="A550" s="2" t="s">
        <v>3619</v>
      </c>
      <c r="B550" s="3" t="str">
        <f>IFERROR(__xludf.DUMMYFUNCTION("GOOGLETRANSLATE(A550, ""ar"", ""bn"")"),"অনুরোধ")</f>
        <v>অনুরোধ</v>
      </c>
    </row>
    <row r="551">
      <c r="A551" s="2" t="s">
        <v>3620</v>
      </c>
      <c r="B551" s="3" t="str">
        <f>IFERROR(__xludf.DUMMYFUNCTION("GOOGLETRANSLATE(A551, ""ar"", ""bn"")"),"আবেদন")</f>
        <v>আবেদন</v>
      </c>
    </row>
    <row r="552">
      <c r="A552" s="2" t="s">
        <v>3621</v>
      </c>
      <c r="B552" s="3" t="str">
        <f>IFERROR(__xludf.DUMMYFUNCTION("GOOGLETRANSLATE(A552, ""ar"", ""bn"")"),"খোঁজ")</f>
        <v>খোঁজ</v>
      </c>
    </row>
    <row r="553">
      <c r="A553" s="2" t="s">
        <v>3622</v>
      </c>
      <c r="B553" s="3" t="str">
        <f>IFERROR(__xludf.DUMMYFUNCTION("GOOGLETRANSLATE(A553, ""ar"", ""bn"")"),"প্রার্থনা")</f>
        <v>প্রার্থনা</v>
      </c>
    </row>
    <row r="554">
      <c r="A554" s="2" t="s">
        <v>3431</v>
      </c>
      <c r="B554" s="3" t="str">
        <f>IFERROR(__xludf.DUMMYFUNCTION("GOOGLETRANSLATE(A554, ""ar"", ""bn"")"),"আক্রমণ")</f>
        <v>আক্রমণ</v>
      </c>
    </row>
    <row r="555">
      <c r="A555" s="2" t="s">
        <v>3623</v>
      </c>
      <c r="B555" s="3" t="str">
        <f>IFERROR(__xludf.DUMMYFUNCTION("GOOGLETRANSLATE(A555, ""ar"", ""bn"")"),"দ্বিখণ্ডিত")</f>
        <v>দ্বিখণ্ডিত</v>
      </c>
    </row>
    <row r="556">
      <c r="A556" s="2" t="s">
        <v>3624</v>
      </c>
      <c r="B556" s="3" t="str">
        <f>IFERROR(__xludf.DUMMYFUNCTION("GOOGLETRANSLATE(A556, ""ar"", ""bn"")"),"বেষ্টিত")</f>
        <v>বেষ্টিত</v>
      </c>
    </row>
    <row r="557">
      <c r="A557" s="2" t="s">
        <v>3625</v>
      </c>
      <c r="B557" s="3" t="str">
        <f>IFERROR(__xludf.DUMMYFUNCTION("GOOGLETRANSLATE(A557, ""ar"", ""bn"")"),"নিরোধ করা")</f>
        <v>নিরোধ করা</v>
      </c>
    </row>
    <row r="558">
      <c r="A558" s="2" t="s">
        <v>3626</v>
      </c>
      <c r="B558" s="3" t="str">
        <f>IFERROR(__xludf.DUMMYFUNCTION("GOOGLETRANSLATE(A558, ""ar"", ""bn"")"),"আটকা পড়ে")</f>
        <v>আটকা পড়ে</v>
      </c>
    </row>
    <row r="559">
      <c r="A559" s="2" t="s">
        <v>3627</v>
      </c>
      <c r="B559" s="3" t="str">
        <f>IFERROR(__xludf.DUMMYFUNCTION("GOOGLETRANSLATE(A559, ""ar"", ""bn"")"),"একটি গোপন প্রকাশ")</f>
        <v>একটি গোপন প্রকাশ</v>
      </c>
    </row>
    <row r="560">
      <c r="A560" s="2" t="s">
        <v>2494</v>
      </c>
      <c r="B560" s="3" t="str">
        <f>IFERROR(__xludf.DUMMYFUNCTION("GOOGLETRANSLATE(A560, ""ar"", ""bn"")"),"বিশ্বাসঘাতকতা")</f>
        <v>বিশ্বাসঘাতকতা</v>
      </c>
    </row>
    <row r="561">
      <c r="A561" s="2" t="s">
        <v>3628</v>
      </c>
      <c r="B561" s="3" t="str">
        <f>IFERROR(__xludf.DUMMYFUNCTION("GOOGLETRANSLATE(A561, ""ar"", ""bn"")"),"infidelities")</f>
        <v>infidelities</v>
      </c>
    </row>
    <row r="562">
      <c r="A562" s="2" t="s">
        <v>2494</v>
      </c>
      <c r="B562" s="3" t="str">
        <f>IFERROR(__xludf.DUMMYFUNCTION("GOOGLETRANSLATE(A562, ""ar"", ""bn"")"),"বিশ্বাসঘাতকতা")</f>
        <v>বিশ্বাসঘাতকতা</v>
      </c>
    </row>
    <row r="563">
      <c r="A563" s="2" t="s">
        <v>3629</v>
      </c>
      <c r="B563" s="3" t="str">
        <f>IFERROR(__xludf.DUMMYFUNCTION("GOOGLETRANSLATE(A563, ""ar"", ""bn"")"),"বিশ্বাসঘাতক")</f>
        <v>বিশ্বাসঘাতক</v>
      </c>
    </row>
    <row r="564">
      <c r="A564" s="2" t="s">
        <v>3630</v>
      </c>
      <c r="B564" s="3" t="str">
        <f>IFERROR(__xludf.DUMMYFUNCTION("GOOGLETRANSLATE(A564, ""ar"", ""bn"")"),"দেশদ্রোহীর")</f>
        <v>দেশদ্রোহীর</v>
      </c>
    </row>
    <row r="565">
      <c r="A565" s="2" t="s">
        <v>2494</v>
      </c>
      <c r="B565" s="3" t="str">
        <f>IFERROR(__xludf.DUMMYFUNCTION("GOOGLETRANSLATE(A565, ""ar"", ""bn"")"),"বিশ্বাসঘাতকতা")</f>
        <v>বিশ্বাসঘাতকতা</v>
      </c>
    </row>
    <row r="566">
      <c r="A566" s="2" t="s">
        <v>3631</v>
      </c>
      <c r="B566" s="3" t="str">
        <f>IFERROR(__xludf.DUMMYFUNCTION("GOOGLETRANSLATE(A566, ""ar"", ""bn"")"),"betrays")</f>
        <v>betrays</v>
      </c>
    </row>
    <row r="567">
      <c r="A567" s="2" t="s">
        <v>3632</v>
      </c>
      <c r="B567" s="3" t="str">
        <f>IFERROR(__xludf.DUMMYFUNCTION("GOOGLETRANSLATE(A567, ""ar"", ""bn"")"),"সতর্ক থেকো")</f>
        <v>সতর্ক থেকো</v>
      </c>
    </row>
    <row r="568">
      <c r="A568" s="2" t="s">
        <v>3633</v>
      </c>
      <c r="B568" s="3" t="str">
        <f>IFERROR(__xludf.DUMMYFUNCTION("GOOGLETRANSLATE(A568, ""ar"", ""bn"")"),"নিগূঢ় করা")</f>
        <v>নিগূঢ় করা</v>
      </c>
    </row>
    <row r="569">
      <c r="A569" s="2" t="s">
        <v>3634</v>
      </c>
      <c r="B569" s="3" t="str">
        <f>IFERROR(__xludf.DUMMYFUNCTION("GOOGLETRANSLATE(A569, ""ar"", ""bn"")"),"হতভম্ব")</f>
        <v>হতভম্ব</v>
      </c>
    </row>
    <row r="570">
      <c r="A570" s="2" t="s">
        <v>3635</v>
      </c>
      <c r="B570" s="3" t="str">
        <f>IFERROR(__xludf.DUMMYFUNCTION("GOOGLETRANSLATE(A570, ""ar"", ""bn"")"),"তুলনাহীন")</f>
        <v>তুলনাহীন</v>
      </c>
    </row>
    <row r="571">
      <c r="A571" s="2" t="s">
        <v>3636</v>
      </c>
      <c r="B571" s="3" t="str">
        <f>IFERROR(__xludf.DUMMYFUNCTION("GOOGLETRANSLATE(A571, ""ar"", ""bn"")"),"বিভ্রান্তির জন্ম দেয়")</f>
        <v>বিভ্রান্তির জন্ম দেয়</v>
      </c>
    </row>
    <row r="572">
      <c r="A572" s="2" t="s">
        <v>3637</v>
      </c>
      <c r="B572" s="3" t="str">
        <f>IFERROR(__xludf.DUMMYFUNCTION("GOOGLETRANSLATE(A572, ""ar"", ""bn"")"),"বিশৃঙ্খলা")</f>
        <v>বিশৃঙ্খলা</v>
      </c>
    </row>
    <row r="573">
      <c r="A573" s="2" t="s">
        <v>3501</v>
      </c>
      <c r="B573" s="3" t="str">
        <f>IFERROR(__xludf.DUMMYFUNCTION("GOOGLETRANSLATE(A573, ""ar"", ""bn"")"),"ধাঁধাঁর মতো")</f>
        <v>ধাঁধাঁর মতো</v>
      </c>
    </row>
    <row r="574">
      <c r="A574" s="2" t="s">
        <v>3638</v>
      </c>
      <c r="B574" s="3" t="str">
        <f>IFERROR(__xludf.DUMMYFUNCTION("GOOGLETRANSLATE(A574, ""ar"", ""bn"")"),"ধর্মান্ধ")</f>
        <v>ধর্মান্ধ</v>
      </c>
    </row>
    <row r="575">
      <c r="A575" s="2" t="s">
        <v>3638</v>
      </c>
      <c r="B575" s="3" t="str">
        <f>IFERROR(__xludf.DUMMYFUNCTION("GOOGLETRANSLATE(A575, ""ar"", ""bn"")"),"ধর্মান্ধ")</f>
        <v>ধর্মান্ধ</v>
      </c>
    </row>
    <row r="576">
      <c r="A576" s="2" t="s">
        <v>3639</v>
      </c>
      <c r="B576" s="3" t="str">
        <f>IFERROR(__xludf.DUMMYFUNCTION("GOOGLETRANSLATE(A576, ""ar"", ""bn"")"),"ধর্মান্ধতা")</f>
        <v>ধর্মান্ধতা</v>
      </c>
    </row>
    <row r="577">
      <c r="A577" s="2" t="s">
        <v>3640</v>
      </c>
      <c r="B577" s="3" t="str">
        <f>IFERROR(__xludf.DUMMYFUNCTION("GOOGLETRANSLATE(A577, ""ar"", ""bn"")"),"ধর্মান্ধদের")</f>
        <v>ধর্মান্ধদের</v>
      </c>
    </row>
    <row r="578">
      <c r="A578" s="2" t="s">
        <v>3641</v>
      </c>
      <c r="B578" s="3" t="str">
        <f>IFERROR(__xludf.DUMMYFUNCTION("GOOGLETRANSLATE(A578, ""ar"", ""bn"")"),"জাহাজের তলা")</f>
        <v>জাহাজের তলা</v>
      </c>
    </row>
    <row r="579">
      <c r="A579" s="2" t="s">
        <v>3642</v>
      </c>
      <c r="B579" s="3" t="str">
        <f>IFERROR(__xludf.DUMMYFUNCTION("GOOGLETRANSLATE(A579, ""ar"", ""bn"")"),"বটমস")</f>
        <v>বটমস</v>
      </c>
    </row>
    <row r="580">
      <c r="A580" s="2" t="s">
        <v>3643</v>
      </c>
      <c r="B580" s="3" t="str">
        <f>IFERROR(__xludf.DUMMYFUNCTION("GOOGLETRANSLATE(A580, ""ar"", ""bn"")"),"দুশ্চরিত্রা")</f>
        <v>দুশ্চরিত্রা</v>
      </c>
    </row>
    <row r="581">
      <c r="A581" s="2" t="s">
        <v>3644</v>
      </c>
      <c r="B581" s="3" t="str">
        <f>IFERROR(__xludf.DUMMYFUNCTION("GOOGLETRANSLATE(A581, ""ar"", ""bn"")"),"চ্যাট")</f>
        <v>চ্যাট</v>
      </c>
    </row>
    <row r="582">
      <c r="A582" s="2" t="s">
        <v>3645</v>
      </c>
      <c r="B582" s="3" t="str">
        <f>IFERROR(__xludf.DUMMYFUNCTION("GOOGLETRANSLATE(A582, ""ar"", ""bn"")"),"ঘৃণা")</f>
        <v>ঘৃণা</v>
      </c>
    </row>
    <row r="583">
      <c r="A583" s="2" t="s">
        <v>3646</v>
      </c>
      <c r="B583" s="3" t="str">
        <f>IFERROR(__xludf.DUMMYFUNCTION("GOOGLETRANSLATE(A583, ""ar"", ""bn"")"),"অভিযোগটি")</f>
        <v>অভিযোগটি</v>
      </c>
    </row>
    <row r="584">
      <c r="A584" s="2" t="s">
        <v>3647</v>
      </c>
      <c r="B584" s="3" t="str">
        <f>IFERROR(__xludf.DUMMYFUNCTION("GOOGLETRANSLATE(A584, ""ar"", ""bn"")"),"বিদ্বেষপরায়ণ")</f>
        <v>বিদ্বেষপরায়ণ</v>
      </c>
    </row>
    <row r="585">
      <c r="A585" s="2" t="s">
        <v>3648</v>
      </c>
      <c r="B585" s="3" t="str">
        <f>IFERROR(__xludf.DUMMYFUNCTION("GOOGLETRANSLATE(A585, ""ar"", ""bn"")"),"তিক্ত")</f>
        <v>তিক্ত</v>
      </c>
    </row>
    <row r="586">
      <c r="A586" s="2" t="s">
        <v>3649</v>
      </c>
      <c r="B586" s="3" t="str">
        <f>IFERROR(__xludf.DUMMYFUNCTION("GOOGLETRANSLATE(A586, ""ar"", ""bn"")"),"খারাপ")</f>
        <v>খারাপ</v>
      </c>
    </row>
    <row r="587">
      <c r="A587" s="2" t="s">
        <v>3648</v>
      </c>
      <c r="B587" s="3" t="str">
        <f>IFERROR(__xludf.DUMMYFUNCTION("GOOGLETRANSLATE(A587, ""ar"", ""bn"")"),"তিক্ত")</f>
        <v>তিক্ত</v>
      </c>
    </row>
    <row r="588">
      <c r="A588" s="2" t="s">
        <v>3650</v>
      </c>
      <c r="B588" s="3" t="str">
        <f>IFERROR(__xludf.DUMMYFUNCTION("GOOGLETRANSLATE(A588, ""ar"", ""bn"")"),"বকজাতীয় পক্ষী")</f>
        <v>বকজাতীয় পক্ষী</v>
      </c>
    </row>
    <row r="589">
      <c r="A589" s="2" t="s">
        <v>3651</v>
      </c>
      <c r="B589" s="3" t="str">
        <f>IFERROR(__xludf.DUMMYFUNCTION("GOOGLETRANSLATE(A589, ""ar"", ""bn"")"),"তিক্ত")</f>
        <v>তিক্ত</v>
      </c>
    </row>
    <row r="590">
      <c r="A590" s="2" t="s">
        <v>3652</v>
      </c>
      <c r="B590" s="3" t="str">
        <f>IFERROR(__xludf.DUMMYFUNCTION("GOOGLETRANSLATE(A590, ""ar"", ""bn"")"),"বিয়ার")</f>
        <v>বিয়ার</v>
      </c>
    </row>
    <row r="591">
      <c r="A591" s="2" t="s">
        <v>3653</v>
      </c>
      <c r="B591" s="3" t="str">
        <f>IFERROR(__xludf.DUMMYFUNCTION("GOOGLETRANSLATE(A591, ""ar"", ""bn"")"),"মিষ্টি ও তেতো")</f>
        <v>মিষ্টি ও তেতো</v>
      </c>
    </row>
    <row r="592">
      <c r="A592" s="2" t="s">
        <v>3654</v>
      </c>
      <c r="B592" s="3" t="str">
        <f>IFERROR(__xludf.DUMMYFUNCTION("GOOGLETRANSLATE(A592, ""ar"", ""bn"")"),"একজন আগুন্তুক")</f>
        <v>একজন আগুন্তুক</v>
      </c>
    </row>
    <row r="593">
      <c r="A593" s="2" t="s">
        <v>3654</v>
      </c>
      <c r="B593" s="3" t="str">
        <f>IFERROR(__xludf.DUMMYFUNCTION("GOOGLETRANSLATE(A593, ""ar"", ""bn"")"),"একজন আগুন্তুক")</f>
        <v>একজন আগুন্তুক</v>
      </c>
    </row>
    <row r="594">
      <c r="A594" s="2" t="s">
        <v>3655</v>
      </c>
      <c r="B594" s="3" t="str">
        <f>IFERROR(__xludf.DUMMYFUNCTION("GOOGLETRANSLATE(A594, ""ar"", ""bn"")"),"অদ্ভুত")</f>
        <v>অদ্ভুত</v>
      </c>
    </row>
    <row r="595">
      <c r="A595" s="2" t="s">
        <v>3656</v>
      </c>
      <c r="B595" s="3" t="str">
        <f>IFERROR(__xludf.DUMMYFUNCTION("GOOGLETRANSLATE(A595, ""ar"", ""bn"")"),"ব্ল্যাকমেল")</f>
        <v>ব্ল্যাকমেল</v>
      </c>
    </row>
    <row r="596">
      <c r="A596" s="2" t="s">
        <v>3656</v>
      </c>
      <c r="B596" s="3" t="str">
        <f>IFERROR(__xludf.DUMMYFUNCTION("GOOGLETRANSLATE(A596, ""ar"", ""bn"")"),"ব্ল্যাকমেল")</f>
        <v>ব্ল্যাকমেল</v>
      </c>
    </row>
    <row r="597">
      <c r="A597" s="2" t="s">
        <v>3657</v>
      </c>
      <c r="B597" s="3" t="str">
        <f>IFERROR(__xludf.DUMMYFUNCTION("GOOGLETRANSLATE(A597, ""ar"", ""bn"")"),"যে ব্যক্তি ব্ল্যাকমেল করে")</f>
        <v>যে ব্যক্তি ব্ল্যাকমেল করে</v>
      </c>
    </row>
    <row r="598">
      <c r="A598" s="2" t="s">
        <v>3658</v>
      </c>
      <c r="B598" s="3" t="str">
        <f>IFERROR(__xludf.DUMMYFUNCTION("GOOGLETRANSLATE(A598, ""ar"", ""bn"")"),"চাঁদাবাজরা")</f>
        <v>চাঁদাবাজরা</v>
      </c>
    </row>
    <row r="599">
      <c r="A599" s="2" t="s">
        <v>3656</v>
      </c>
      <c r="B599" s="3" t="str">
        <f>IFERROR(__xludf.DUMMYFUNCTION("GOOGLETRANSLATE(A599, ""ar"", ""bn"")"),"ব্ল্যাকমেল")</f>
        <v>ব্ল্যাকমেল</v>
      </c>
    </row>
    <row r="600">
      <c r="A600" s="2" t="s">
        <v>3656</v>
      </c>
      <c r="B600" s="3" t="str">
        <f>IFERROR(__xludf.DUMMYFUNCTION("GOOGLETRANSLATE(A600, ""ar"", ""bn"")"),"ব্ল্যাকমেল")</f>
        <v>ব্ল্যাকমেল</v>
      </c>
    </row>
    <row r="601">
      <c r="A601" s="2" t="s">
        <v>3659</v>
      </c>
      <c r="B601" s="3" t="str">
        <f>IFERROR(__xludf.DUMMYFUNCTION("GOOGLETRANSLATE(A601, ""ar"", ""bn"")"),"বাজে কথা")</f>
        <v>বাজে কথা</v>
      </c>
    </row>
    <row r="602">
      <c r="A602" s="2" t="s">
        <v>3660</v>
      </c>
      <c r="B602" s="3" t="str">
        <f>IFERROR(__xludf.DUMMYFUNCTION("GOOGLETRANSLATE(A602, ""ar"", ""bn"")"),"দোষ")</f>
        <v>দোষ</v>
      </c>
    </row>
    <row r="603">
      <c r="A603" s="2" t="s">
        <v>3661</v>
      </c>
      <c r="B603" s="3" t="str">
        <f>IFERROR(__xludf.DUMMYFUNCTION("GOOGLETRANSLATE(A603, ""ar"", ""bn"")"),"দোষ")</f>
        <v>দোষ</v>
      </c>
    </row>
    <row r="604">
      <c r="A604" s="2" t="s">
        <v>3662</v>
      </c>
      <c r="B604" s="3" t="str">
        <f>IFERROR(__xludf.DUMMYFUNCTION("GOOGLETRANSLATE(A604, ""ar"", ""bn"")"),"নির্দোষ")</f>
        <v>নির্দোষ</v>
      </c>
    </row>
    <row r="605">
      <c r="A605" s="2" t="s">
        <v>3663</v>
      </c>
      <c r="B605" s="3" t="str">
        <f>IFERROR(__xludf.DUMMYFUNCTION("GOOGLETRANSLATE(A605, ""ar"", ""bn"")"),"দোষ ছাড়া")</f>
        <v>দোষ ছাড়া</v>
      </c>
    </row>
    <row r="606">
      <c r="A606" s="2" t="s">
        <v>3664</v>
      </c>
      <c r="B606" s="3" t="str">
        <f>IFERROR(__xludf.DUMMYFUNCTION("GOOGLETRANSLATE(A606, ""ar"", ""bn"")"),"দোষ")</f>
        <v>দোষ</v>
      </c>
    </row>
    <row r="607">
      <c r="A607" s="2" t="s">
        <v>3665</v>
      </c>
      <c r="B607" s="3" t="str">
        <f>IFERROR(__xludf.DUMMYFUNCTION("GOOGLETRANSLATE(A607, ""ar"", ""bn"")"),"নিন্দনীয়")</f>
        <v>নিন্দনীয়</v>
      </c>
    </row>
    <row r="608">
      <c r="A608" s="2" t="s">
        <v>3666</v>
      </c>
      <c r="B608" s="3" t="str">
        <f>IFERROR(__xludf.DUMMYFUNCTION("GOOGLETRANSLATE(A608, ""ar"", ""bn"")"),"লোড")</f>
        <v>লোড</v>
      </c>
    </row>
    <row r="609">
      <c r="A609" s="2" t="s">
        <v>3667</v>
      </c>
      <c r="B609" s="3" t="str">
        <f>IFERROR(__xludf.DUMMYFUNCTION("GOOGLETRANSLATE(A609, ""ar"", ""bn"")"),"নিস")</f>
        <v>নিস</v>
      </c>
    </row>
    <row r="610">
      <c r="A610" s="2" t="s">
        <v>3668</v>
      </c>
      <c r="B610" s="3" t="str">
        <f>IFERROR(__xludf.DUMMYFUNCTION("GOOGLETRANSLATE(A610, ""ar"", ""bn"")"),"Blandest")</f>
        <v>Blandest</v>
      </c>
    </row>
    <row r="611">
      <c r="A611" s="2" t="s">
        <v>3669</v>
      </c>
      <c r="B611" s="3" t="str">
        <f>IFERROR(__xludf.DUMMYFUNCTION("GOOGLETRANSLATE(A611, ""ar"", ""bn"")"),"লোক দেখানো")</f>
        <v>লোক দেখানো</v>
      </c>
    </row>
    <row r="612">
      <c r="A612" s="2" t="s">
        <v>3670</v>
      </c>
      <c r="B612" s="3" t="str">
        <f>IFERROR(__xludf.DUMMYFUNCTION("GOOGLETRANSLATE(A612, ""ar"", ""bn"")"),"পদানত")</f>
        <v>পদানত</v>
      </c>
    </row>
    <row r="613">
      <c r="A613" s="2" t="s">
        <v>3671</v>
      </c>
      <c r="B613" s="3" t="str">
        <f>IFERROR(__xludf.DUMMYFUNCTION("GOOGLETRANSLATE(A613, ""ar"", ""bn"")"),"স্থূল")</f>
        <v>স্থূল</v>
      </c>
    </row>
    <row r="614">
      <c r="A614" s="2" t="s">
        <v>3672</v>
      </c>
      <c r="B614" s="3" t="str">
        <f>IFERROR(__xludf.DUMMYFUNCTION("GOOGLETRANSLATE(A614, ""ar"", ""bn"")"),"চরমভাবে")</f>
        <v>চরমভাবে</v>
      </c>
    </row>
    <row r="615">
      <c r="A615" s="2" t="s">
        <v>3673</v>
      </c>
      <c r="B615" s="3" t="str">
        <f>IFERROR(__xludf.DUMMYFUNCTION("GOOGLETRANSLATE(A615, ""ar"", ""bn"")"),"নিরানন্দ")</f>
        <v>নিরানন্দ</v>
      </c>
    </row>
    <row r="616">
      <c r="A616" s="2" t="s">
        <v>3674</v>
      </c>
      <c r="B616" s="3" t="str">
        <f>IFERROR(__xludf.DUMMYFUNCTION("GOOGLETRANSLATE(A616, ""ar"", ""bn"")"),"আরো ব্লুজ")</f>
        <v>আরো ব্লুজ</v>
      </c>
    </row>
    <row r="617">
      <c r="A617" s="2" t="s">
        <v>3675</v>
      </c>
      <c r="B617" s="3" t="str">
        <f>IFERROR(__xludf.DUMMYFUNCTION("GOOGLETRANSLATE(A617, ""ar"", ""bn"")"),"সবচাইতে দুঃখজনক")</f>
        <v>সবচাইতে দুঃখজনক</v>
      </c>
    </row>
    <row r="618">
      <c r="A618" s="2" t="s">
        <v>3676</v>
      </c>
      <c r="B618" s="3" t="str">
        <f>IFERROR(__xludf.DUMMYFUNCTION("GOOGLETRANSLATE(A618, ""ar"", ""bn"")"),"বিষণ্ণতা")</f>
        <v>বিষণ্ণতা</v>
      </c>
    </row>
    <row r="619">
      <c r="A619" s="2" t="s">
        <v>3677</v>
      </c>
      <c r="B619" s="3" t="str">
        <f>IFERROR(__xludf.DUMMYFUNCTION("GOOGLETRANSLATE(A619, ""ar"", ""bn"")"),"অসুবিধা")</f>
        <v>অসুবিধা</v>
      </c>
    </row>
    <row r="620">
      <c r="A620" s="2" t="s">
        <v>3678</v>
      </c>
      <c r="B620" s="3" t="str">
        <f>IFERROR(__xludf.DUMMYFUNCTION("GOOGLETRANSLATE(A620, ""ar"", ""bn"")"),"blemished")</f>
        <v>blemished</v>
      </c>
    </row>
    <row r="621">
      <c r="A621" s="2" t="s">
        <v>3679</v>
      </c>
      <c r="B621" s="3" t="str">
        <f>IFERROR(__xludf.DUMMYFUNCTION("GOOGLETRANSLATE(A621, ""ar"", ""bn"")"),"অপূর্ণতা")</f>
        <v>অপূর্ণতা</v>
      </c>
    </row>
    <row r="622">
      <c r="A622" s="2" t="s">
        <v>3680</v>
      </c>
      <c r="B622" s="3" t="str">
        <f>IFERROR(__xludf.DUMMYFUNCTION("GOOGLETRANSLATE(A622, ""ar"", ""bn"")"),"অন্ধ")</f>
        <v>অন্ধ</v>
      </c>
    </row>
    <row r="623">
      <c r="A623" s="2" t="s">
        <v>3681</v>
      </c>
      <c r="B623" s="3" t="str">
        <f>IFERROR(__xludf.DUMMYFUNCTION("GOOGLETRANSLATE(A623, ""ar"", ""bn"")"),"অন্ধ")</f>
        <v>অন্ধ</v>
      </c>
    </row>
    <row r="624">
      <c r="A624" s="2" t="s">
        <v>3682</v>
      </c>
      <c r="B624" s="3" t="str">
        <f>IFERROR(__xludf.DUMMYFUNCTION("GOOGLETRANSLATE(A624, ""ar"", ""bn"")"),"চোখের ঠুলি")</f>
        <v>চোখের ঠুলি</v>
      </c>
    </row>
    <row r="625">
      <c r="A625" s="2" t="s">
        <v>3683</v>
      </c>
      <c r="B625" s="3" t="str">
        <f>IFERROR(__xludf.DUMMYFUNCTION("GOOGLETRANSLATE(A625, ""ar"", ""bn"")"),"বেপরোয়াভাবে")</f>
        <v>বেপরোয়াভাবে</v>
      </c>
    </row>
    <row r="626">
      <c r="A626" s="2" t="s">
        <v>3684</v>
      </c>
      <c r="B626" s="3" t="str">
        <f>IFERROR(__xludf.DUMMYFUNCTION("GOOGLETRANSLATE(A626, ""ar"", ""bn"")"),"চোখ বেঁধে")</f>
        <v>চোখ বেঁধে</v>
      </c>
    </row>
    <row r="627">
      <c r="A627" s="2" t="s">
        <v>3684</v>
      </c>
      <c r="B627" s="3" t="str">
        <f>IFERROR(__xludf.DUMMYFUNCTION("GOOGLETRANSLATE(A627, ""ar"", ""bn"")"),"চোখ বেঁধে")</f>
        <v>চোখ বেঁধে</v>
      </c>
    </row>
    <row r="628">
      <c r="A628" s="2" t="s">
        <v>3685</v>
      </c>
      <c r="B628" s="3" t="str">
        <f>IFERROR(__xludf.DUMMYFUNCTION("GOOGLETRANSLATE(A628, ""ar"", ""bn"")"),"দৃষ্টি আচ্ছন্নকারী")</f>
        <v>দৃষ্টি আচ্ছন্নকারী</v>
      </c>
    </row>
    <row r="629">
      <c r="A629" s="2" t="s">
        <v>3686</v>
      </c>
      <c r="B629" s="3" t="str">
        <f>IFERROR(__xludf.DUMMYFUNCTION("GOOGLETRANSLATE(A629, ""ar"", ""bn"")"),"খুব পরিস্কার")</f>
        <v>খুব পরিস্কার</v>
      </c>
    </row>
    <row r="630">
      <c r="A630" s="2" t="s">
        <v>3687</v>
      </c>
      <c r="B630" s="3" t="str">
        <f>IFERROR(__xludf.DUMMYFUNCTION("GOOGLETRANSLATE(A630, ""ar"", ""bn"")"),"অন্ধভাবে")</f>
        <v>অন্ধভাবে</v>
      </c>
    </row>
    <row r="631">
      <c r="A631" s="2" t="s">
        <v>3688</v>
      </c>
      <c r="B631" s="3" t="str">
        <f>IFERROR(__xludf.DUMMYFUNCTION("GOOGLETRANSLATE(A631, ""ar"", ""bn"")"),"আমার চাচা")</f>
        <v>আমার চাচা</v>
      </c>
    </row>
    <row r="632">
      <c r="A632" s="2" t="s">
        <v>3689</v>
      </c>
      <c r="B632" s="3" t="str">
        <f>IFERROR(__xludf.DUMMYFUNCTION("GOOGLETRANSLATE(A632, ""ar"", ""bn"")"),"পর্দা")</f>
        <v>পর্দা</v>
      </c>
    </row>
    <row r="633">
      <c r="A633" s="2" t="s">
        <v>3690</v>
      </c>
      <c r="B633" s="3" t="str">
        <f>IFERROR(__xludf.DUMMYFUNCTION("GOOGLETRANSLATE(A633, ""ar"", ""bn"")"),"ভর")</f>
        <v>ভর</v>
      </c>
    </row>
    <row r="634">
      <c r="A634" s="2" t="s">
        <v>347</v>
      </c>
      <c r="B634" s="3" t="str">
        <f>IFERROR(__xludf.DUMMYFUNCTION("GOOGLETRANSLATE(A634, ""ar"", ""bn"")"),"নিরোধ")</f>
        <v>নিরোধ</v>
      </c>
    </row>
    <row r="635">
      <c r="A635" s="2" t="s">
        <v>3625</v>
      </c>
      <c r="B635" s="3" t="str">
        <f>IFERROR(__xludf.DUMMYFUNCTION("GOOGLETRANSLATE(A635, ""ar"", ""bn"")"),"নিরোধ করা")</f>
        <v>নিরোধ করা</v>
      </c>
    </row>
    <row r="636">
      <c r="A636" s="2" t="s">
        <v>3691</v>
      </c>
      <c r="B636" s="3" t="str">
        <f>IFERROR(__xludf.DUMMYFUNCTION("GOOGLETRANSLATE(A636, ""ar"", ""bn"")"),"নিরোধ")</f>
        <v>নিরোধ</v>
      </c>
    </row>
    <row r="637">
      <c r="A637" s="2" t="s">
        <v>347</v>
      </c>
      <c r="B637" s="3" t="str">
        <f>IFERROR(__xludf.DUMMYFUNCTION("GOOGLETRANSLATE(A637, ""ar"", ""bn"")"),"নিরোধ")</f>
        <v>নিরোধ</v>
      </c>
    </row>
    <row r="638">
      <c r="A638" s="2" t="s">
        <v>1636</v>
      </c>
      <c r="B638" s="3" t="str">
        <f>IFERROR(__xludf.DUMMYFUNCTION("GOOGLETRANSLATE(A638, ""ar"", ""bn"")"),"আপত্তি")</f>
        <v>আপত্তি</v>
      </c>
    </row>
    <row r="639">
      <c r="A639" s="2" t="s">
        <v>3692</v>
      </c>
      <c r="B639" s="3" t="str">
        <f>IFERROR(__xludf.DUMMYFUNCTION("GOOGLETRANSLATE(A639, ""ar"", ""bn"")"),"clogging")</f>
        <v>clogging</v>
      </c>
    </row>
    <row r="640">
      <c r="A640" s="2" t="s">
        <v>3693</v>
      </c>
      <c r="B640" s="3" t="str">
        <f>IFERROR(__xludf.DUMMYFUNCTION("GOOGLETRANSLATE(A640, ""ar"", ""bn"")"),"টার্নআউট বা ভোটদানের হার")</f>
        <v>টার্নআউট বা ভোটদানের হার</v>
      </c>
    </row>
    <row r="641">
      <c r="A641" s="2" t="s">
        <v>3694</v>
      </c>
      <c r="B641" s="3" t="str">
        <f>IFERROR(__xludf.DUMMYFUNCTION("GOOGLETRANSLATE(A641, ""ar"", ""bn"")"),"সিনেমাগুলো")</f>
        <v>সিনেমাগুলো</v>
      </c>
    </row>
    <row r="642">
      <c r="A642" s="2" t="s">
        <v>3695</v>
      </c>
      <c r="B642" s="3" t="str">
        <f>IFERROR(__xludf.DUMMYFUNCTION("GOOGLETRANSLATE(A642, ""ar"", ""bn"")"),"অবরুদ্ধ")</f>
        <v>অবরুদ্ধ</v>
      </c>
    </row>
    <row r="643">
      <c r="A643" s="2" t="s">
        <v>3696</v>
      </c>
      <c r="B643" s="3" t="str">
        <f>IFERROR(__xludf.DUMMYFUNCTION("GOOGLETRANSLATE(A643, ""ar"", ""bn"")"),"ব্লকার")</f>
        <v>ব্লকার</v>
      </c>
    </row>
    <row r="644">
      <c r="A644" s="2" t="s">
        <v>3697</v>
      </c>
      <c r="B644" s="3" t="str">
        <f>IFERROR(__xludf.DUMMYFUNCTION("GOOGLETRANSLATE(A644, ""ar"", ""bn"")"),"নির্বোধ")</f>
        <v>নির্বোধ</v>
      </c>
    </row>
    <row r="645">
      <c r="A645" s="2" t="s">
        <v>3698</v>
      </c>
      <c r="B645" s="3" t="str">
        <f>IFERROR(__xludf.DUMMYFUNCTION("GOOGLETRANSLATE(A645, ""ar"", ""bn"")"),"Rednecks")</f>
        <v>Rednecks</v>
      </c>
    </row>
    <row r="646">
      <c r="A646" s="2" t="s">
        <v>3699</v>
      </c>
      <c r="B646" s="3" t="str">
        <f>IFERROR(__xludf.DUMMYFUNCTION("GOOGLETRANSLATE(A646, ""ar"", ""bn"")"),"রোধক")</f>
        <v>রোধক</v>
      </c>
    </row>
    <row r="647">
      <c r="A647" s="2" t="s">
        <v>3700</v>
      </c>
      <c r="B647" s="3" t="str">
        <f>IFERROR(__xludf.DUMMYFUNCTION("GOOGLETRANSLATE(A647, ""ar"", ""bn"")"),"জনসাধারণ")</f>
        <v>জনসাধারণ</v>
      </c>
    </row>
    <row r="648">
      <c r="A648" s="2" t="s">
        <v>3701</v>
      </c>
      <c r="B648" s="3" t="str">
        <f>IFERROR(__xludf.DUMMYFUNCTION("GOOGLETRANSLATE(A648, ""ar"", ""bn"")"),"চর্বি")</f>
        <v>চর্বি</v>
      </c>
    </row>
    <row r="649">
      <c r="A649" s="2" t="s">
        <v>3697</v>
      </c>
      <c r="B649" s="3" t="str">
        <f>IFERROR(__xludf.DUMMYFUNCTION("GOOGLETRANSLATE(A649, ""ar"", ""bn"")"),"নির্বোধ")</f>
        <v>নির্বোধ</v>
      </c>
    </row>
    <row r="650">
      <c r="A650" s="2" t="s">
        <v>3698</v>
      </c>
      <c r="B650" s="3" t="str">
        <f>IFERROR(__xludf.DUMMYFUNCTION("GOOGLETRANSLATE(A650, ""ar"", ""bn"")"),"Rednecks")</f>
        <v>Rednecks</v>
      </c>
    </row>
    <row r="651">
      <c r="A651" s="2" t="s">
        <v>3702</v>
      </c>
      <c r="B651" s="3" t="str">
        <f>IFERROR(__xludf.DUMMYFUNCTION("GOOGLETRANSLATE(A651, ""ar"", ""bn"")"),"Bloodshed")</f>
        <v>Bloodshed</v>
      </c>
    </row>
    <row r="652">
      <c r="A652" s="2" t="s">
        <v>3703</v>
      </c>
      <c r="B652" s="3" t="str">
        <f>IFERROR(__xludf.DUMMYFUNCTION("GOOGLETRANSLATE(A652, ""ar"", ""bn"")"),"রক্তপিপাসু")</f>
        <v>রক্তপিপাসু</v>
      </c>
    </row>
    <row r="653">
      <c r="A653" s="2" t="s">
        <v>3704</v>
      </c>
      <c r="B653" s="3" t="str">
        <f>IFERROR(__xludf.DUMMYFUNCTION("GOOGLETRANSLATE(A653, ""ar"", ""bn"")"),"রক্তাক্ত")</f>
        <v>রক্তাক্ত</v>
      </c>
    </row>
    <row r="654">
      <c r="A654" s="2" t="s">
        <v>3705</v>
      </c>
      <c r="B654" s="3" t="str">
        <f>IFERROR(__xludf.DUMMYFUNCTION("GOOGLETRANSLATE(A654, ""ar"", ""bn"")"),"অধ: পতন")</f>
        <v>অধ: পতন</v>
      </c>
    </row>
    <row r="655">
      <c r="A655" s="2" t="s">
        <v>3697</v>
      </c>
      <c r="B655" s="3" t="str">
        <f>IFERROR(__xludf.DUMMYFUNCTION("GOOGLETRANSLATE(A655, ""ar"", ""bn"")"),"নির্বোধ")</f>
        <v>নির্বোধ</v>
      </c>
    </row>
    <row r="656">
      <c r="A656" s="2" t="s">
        <v>3705</v>
      </c>
      <c r="B656" s="3" t="str">
        <f>IFERROR(__xludf.DUMMYFUNCTION("GOOGLETRANSLATE(A656, ""ar"", ""bn"")"),"অধ: পতন")</f>
        <v>অধ: পতন</v>
      </c>
    </row>
    <row r="657">
      <c r="A657" s="2" t="s">
        <v>3706</v>
      </c>
      <c r="B657" s="3" t="str">
        <f>IFERROR(__xludf.DUMMYFUNCTION("GOOGLETRANSLATE(A657, ""ar"", ""bn"")"),"জড়ভরত")</f>
        <v>জড়ভরত</v>
      </c>
    </row>
    <row r="658">
      <c r="A658" s="2" t="s">
        <v>3707</v>
      </c>
      <c r="B658" s="3" t="str">
        <f>IFERROR(__xludf.DUMMYFUNCTION("GOOGLETRANSLATE(A658, ""ar"", ""bn"")"),"Missteps")</f>
        <v>Missteps</v>
      </c>
    </row>
    <row r="659">
      <c r="A659" s="2" t="s">
        <v>3708</v>
      </c>
      <c r="B659" s="3" t="str">
        <f>IFERROR(__xludf.DUMMYFUNCTION("GOOGLETRANSLATE(A659, ""ar"", ""bn"")"),"ত্রুটি")</f>
        <v>ত্রুটি</v>
      </c>
    </row>
    <row r="660">
      <c r="A660" s="2" t="s">
        <v>3709</v>
      </c>
      <c r="B660" s="3" t="str">
        <f>IFERROR(__xludf.DUMMYFUNCTION("GOOGLETRANSLATE(A660, ""ar"", ""bn"")"),"ভোঁতা")</f>
        <v>ভোঁতা</v>
      </c>
    </row>
    <row r="661">
      <c r="A661" s="2" t="s">
        <v>3609</v>
      </c>
      <c r="B661" s="3" t="str">
        <f>IFERROR(__xludf.DUMMYFUNCTION("GOOGLETRANSLATE(A661, ""ar"", ""bn"")"),"হ্রাস করা")</f>
        <v>হ্রাস করা</v>
      </c>
    </row>
    <row r="662">
      <c r="A662" s="2" t="s">
        <v>3710</v>
      </c>
      <c r="B662" s="3" t="str">
        <f>IFERROR(__xludf.DUMMYFUNCTION("GOOGLETRANSLATE(A662, ""ar"", ""bn"")"),"Blunter")</f>
        <v>Blunter</v>
      </c>
    </row>
    <row r="663">
      <c r="A663" s="2" t="s">
        <v>3711</v>
      </c>
      <c r="B663" s="3" t="str">
        <f>IFERROR(__xludf.DUMMYFUNCTION("GOOGLETRANSLATE(A663, ""ar"", ""bn"")"),"অ তীব্র")</f>
        <v>অ তীব্র</v>
      </c>
    </row>
    <row r="664">
      <c r="A664" s="2" t="s">
        <v>3712</v>
      </c>
      <c r="B664" s="3" t="str">
        <f>IFERROR(__xludf.DUMMYFUNCTION("GOOGLETRANSLATE(A664, ""ar"", ""bn"")"),"প্রতিরোধ করা")</f>
        <v>প্রতিরোধ করা</v>
      </c>
    </row>
    <row r="665">
      <c r="A665" s="2" t="s">
        <v>3713</v>
      </c>
      <c r="B665" s="3" t="str">
        <f>IFERROR(__xludf.DUMMYFUNCTION("GOOGLETRANSLATE(A665, ""ar"", ""bn"")"),"সত্যি বলতে")</f>
        <v>সত্যি বলতে</v>
      </c>
    </row>
    <row r="666">
      <c r="A666" s="2" t="s">
        <v>3714</v>
      </c>
      <c r="B666" s="3" t="str">
        <f>IFERROR(__xludf.DUMMYFUNCTION("GOOGLETRANSLATE(A666, ""ar"", ""bn"")"),"কর্কশতা")</f>
        <v>কর্কশতা</v>
      </c>
    </row>
    <row r="667">
      <c r="A667" s="2" t="s">
        <v>3715</v>
      </c>
      <c r="B667" s="3" t="str">
        <f>IFERROR(__xludf.DUMMYFUNCTION("GOOGLETRANSLATE(A667, ""ar"", ""bn"")"),"ভোঁতা")</f>
        <v>ভোঁতা</v>
      </c>
    </row>
    <row r="668">
      <c r="A668" s="2" t="s">
        <v>3716</v>
      </c>
      <c r="B668" s="3" t="str">
        <f>IFERROR(__xludf.DUMMYFUNCTION("GOOGLETRANSLATE(A668, ""ar"", ""bn"")"),"দাগ")</f>
        <v>দাগ</v>
      </c>
    </row>
    <row r="669">
      <c r="A669" s="2" t="s">
        <v>3717</v>
      </c>
      <c r="B669" s="3" t="str">
        <f>IFERROR(__xludf.DUMMYFUNCTION("GOOGLETRANSLATE(A669, ""ar"", ""bn"")"),"গ্রন্থ-সম্বন্ধে প্রকাশকের প্রচারলিপি")</f>
        <v>গ্রন্থ-সম্বন্ধে প্রকাশকের প্রচারলিপি</v>
      </c>
    </row>
    <row r="670">
      <c r="A670" s="2" t="s">
        <v>3718</v>
      </c>
      <c r="B670" s="3" t="str">
        <f>IFERROR(__xludf.DUMMYFUNCTION("GOOGLETRANSLATE(A670, ""ar"", ""bn"")"),"গ্রন্থে")</f>
        <v>গ্রন্থে</v>
      </c>
    </row>
    <row r="671">
      <c r="A671" s="2" t="s">
        <v>3719</v>
      </c>
      <c r="B671" s="3" t="str">
        <f>IFERROR(__xludf.DUMMYFUNCTION("GOOGLETRANSLATE(A671, ""ar"", ""bn"")"),"স্বচ্ছতার অভাব")</f>
        <v>স্বচ্ছতার অভাব</v>
      </c>
    </row>
    <row r="672">
      <c r="A672" s="2" t="s">
        <v>3720</v>
      </c>
      <c r="B672" s="3" t="str">
        <f>IFERROR(__xludf.DUMMYFUNCTION("GOOGLETRANSLATE(A672, ""ar"", ""bn"")"),"অস্পষ্ট করা")</f>
        <v>অস্পষ্ট করা</v>
      </c>
    </row>
    <row r="673">
      <c r="A673" s="2" t="s">
        <v>3720</v>
      </c>
      <c r="B673" s="3" t="str">
        <f>IFERROR(__xludf.DUMMYFUNCTION("GOOGLETRANSLATE(A673, ""ar"", ""bn"")"),"অস্পষ্ট করা")</f>
        <v>অস্পষ্ট করা</v>
      </c>
    </row>
    <row r="674">
      <c r="A674" s="2" t="s">
        <v>3721</v>
      </c>
      <c r="B674" s="3" t="str">
        <f>IFERROR(__xludf.DUMMYFUNCTION("GOOGLETRANSLATE(A674, ""ar"", ""bn"")"),"Obliterates")</f>
        <v>Obliterates</v>
      </c>
    </row>
    <row r="675">
      <c r="A675" s="2" t="s">
        <v>3722</v>
      </c>
      <c r="B675" s="3" t="str">
        <f>IFERROR(__xludf.DUMMYFUNCTION("GOOGLETRANSLATE(A675, ""ar"", ""bn"")"),"বলে ফেলা")</f>
        <v>বলে ফেলা</v>
      </c>
    </row>
    <row r="676">
      <c r="A676" s="2" t="s">
        <v>3723</v>
      </c>
      <c r="B676" s="3" t="str">
        <f>IFERROR(__xludf.DUMMYFUNCTION("GOOGLETRANSLATE(A676, ""ar"", ""bn"")"),"ফাঁস করা")</f>
        <v>ফাঁস করা</v>
      </c>
    </row>
    <row r="677">
      <c r="A677" s="2" t="s">
        <v>3724</v>
      </c>
      <c r="B677" s="3" t="str">
        <f>IFERROR(__xludf.DUMMYFUNCTION("GOOGLETRANSLATE(A677, ""ar"", ""bn"")"),"শব্দ বলে ফেলা")</f>
        <v>শব্দ বলে ফেলা</v>
      </c>
    </row>
    <row r="678">
      <c r="A678" s="2" t="s">
        <v>3722</v>
      </c>
      <c r="B678" s="3" t="str">
        <f>IFERROR(__xludf.DUMMYFUNCTION("GOOGLETRANSLATE(A678, ""ar"", ""bn"")"),"বলে ফেলা")</f>
        <v>বলে ফেলা</v>
      </c>
    </row>
    <row r="679">
      <c r="A679" s="2" t="s">
        <v>3723</v>
      </c>
      <c r="B679" s="3" t="str">
        <f>IFERROR(__xludf.DUMMYFUNCTION("GOOGLETRANSLATE(A679, ""ar"", ""bn"")"),"ফাঁস করা")</f>
        <v>ফাঁস করা</v>
      </c>
    </row>
    <row r="680">
      <c r="A680" s="2" t="s">
        <v>3724</v>
      </c>
      <c r="B680" s="3" t="str">
        <f>IFERROR(__xludf.DUMMYFUNCTION("GOOGLETRANSLATE(A680, ""ar"", ""bn"")"),"শব্দ বলে ফেলা")</f>
        <v>শব্দ বলে ফেলা</v>
      </c>
    </row>
    <row r="681">
      <c r="A681" s="2" t="s">
        <v>3725</v>
      </c>
      <c r="B681" s="3" t="str">
        <f>IFERROR(__xludf.DUMMYFUNCTION("GOOGLETRANSLATE(A681, ""ar"", ""bn"")"),"দম্ভ দেখানো")</f>
        <v>দম্ভ দেখানো</v>
      </c>
    </row>
    <row r="682">
      <c r="A682" s="2" t="s">
        <v>3726</v>
      </c>
      <c r="B682" s="3" t="str">
        <f>IFERROR(__xludf.DUMMYFUNCTION("GOOGLETRANSLATE(A682, ""ar"", ""bn"")"),"উদ্যম")</f>
        <v>উদ্যম</v>
      </c>
    </row>
    <row r="683">
      <c r="A683" s="2" t="s">
        <v>3727</v>
      </c>
      <c r="B683" s="3" t="str">
        <f>IFERROR(__xludf.DUMMYFUNCTION("GOOGLETRANSLATE(A683, ""ar"", ""bn"")"),"হামবড়া")</f>
        <v>হামবড়া</v>
      </c>
    </row>
    <row r="684">
      <c r="A684" s="2" t="s">
        <v>3728</v>
      </c>
      <c r="B684" s="3" t="str">
        <f>IFERROR(__xludf.DUMMYFUNCTION("GOOGLETRANSLATE(A684, ""ar"", ""bn"")"),"উদ্ধত")</f>
        <v>উদ্ধত</v>
      </c>
    </row>
    <row r="685">
      <c r="A685" s="2" t="s">
        <v>3729</v>
      </c>
      <c r="B685" s="3" t="str">
        <f>IFERROR(__xludf.DUMMYFUNCTION("GOOGLETRANSLATE(A685, ""ar"", ""bn"")"),"দাম্ভিক")</f>
        <v>দাম্ভিক</v>
      </c>
    </row>
    <row r="686">
      <c r="A686" s="2" t="s">
        <v>3730</v>
      </c>
      <c r="B686" s="3" t="str">
        <f>IFERROR(__xludf.DUMMYFUNCTION("GOOGLETRANSLATE(A686, ""ar"", ""bn"")"),"আরো গর্ব")</f>
        <v>আরো গর্ব</v>
      </c>
    </row>
    <row r="687">
      <c r="A687" s="2" t="s">
        <v>3726</v>
      </c>
      <c r="B687" s="3" t="str">
        <f>IFERROR(__xludf.DUMMYFUNCTION("GOOGLETRANSLATE(A687, ""ar"", ""bn"")"),"উদ্যম")</f>
        <v>উদ্যম</v>
      </c>
    </row>
    <row r="688">
      <c r="A688" s="2" t="s">
        <v>3731</v>
      </c>
      <c r="B688" s="3" t="str">
        <f>IFERROR(__xludf.DUMMYFUNCTION("GOOGLETRANSLATE(A688, ""ar"", ""bn"")"),"জাহির করা")</f>
        <v>জাহির করা</v>
      </c>
    </row>
    <row r="689">
      <c r="A689" s="2" t="s">
        <v>3732</v>
      </c>
      <c r="B689" s="3" t="str">
        <f>IFERROR(__xludf.DUMMYFUNCTION("GOOGLETRANSLATE(A689, ""ar"", ""bn"")"),"boasts")</f>
        <v>boasts</v>
      </c>
    </row>
    <row r="690">
      <c r="A690" s="2" t="s">
        <v>3733</v>
      </c>
      <c r="B690" s="3" t="str">
        <f>IFERROR(__xludf.DUMMYFUNCTION("GOOGLETRANSLATE(A690, ""ar"", ""bn"")"),"বাজে")</f>
        <v>বাজে</v>
      </c>
    </row>
    <row r="691">
      <c r="A691" s="2" t="s">
        <v>3734</v>
      </c>
      <c r="B691" s="3" t="str">
        <f>IFERROR(__xludf.DUMMYFUNCTION("GOOGLETRANSLATE(A691, ""ar"", ""bn"")"),"ঝড়ো")</f>
        <v>ঝড়ো</v>
      </c>
    </row>
    <row r="692">
      <c r="A692" s="2" t="s">
        <v>3735</v>
      </c>
      <c r="B692" s="3" t="str">
        <f>IFERROR(__xludf.DUMMYFUNCTION("GOOGLETRANSLATE(A692, ""ar"", ""bn"")"),"সশব্দে")</f>
        <v>সশব্দে</v>
      </c>
    </row>
    <row r="693">
      <c r="A693" s="2" t="s">
        <v>3736</v>
      </c>
      <c r="B693" s="3" t="str">
        <f>IFERROR(__xludf.DUMMYFUNCTION("GOOGLETRANSLATE(A693, ""ar"", ""bn"")"),"বাজ ধর্মঘট")</f>
        <v>বাজ ধর্মঘট</v>
      </c>
    </row>
    <row r="694">
      <c r="A694" s="2" t="s">
        <v>3737</v>
      </c>
      <c r="B694" s="3" t="str">
        <f>IFERROR(__xludf.DUMMYFUNCTION("GOOGLETRANSLATE(A694, ""ar"", ""bn"")"),"প্রত্যাহার")</f>
        <v>প্রত্যাহার</v>
      </c>
    </row>
    <row r="695">
      <c r="A695" s="2" t="s">
        <v>3738</v>
      </c>
      <c r="B695" s="3" t="str">
        <f>IFERROR(__xludf.DUMMYFUNCTION("GOOGLETRANSLATE(A695, ""ar"", ""bn"")"),"ভোটার")</f>
        <v>ভোটার</v>
      </c>
    </row>
    <row r="696">
      <c r="A696" s="2" t="s">
        <v>3739</v>
      </c>
      <c r="B696" s="3" t="str">
        <f>IFERROR(__xludf.DUMMYFUNCTION("GOOGLETRANSLATE(A696, ""ar"", ""bn"")"),"স্ক্রু")</f>
        <v>স্ক্রু</v>
      </c>
    </row>
    <row r="697">
      <c r="A697" s="2" t="s">
        <v>3740</v>
      </c>
      <c r="B697" s="3" t="str">
        <f>IFERROR(__xludf.DUMMYFUNCTION("GOOGLETRANSLATE(A697, ""ar"", ""bn"")"),"বোমা")</f>
        <v>বোমা</v>
      </c>
    </row>
    <row r="698">
      <c r="A698" s="2" t="s">
        <v>3741</v>
      </c>
      <c r="B698" s="3" t="str">
        <f>IFERROR(__xludf.DUMMYFUNCTION("GOOGLETRANSLATE(A698, ""ar"", ""bn"")"),"বোমাবর্ষণ")</f>
        <v>বোমাবর্ষণ</v>
      </c>
    </row>
    <row r="699">
      <c r="A699" s="2" t="s">
        <v>3741</v>
      </c>
      <c r="B699" s="3" t="str">
        <f>IFERROR(__xludf.DUMMYFUNCTION("GOOGLETRANSLATE(A699, ""ar"", ""bn"")"),"বোমাবর্ষণ")</f>
        <v>বোমাবর্ষণ</v>
      </c>
    </row>
    <row r="700">
      <c r="A700" s="2" t="s">
        <v>3742</v>
      </c>
      <c r="B700" s="3" t="str">
        <f>IFERROR(__xludf.DUMMYFUNCTION("GOOGLETRANSLATE(A700, ""ar"", ""bn"")"),"গোলন্দাজ")</f>
        <v>গোলন্দাজ</v>
      </c>
    </row>
    <row r="701">
      <c r="A701" s="2" t="s">
        <v>3743</v>
      </c>
      <c r="B701" s="3" t="str">
        <f>IFERROR(__xludf.DUMMYFUNCTION("GOOGLETRANSLATE(A701, ""ar"", ""bn"")"),"বোমাবর্ষণ")</f>
        <v>বোমাবর্ষণ</v>
      </c>
    </row>
    <row r="702">
      <c r="A702" s="2" t="s">
        <v>3741</v>
      </c>
      <c r="B702" s="3" t="str">
        <f>IFERROR(__xludf.DUMMYFUNCTION("GOOGLETRANSLATE(A702, ""ar"", ""bn"")"),"বোমাবর্ষণ")</f>
        <v>বোমাবর্ষণ</v>
      </c>
    </row>
    <row r="703">
      <c r="A703" s="2" t="s">
        <v>3744</v>
      </c>
      <c r="B703" s="3" t="str">
        <f>IFERROR(__xludf.DUMMYFUNCTION("GOOGLETRANSLATE(A703, ""ar"", ""bn"")"),"বোমাবর্ষণের")</f>
        <v>বোমাবর্ষণের</v>
      </c>
    </row>
    <row r="704">
      <c r="A704" s="2" t="s">
        <v>3745</v>
      </c>
      <c r="B704" s="3" t="str">
        <f>IFERROR(__xludf.DUMMYFUNCTION("GOOGLETRANSLATE(A704, ""ar"", ""bn"")"),"বোমাবর্ষণের")</f>
        <v>বোমাবর্ষণের</v>
      </c>
    </row>
    <row r="705">
      <c r="A705" s="2" t="s">
        <v>3746</v>
      </c>
      <c r="B705" s="3" t="str">
        <f>IFERROR(__xludf.DUMMYFUNCTION("GOOGLETRANSLATE(A705, ""ar"", ""bn"")"),"শব্দাড়ম্বরপূর্ণ ভাষা")</f>
        <v>শব্দাড়ম্বরপূর্ণ ভাষা</v>
      </c>
    </row>
    <row r="706">
      <c r="A706" s="2" t="s">
        <v>3747</v>
      </c>
      <c r="B706" s="3" t="str">
        <f>IFERROR(__xludf.DUMMYFUNCTION("GOOGLETRANSLATE(A706, ""ar"", ""bn"")"),"প্রসাধিত")</f>
        <v>প্রসাধিত</v>
      </c>
    </row>
    <row r="707">
      <c r="A707" s="2" t="s">
        <v>3748</v>
      </c>
      <c r="B707" s="3" t="str">
        <f>IFERROR(__xludf.DUMMYFUNCTION("GOOGLETRANSLATE(A707, ""ar"", ""bn"")"),"বোম্বাই")</f>
        <v>বোম্বাই</v>
      </c>
    </row>
    <row r="708">
      <c r="A708" s="2" t="s">
        <v>3749</v>
      </c>
      <c r="B708" s="3" t="str">
        <f>IFERROR(__xludf.DUMMYFUNCTION("GOOGLETRANSLATE(A708, ""ar"", ""bn"")"),"বোমাবর্ষণ")</f>
        <v>বোমাবর্ষণ</v>
      </c>
    </row>
    <row r="709">
      <c r="A709" s="2" t="s">
        <v>3750</v>
      </c>
      <c r="B709" s="3" t="str">
        <f>IFERROR(__xludf.DUMMYFUNCTION("GOOGLETRANSLATE(A709, ""ar"", ""bn"")"),"বোমারু বিমান")</f>
        <v>বোমারু বিমান</v>
      </c>
    </row>
    <row r="710">
      <c r="A710" s="2" t="s">
        <v>3751</v>
      </c>
      <c r="B710" s="3" t="str">
        <f>IFERROR(__xludf.DUMMYFUNCTION("GOOGLETRANSLATE(A710, ""ar"", ""bn"")"),"আত্মহত্যা")</f>
        <v>আত্মহত্যা</v>
      </c>
    </row>
    <row r="711">
      <c r="A711" s="2" t="s">
        <v>3741</v>
      </c>
      <c r="B711" s="3" t="str">
        <f>IFERROR(__xludf.DUMMYFUNCTION("GOOGLETRANSLATE(A711, ""ar"", ""bn"")"),"বোমাবর্ষণ")</f>
        <v>বোমাবর্ষণ</v>
      </c>
    </row>
    <row r="712">
      <c r="A712" s="2" t="s">
        <v>3752</v>
      </c>
      <c r="B712" s="3" t="str">
        <f>IFERROR(__xludf.DUMMYFUNCTION("GOOGLETRANSLATE(A712, ""ar"", ""bn"")"),"বোমা হামলা")</f>
        <v>বোমা হামলা</v>
      </c>
    </row>
    <row r="713">
      <c r="A713" s="2" t="s">
        <v>3753</v>
      </c>
      <c r="B713" s="3" t="str">
        <f>IFERROR(__xludf.DUMMYFUNCTION("GOOGLETRANSLATE(A713, ""ar"", ""bn"")"),"বোমা")</f>
        <v>বোমা</v>
      </c>
    </row>
    <row r="714">
      <c r="A714" s="2" t="s">
        <v>3740</v>
      </c>
      <c r="B714" s="3" t="str">
        <f>IFERROR(__xludf.DUMMYFUNCTION("GOOGLETRANSLATE(A714, ""ar"", ""bn"")"),"বোমা")</f>
        <v>বোমা</v>
      </c>
    </row>
    <row r="715">
      <c r="A715" s="2" t="s">
        <v>3754</v>
      </c>
      <c r="B715" s="3" t="str">
        <f>IFERROR(__xludf.DUMMYFUNCTION("GOOGLETRANSLATE(A715, ""ar"", ""bn"")"),"ডোর")</f>
        <v>ডোর</v>
      </c>
    </row>
    <row r="716">
      <c r="A716" s="2" t="s">
        <v>3755</v>
      </c>
      <c r="B716" s="3" t="str">
        <f>IFERROR(__xludf.DUMMYFUNCTION("GOOGLETRANSLATE(A716, ""ar"", ""bn"")"),"গহ্বর")</f>
        <v>গহ্বর</v>
      </c>
    </row>
    <row r="717">
      <c r="A717" s="2" t="s">
        <v>3756</v>
      </c>
      <c r="B717" s="3" t="str">
        <f>IFERROR(__xludf.DUMMYFUNCTION("GOOGLETRANSLATE(A717, ""ar"", ""bn"")"),"উত্তর")</f>
        <v>উত্তর</v>
      </c>
    </row>
    <row r="718">
      <c r="A718" s="2" t="s">
        <v>3757</v>
      </c>
      <c r="B718" s="3" t="str">
        <f>IFERROR(__xludf.DUMMYFUNCTION("GOOGLETRANSLATE(A718, ""ar"", ""bn"")"),"একঘেয়েমি")</f>
        <v>একঘেয়েমি</v>
      </c>
    </row>
    <row r="719">
      <c r="A719" s="2" t="s">
        <v>3758</v>
      </c>
      <c r="B719" s="3" t="str">
        <f>IFERROR(__xludf.DUMMYFUNCTION("GOOGLETRANSLATE(A719, ""ar"", ""bn"")"),"বিরক্তিকর")</f>
        <v>বিরক্তিকর</v>
      </c>
    </row>
    <row r="720">
      <c r="A720" s="2" t="s">
        <v>3759</v>
      </c>
      <c r="B720" s="3" t="str">
        <f>IFERROR(__xludf.DUMMYFUNCTION("GOOGLETRANSLATE(A720, ""ar"", ""bn"")"),"আমরা হব")</f>
        <v>আমরা হব</v>
      </c>
    </row>
    <row r="721">
      <c r="A721" s="2" t="s">
        <v>3760</v>
      </c>
      <c r="B721" s="3" t="str">
        <f>IFERROR(__xludf.DUMMYFUNCTION("GOOGLETRANSLATE(A721, ""ar"", ""bn"")"),"ওয়েলস")</f>
        <v>ওয়েলস</v>
      </c>
    </row>
    <row r="722">
      <c r="A722" s="2" t="s">
        <v>3761</v>
      </c>
      <c r="B722" s="3" t="str">
        <f>IFERROR(__xludf.DUMMYFUNCTION("GOOGLETRANSLATE(A722, ""ar"", ""bn"")"),"সচ্ছিদ্র")</f>
        <v>সচ্ছিদ্র</v>
      </c>
    </row>
    <row r="723">
      <c r="A723" s="2" t="s">
        <v>3762</v>
      </c>
      <c r="B723" s="3" t="str">
        <f>IFERROR(__xludf.DUMMYFUNCTION("GOOGLETRANSLATE(A723, ""ar"", ""bn"")"),"Borers")</f>
        <v>Borers</v>
      </c>
    </row>
    <row r="724">
      <c r="A724" s="2" t="s">
        <v>3763</v>
      </c>
      <c r="B724" s="3" t="str">
        <f>IFERROR(__xludf.DUMMYFUNCTION("GOOGLETRANSLATE(A724, ""ar"", ""bn"")"),"bores")</f>
        <v>bores</v>
      </c>
    </row>
    <row r="725">
      <c r="A725" s="2" t="s">
        <v>3764</v>
      </c>
      <c r="B725" s="3" t="str">
        <f>IFERROR(__xludf.DUMMYFUNCTION("GOOGLETRANSLATE(A725, ""ar"", ""bn"")"),"Boring")</f>
        <v>Boring</v>
      </c>
    </row>
    <row r="726">
      <c r="A726" s="2" t="s">
        <v>3764</v>
      </c>
      <c r="B726" s="3" t="str">
        <f>IFERROR(__xludf.DUMMYFUNCTION("GOOGLETRANSLATE(A726, ""ar"", ""bn"")"),"Boring")</f>
        <v>Boring</v>
      </c>
    </row>
    <row r="727">
      <c r="A727" s="2" t="s">
        <v>3382</v>
      </c>
      <c r="B727" s="3" t="str">
        <f>IFERROR(__xludf.DUMMYFUNCTION("GOOGLETRANSLATE(A727, ""ar"", ""bn"")"),"ঝগড়া")</f>
        <v>ঝগড়া</v>
      </c>
    </row>
    <row r="728">
      <c r="A728" s="2" t="s">
        <v>3765</v>
      </c>
      <c r="B728" s="3" t="str">
        <f>IFERROR(__xludf.DUMMYFUNCTION("GOOGLETRANSLATE(A728, ""ar"", ""bn"")"),"বিরক্ত")</f>
        <v>বিরক্ত</v>
      </c>
    </row>
    <row r="729">
      <c r="A729" s="2" t="s">
        <v>3766</v>
      </c>
      <c r="B729" s="3" t="str">
        <f>IFERROR(__xludf.DUMMYFUNCTION("GOOGLETRANSLATE(A729, ""ar"", ""bn"")"),"হয়রানি")</f>
        <v>হয়রানি</v>
      </c>
    </row>
    <row r="730">
      <c r="A730" s="2" t="s">
        <v>3387</v>
      </c>
      <c r="B730" s="3" t="str">
        <f>IFERROR(__xludf.DUMMYFUNCTION("GOOGLETRANSLATE(A730, ""ar"", ""bn"")"),"মাথা ঘামান")</f>
        <v>মাথা ঘামান</v>
      </c>
    </row>
    <row r="731">
      <c r="A731" s="2" t="s">
        <v>3386</v>
      </c>
      <c r="B731" s="3" t="str">
        <f>IFERROR(__xludf.DUMMYFUNCTION("GOOGLETRANSLATE(A731, ""ar"", ""bn"")"),"বিরক্তিকর")</f>
        <v>বিরক্তিকর</v>
      </c>
    </row>
    <row r="732">
      <c r="A732" s="2" t="s">
        <v>3726</v>
      </c>
      <c r="B732" s="3" t="str">
        <f>IFERROR(__xludf.DUMMYFUNCTION("GOOGLETRANSLATE(A732, ""ar"", ""bn"")"),"উদ্যম")</f>
        <v>উদ্যম</v>
      </c>
    </row>
    <row r="733">
      <c r="A733" s="2" t="s">
        <v>3477</v>
      </c>
      <c r="B733" s="3" t="str">
        <f>IFERROR(__xludf.DUMMYFUNCTION("GOOGLETRANSLATE(A733, ""ar"", ""bn"")"),"ফচকে")</f>
        <v>ফচকে</v>
      </c>
    </row>
    <row r="734">
      <c r="A734" s="2" t="s">
        <v>3767</v>
      </c>
      <c r="B734" s="3" t="str">
        <f>IFERROR(__xludf.DUMMYFUNCTION("GOOGLETRANSLATE(A734, ""ar"", ""bn"")"),"Almtfajron")</f>
        <v>Almtfajron</v>
      </c>
    </row>
    <row r="735">
      <c r="A735" s="2" t="s">
        <v>3726</v>
      </c>
      <c r="B735" s="3" t="str">
        <f>IFERROR(__xludf.DUMMYFUNCTION("GOOGLETRANSLATE(A735, ""ar"", ""bn"")"),"উদ্যম")</f>
        <v>উদ্যম</v>
      </c>
    </row>
    <row r="736">
      <c r="A736" s="2" t="s">
        <v>3477</v>
      </c>
      <c r="B736" s="3" t="str">
        <f>IFERROR(__xludf.DUMMYFUNCTION("GOOGLETRANSLATE(A736, ""ar"", ""bn"")"),"ফচকে")</f>
        <v>ফচকে</v>
      </c>
    </row>
    <row r="737">
      <c r="A737" s="2" t="s">
        <v>3768</v>
      </c>
      <c r="B737" s="3" t="str">
        <f>IFERROR(__xludf.DUMMYFUNCTION("GOOGLETRANSLATE(A737, ""ar"", ""bn"")"),"অতিরঞ্জন")</f>
        <v>অতিরঞ্জন</v>
      </c>
    </row>
    <row r="738">
      <c r="A738" s="2" t="s">
        <v>3769</v>
      </c>
      <c r="B738" s="3" t="str">
        <f>IFERROR(__xludf.DUMMYFUNCTION("GOOGLETRANSLATE(A738, ""ar"", ""bn"")"),"ভাঁজা")</f>
        <v>ভাঁজা</v>
      </c>
    </row>
    <row r="739">
      <c r="A739" s="2" t="s">
        <v>3770</v>
      </c>
      <c r="B739" s="3" t="str">
        <f>IFERROR(__xludf.DUMMYFUNCTION("GOOGLETRANSLATE(A739, ""ar"", ""bn"")"),"ফলক")</f>
        <v>ফলক</v>
      </c>
    </row>
    <row r="740">
      <c r="A740" s="2" t="s">
        <v>3771</v>
      </c>
      <c r="B740" s="3" t="str">
        <f>IFERROR(__xludf.DUMMYFUNCTION("GOOGLETRANSLATE(A740, ""ar"", ""bn"")"),"তরঙ্গ")</f>
        <v>তরঙ্গ</v>
      </c>
    </row>
    <row r="741">
      <c r="A741" s="2" t="s">
        <v>3772</v>
      </c>
      <c r="B741" s="3" t="str">
        <f>IFERROR(__xludf.DUMMYFUNCTION("GOOGLETRANSLATE(A741, ""ar"", ""bn"")"),"waving")</f>
        <v>waving</v>
      </c>
    </row>
    <row r="742">
      <c r="A742" s="2" t="s">
        <v>3773</v>
      </c>
      <c r="B742" s="3" t="str">
        <f>IFERROR(__xludf.DUMMYFUNCTION("GOOGLETRANSLATE(A742, ""ar"", ""bn"")"),"দুষ্টু")</f>
        <v>দুষ্টু</v>
      </c>
    </row>
    <row r="743">
      <c r="A743" s="2" t="s">
        <v>3774</v>
      </c>
      <c r="B743" s="3" t="str">
        <f>IFERROR(__xludf.DUMMYFUNCTION("GOOGLETRANSLATE(A743, ""ar"", ""bn"")"),"পিট")</f>
        <v>পিট</v>
      </c>
    </row>
    <row r="744">
      <c r="A744" s="2" t="s">
        <v>3775</v>
      </c>
      <c r="B744" s="3" t="str">
        <f>IFERROR(__xludf.DUMMYFUNCTION("GOOGLETRANSLATE(A744, ""ar"", ""bn"")"),"বাহাদুরি")</f>
        <v>বাহাদুরি</v>
      </c>
    </row>
    <row r="745">
      <c r="A745" s="2" t="s">
        <v>3776</v>
      </c>
      <c r="B745" s="3" t="str">
        <f>IFERROR(__xludf.DUMMYFUNCTION("GOOGLETRANSLATE(A745, ""ar"", ""bn"")"),"ঝগড়া")</f>
        <v>ঝগড়া</v>
      </c>
    </row>
    <row r="746">
      <c r="A746" s="2" t="s">
        <v>3777</v>
      </c>
      <c r="B746" s="3" t="str">
        <f>IFERROR(__xludf.DUMMYFUNCTION("GOOGLETRANSLATE(A746, ""ar"", ""bn"")"),"ঝগড়া")</f>
        <v>ঝগড়া</v>
      </c>
    </row>
    <row r="747">
      <c r="A747" s="2" t="s">
        <v>3778</v>
      </c>
      <c r="B747" s="3" t="str">
        <f>IFERROR(__xludf.DUMMYFUNCTION("GOOGLETRANSLATE(A747, ""ar"", ""bn"")"),"সাহস")</f>
        <v>সাহস</v>
      </c>
    </row>
    <row r="748">
      <c r="A748" s="2" t="s">
        <v>3779</v>
      </c>
      <c r="B748" s="3" t="str">
        <f>IFERROR(__xludf.DUMMYFUNCTION("GOOGLETRANSLATE(A748, ""ar"", ""bn"")"),"টিফ")</f>
        <v>টিফ</v>
      </c>
    </row>
    <row r="749">
      <c r="A749" s="2" t="s">
        <v>3780</v>
      </c>
      <c r="B749" s="3" t="str">
        <f>IFERROR(__xludf.DUMMYFUNCTION("GOOGLETRANSLATE(A749, ""ar"", ""bn"")"),"ঝগড়া")</f>
        <v>ঝগড়া</v>
      </c>
    </row>
    <row r="750">
      <c r="A750" s="2" t="s">
        <v>3781</v>
      </c>
      <c r="B750" s="3" t="str">
        <f>IFERROR(__xludf.DUMMYFUNCTION("GOOGLETRANSLATE(A750, ""ar"", ""bn"")"),"লজ্জাহীন")</f>
        <v>লজ্জাহীন</v>
      </c>
    </row>
    <row r="751">
      <c r="A751" s="2" t="s">
        <v>3782</v>
      </c>
      <c r="B751" s="3" t="str">
        <f>IFERROR(__xludf.DUMMYFUNCTION("GOOGLETRANSLATE(A751, ""ar"", ""bn"")"),"নির্ভয়ে")</f>
        <v>নির্ভয়ে</v>
      </c>
    </row>
    <row r="752">
      <c r="A752" s="2" t="s">
        <v>3783</v>
      </c>
      <c r="B752" s="3" t="str">
        <f>IFERROR(__xludf.DUMMYFUNCTION("GOOGLETRANSLATE(A752, ""ar"", ""bn"")"),"নির্লজ্জতা")</f>
        <v>নির্লজ্জতা</v>
      </c>
    </row>
    <row r="753">
      <c r="A753" s="2" t="s">
        <v>3784</v>
      </c>
      <c r="B753" s="3" t="str">
        <f>IFERROR(__xludf.DUMMYFUNCTION("GOOGLETRANSLATE(A753, ""ar"", ""bn"")"),"বিরতি থেকে")</f>
        <v>বিরতি থেকে</v>
      </c>
    </row>
    <row r="754">
      <c r="A754" s="2" t="s">
        <v>3785</v>
      </c>
      <c r="B754" s="3" t="str">
        <f>IFERROR(__xludf.DUMMYFUNCTION("GOOGLETRANSLATE(A754, ""ar"", ""bn"")"),"অতিক্রান্ত")</f>
        <v>অতিক্রান্ত</v>
      </c>
    </row>
    <row r="755">
      <c r="A755" s="2" t="s">
        <v>3786</v>
      </c>
      <c r="B755" s="3" t="str">
        <f>IFERROR(__xludf.DUMMYFUNCTION("GOOGLETRANSLATE(A755, ""ar"", ""bn"")"),"অমান্যকারীদের")</f>
        <v>অমান্যকারীদের</v>
      </c>
    </row>
    <row r="756">
      <c r="A756" s="2" t="s">
        <v>3787</v>
      </c>
      <c r="B756" s="3" t="str">
        <f>IFERROR(__xludf.DUMMYFUNCTION("GOOGLETRANSLATE(A756, ""ar"", ""bn"")"),"শত্রুবূহ্যভেদ")</f>
        <v>শত্রুবূহ্যভেদ</v>
      </c>
    </row>
    <row r="757">
      <c r="A757" s="2" t="s">
        <v>3788</v>
      </c>
      <c r="B757" s="3" t="str">
        <f>IFERROR(__xludf.DUMMYFUNCTION("GOOGLETRANSLATE(A757, ""ar"", ""bn"")"),"পতন")</f>
        <v>পতন</v>
      </c>
    </row>
    <row r="758">
      <c r="A758" s="2" t="s">
        <v>3789</v>
      </c>
      <c r="B758" s="3" t="str">
        <f>IFERROR(__xludf.DUMMYFUNCTION("GOOGLETRANSLATE(A758, ""ar"", ""bn"")"),"ক্র্যাশ")</f>
        <v>ক্র্যাশ</v>
      </c>
    </row>
    <row r="759">
      <c r="A759" s="2" t="s">
        <v>3790</v>
      </c>
      <c r="B759" s="3" t="str">
        <f>IFERROR(__xludf.DUMMYFUNCTION("GOOGLETRANSLATE(A759, ""ar"", ""bn"")"),"ঘুষ")</f>
        <v>ঘুষ</v>
      </c>
    </row>
    <row r="760">
      <c r="A760" s="2" t="s">
        <v>3791</v>
      </c>
      <c r="B760" s="3" t="str">
        <f>IFERROR(__xludf.DUMMYFUNCTION("GOOGLETRANSLATE(A760, ""ar"", ""bn"")"),"ঘুষ")</f>
        <v>ঘুষ</v>
      </c>
    </row>
    <row r="761">
      <c r="A761" s="2" t="s">
        <v>3792</v>
      </c>
      <c r="B761" s="3" t="str">
        <f>IFERROR(__xludf.DUMMYFUNCTION("GOOGLETRANSLATE(A761, ""ar"", ""bn"")"),"উত্কোচ-দাতা")</f>
        <v>উত্কোচ-দাতা</v>
      </c>
    </row>
    <row r="762">
      <c r="A762" s="2" t="s">
        <v>3793</v>
      </c>
      <c r="B762" s="3" t="str">
        <f>IFERROR(__xludf.DUMMYFUNCTION("GOOGLETRANSLATE(A762, ""ar"", ""bn"")"),"Bribers")</f>
        <v>Bribers</v>
      </c>
    </row>
    <row r="763">
      <c r="A763" s="2" t="s">
        <v>3790</v>
      </c>
      <c r="B763" s="3" t="str">
        <f>IFERROR(__xludf.DUMMYFUNCTION("GOOGLETRANSLATE(A763, ""ar"", ""bn"")"),"ঘুষ")</f>
        <v>ঘুষ</v>
      </c>
    </row>
    <row r="764">
      <c r="A764" s="2" t="s">
        <v>3794</v>
      </c>
      <c r="B764" s="3" t="str">
        <f>IFERROR(__xludf.DUMMYFUNCTION("GOOGLETRANSLATE(A764, ""ar"", ""bn"")"),"ঘুষের বিনিময়ে")</f>
        <v>ঘুষের বিনিময়ে</v>
      </c>
    </row>
    <row r="765">
      <c r="A765" s="2" t="s">
        <v>3795</v>
      </c>
      <c r="B765" s="3" t="str">
        <f>IFERROR(__xludf.DUMMYFUNCTION("GOOGLETRANSLATE(A765, ""ar"", ""bn"")"),"রুক্ষ চুল")</f>
        <v>রুক্ষ চুল</v>
      </c>
    </row>
    <row r="766">
      <c r="A766" s="2" t="s">
        <v>3796</v>
      </c>
      <c r="B766" s="3" t="str">
        <f>IFERROR(__xludf.DUMMYFUNCTION("GOOGLETRANSLATE(A766, ""ar"", ""bn"")"),"লোমগুলো")</f>
        <v>লোমগুলো</v>
      </c>
    </row>
    <row r="767">
      <c r="A767" s="2" t="s">
        <v>3796</v>
      </c>
      <c r="B767" s="3" t="str">
        <f>IFERROR(__xludf.DUMMYFUNCTION("GOOGLETRANSLATE(A767, ""ar"", ""bn"")"),"লোমগুলো")</f>
        <v>লোমগুলো</v>
      </c>
    </row>
    <row r="768">
      <c r="A768" s="2" t="s">
        <v>3797</v>
      </c>
      <c r="B768" s="3" t="str">
        <f>IFERROR(__xludf.DUMMYFUNCTION("GOOGLETRANSLATE(A768, ""ar"", ""bn"")"),"সম্পূর্ণ ধ্বংস")</f>
        <v>সম্পূর্ণ ধ্বংস</v>
      </c>
    </row>
    <row r="769">
      <c r="A769" s="2" t="s">
        <v>3798</v>
      </c>
      <c r="B769" s="3" t="str">
        <f>IFERROR(__xludf.DUMMYFUNCTION("GOOGLETRANSLATE(A769, ""ar"", ""bn"")"),"ভেঙ্গে ফেলা")</f>
        <v>ভেঙ্গে ফেলা</v>
      </c>
    </row>
    <row r="770">
      <c r="A770" s="2" t="s">
        <v>3799</v>
      </c>
      <c r="B770" s="3" t="str">
        <f>IFERROR(__xludf.DUMMYFUNCTION("GOOGLETRANSLATE(A770, ""ar"", ""bn"")"),"মরিয়া")</f>
        <v>মরিয়া</v>
      </c>
    </row>
    <row r="771">
      <c r="A771" s="2" t="s">
        <v>3800</v>
      </c>
      <c r="B771" s="3" t="str">
        <f>IFERROR(__xludf.DUMMYFUNCTION("GOOGLETRANSLATE(A771, ""ar"", ""bn"")"),"brokenly")</f>
        <v>brokenly</v>
      </c>
    </row>
    <row r="772">
      <c r="A772" s="2" t="s">
        <v>3801</v>
      </c>
      <c r="B772" s="3" t="str">
        <f>IFERROR(__xludf.DUMMYFUNCTION("GOOGLETRANSLATE(A772, ""ar"", ""bn"")"),"মধ্যস্থ")</f>
        <v>মধ্যস্থ</v>
      </c>
    </row>
    <row r="773">
      <c r="A773" s="2" t="s">
        <v>3802</v>
      </c>
      <c r="B773" s="3" t="str">
        <f>IFERROR(__xludf.DUMMYFUNCTION("GOOGLETRANSLATE(A773, ""ar"", ""bn"")"),"দালালি")</f>
        <v>দালালি</v>
      </c>
    </row>
    <row r="774">
      <c r="A774" s="2" t="s">
        <v>3803</v>
      </c>
      <c r="B774" s="3" t="str">
        <f>IFERROR(__xludf.DUMMYFUNCTION("GOOGLETRANSLATE(A774, ""ar"", ""bn"")"),"মধ্যস্থতা")</f>
        <v>মধ্যস্থতা</v>
      </c>
    </row>
    <row r="775">
      <c r="A775" s="2" t="s">
        <v>3804</v>
      </c>
      <c r="B775" s="3" t="str">
        <f>IFERROR(__xludf.DUMMYFUNCTION("GOOGLETRANSLATE(A775, ""ar"", ""bn"")"),"দালালের")</f>
        <v>দালালের</v>
      </c>
    </row>
    <row r="776">
      <c r="A776" s="2" t="s">
        <v>3799</v>
      </c>
      <c r="B776" s="3" t="str">
        <f>IFERROR(__xludf.DUMMYFUNCTION("GOOGLETRANSLATE(A776, ""ar"", ""bn"")"),"মরিয়া")</f>
        <v>মরিয়া</v>
      </c>
    </row>
    <row r="777">
      <c r="A777" s="2" t="s">
        <v>3805</v>
      </c>
      <c r="B777" s="3" t="str">
        <f>IFERROR(__xludf.DUMMYFUNCTION("GOOGLETRANSLATE(A777, ""ar"", ""bn"")"),"শাবক")</f>
        <v>শাবক</v>
      </c>
    </row>
    <row r="778">
      <c r="A778" s="2" t="s">
        <v>3806</v>
      </c>
      <c r="B778" s="3" t="str">
        <f>IFERROR(__xludf.DUMMYFUNCTION("GOOGLETRANSLATE(A778, ""ar"", ""bn"")"),"বক্ষ")</f>
        <v>বক্ষ</v>
      </c>
    </row>
    <row r="779">
      <c r="A779" s="2" t="s">
        <v>3807</v>
      </c>
      <c r="B779" s="3" t="str">
        <f>IFERROR(__xludf.DUMMYFUNCTION("GOOGLETRANSLATE(A779, ""ar"", ""bn"")"),"cuddling")</f>
        <v>cuddling</v>
      </c>
    </row>
    <row r="780">
      <c r="A780" s="2" t="s">
        <v>3808</v>
      </c>
      <c r="B780" s="3" t="str">
        <f>IFERROR(__xludf.DUMMYFUNCTION("GOOGLETRANSLATE(A780, ""ar"", ""bn"")"),"বিষণ্ণ")</f>
        <v>বিষণ্ণ</v>
      </c>
    </row>
    <row r="781">
      <c r="A781" s="2" t="s">
        <v>3809</v>
      </c>
      <c r="B781" s="3" t="str">
        <f>IFERROR(__xludf.DUMMYFUNCTION("GOOGLETRANSLATE(A781, ""ar"", ""bn"")"),"অস্ত্র")</f>
        <v>অস্ত্র</v>
      </c>
    </row>
    <row r="782">
      <c r="A782" s="2" t="s">
        <v>3810</v>
      </c>
      <c r="B782" s="3" t="str">
        <f>IFERROR(__xludf.DUMMYFUNCTION("GOOGLETRANSLATE(A782, ""ar"", ""bn"")"),"মনমরা")</f>
        <v>মনমরা</v>
      </c>
    </row>
    <row r="783">
      <c r="A783" s="2" t="s">
        <v>3811</v>
      </c>
      <c r="B783" s="3" t="str">
        <f>IFERROR(__xludf.DUMMYFUNCTION("GOOGLETRANSLATE(A783, ""ar"", ""bn"")"),"একটি কালশিটে দাগ")</f>
        <v>একটি কালশিটে দাগ</v>
      </c>
    </row>
    <row r="784">
      <c r="A784" s="2" t="s">
        <v>3812</v>
      </c>
      <c r="B784" s="3" t="str">
        <f>IFERROR(__xludf.DUMMYFUNCTION("GOOGLETRANSLATE(A784, ""ar"", ""bn"")"),"থেঁত")</f>
        <v>থেঁত</v>
      </c>
    </row>
    <row r="785">
      <c r="A785" s="2" t="s">
        <v>3813</v>
      </c>
      <c r="B785" s="3" t="str">
        <f>IFERROR(__xludf.DUMMYFUNCTION("GOOGLETRANSLATE(A785, ""ar"", ""bn"")"),"মল্ল")</f>
        <v>মল্ল</v>
      </c>
    </row>
    <row r="786">
      <c r="A786" s="2" t="s">
        <v>3814</v>
      </c>
      <c r="B786" s="3" t="str">
        <f>IFERROR(__xludf.DUMMYFUNCTION("GOOGLETRANSLATE(A786, ""ar"", ""bn"")"),"Bruisers")</f>
        <v>Bruisers</v>
      </c>
    </row>
    <row r="787">
      <c r="A787" s="2" t="s">
        <v>3815</v>
      </c>
      <c r="B787" s="3" t="str">
        <f>IFERROR(__xludf.DUMMYFUNCTION("GOOGLETRANSLATE(A787, ""ar"", ""bn"")"),"চূর্ণ")</f>
        <v>চূর্ণ</v>
      </c>
    </row>
    <row r="788">
      <c r="A788" s="2" t="s">
        <v>3816</v>
      </c>
      <c r="B788" s="3" t="str">
        <f>IFERROR(__xludf.DUMMYFUNCTION("GOOGLETRANSLATE(A788, ""ar"", ""bn"")"),"অভদ্র")</f>
        <v>অভদ্র</v>
      </c>
    </row>
    <row r="789">
      <c r="A789" s="2" t="s">
        <v>3817</v>
      </c>
      <c r="B789" s="3" t="str">
        <f>IFERROR(__xludf.DUMMYFUNCTION("GOOGLETRANSLATE(A789, ""ar"", ""bn"")"),"মোটামুটিভাবে")</f>
        <v>মোটামুটিভাবে</v>
      </c>
    </row>
    <row r="790">
      <c r="A790" s="2" t="s">
        <v>3714</v>
      </c>
      <c r="B790" s="3" t="str">
        <f>IFERROR(__xludf.DUMMYFUNCTION("GOOGLETRANSLATE(A790, ""ar"", ""bn"")"),"কর্কশতা")</f>
        <v>কর্কশতা</v>
      </c>
    </row>
    <row r="791">
      <c r="A791" s="2" t="s">
        <v>3818</v>
      </c>
      <c r="B791" s="3" t="str">
        <f>IFERROR(__xludf.DUMMYFUNCTION("GOOGLETRANSLATE(A791, ""ar"", ""bn"")"),"পাশবিক")</f>
        <v>পাশবিক</v>
      </c>
    </row>
    <row r="792">
      <c r="A792" s="2" t="s">
        <v>3819</v>
      </c>
      <c r="B792" s="3" t="str">
        <f>IFERROR(__xludf.DUMMYFUNCTION("GOOGLETRANSLATE(A792, ""ar"", ""bn"")"),"নৃশংস প্রবণতা")</f>
        <v>নৃশংস প্রবণতা</v>
      </c>
    </row>
    <row r="793">
      <c r="A793" s="2" t="s">
        <v>3820</v>
      </c>
      <c r="B793" s="3" t="str">
        <f>IFERROR(__xludf.DUMMYFUNCTION("GOOGLETRANSLATE(A793, ""ar"", ""bn"")"),"নিষ্ঠুরভাবে")</f>
        <v>নিষ্ঠুরভাবে</v>
      </c>
    </row>
    <row r="794">
      <c r="A794" s="2" t="s">
        <v>3534</v>
      </c>
      <c r="B794" s="3" t="str">
        <f>IFERROR(__xludf.DUMMYFUNCTION("GOOGLETRANSLATE(A794, ""ar"", ""bn"")"),"বর্বরতার")</f>
        <v>বর্বরতার</v>
      </c>
    </row>
    <row r="795">
      <c r="A795" s="2" t="s">
        <v>3821</v>
      </c>
      <c r="B795" s="3" t="str">
        <f>IFERROR(__xludf.DUMMYFUNCTION("GOOGLETRANSLATE(A795, ""ar"", ""bn"")"),"বদমেজাজ")</f>
        <v>বদমেজাজ</v>
      </c>
    </row>
    <row r="796">
      <c r="A796" s="2" t="s">
        <v>3534</v>
      </c>
      <c r="B796" s="3" t="str">
        <f>IFERROR(__xludf.DUMMYFUNCTION("GOOGLETRANSLATE(A796, ""ar"", ""bn"")"),"বর্বরতার")</f>
        <v>বর্বরতার</v>
      </c>
    </row>
    <row r="797">
      <c r="A797" s="2" t="s">
        <v>3532</v>
      </c>
      <c r="B797" s="3" t="str">
        <f>IFERROR(__xludf.DUMMYFUNCTION("GOOGLETRANSLATE(A797, ""ar"", ""bn"")"),"পশুত্ব")</f>
        <v>পশুত্ব</v>
      </c>
    </row>
    <row r="798">
      <c r="A798" s="2" t="s">
        <v>3818</v>
      </c>
      <c r="B798" s="3" t="str">
        <f>IFERROR(__xludf.DUMMYFUNCTION("GOOGLETRANSLATE(A798, ""ar"", ""bn"")"),"পাশবিক")</f>
        <v>পাশবিক</v>
      </c>
    </row>
    <row r="799">
      <c r="A799" s="2" t="s">
        <v>3818</v>
      </c>
      <c r="B799" s="3" t="str">
        <f>IFERROR(__xludf.DUMMYFUNCTION("GOOGLETRANSLATE(A799, ""ar"", ""bn"")"),"পাশবিক")</f>
        <v>পাশবিক</v>
      </c>
    </row>
    <row r="800">
      <c r="A800" s="2" t="s">
        <v>3822</v>
      </c>
      <c r="B800" s="3" t="str">
        <f>IFERROR(__xludf.DUMMYFUNCTION("GOOGLETRANSLATE(A800, ""ar"", ""bn"")"),"Brutes")</f>
        <v>Brutes</v>
      </c>
    </row>
    <row r="801">
      <c r="A801" s="2" t="s">
        <v>3818</v>
      </c>
      <c r="B801" s="3" t="str">
        <f>IFERROR(__xludf.DUMMYFUNCTION("GOOGLETRANSLATE(A801, ""ar"", ""bn"")"),"পাশবিক")</f>
        <v>পাশবিক</v>
      </c>
    </row>
    <row r="802">
      <c r="A802" s="2" t="s">
        <v>3823</v>
      </c>
      <c r="B802" s="3" t="str">
        <f>IFERROR(__xludf.DUMMYFUNCTION("GOOGLETRANSLATE(A802, ""ar"", ""bn"")"),"বিষ্ঠা")</f>
        <v>বিষ্ঠা</v>
      </c>
    </row>
    <row r="803">
      <c r="A803" s="2" t="s">
        <v>3824</v>
      </c>
      <c r="B803" s="3" t="str">
        <f>IFERROR(__xludf.DUMMYFUNCTION("GOOGLETRANSLATE(A803, ""ar"", ""bn"")"),"মচকান")</f>
        <v>মচকান</v>
      </c>
    </row>
    <row r="804">
      <c r="A804" s="2" t="s">
        <v>3825</v>
      </c>
      <c r="B804" s="3" t="str">
        <f>IFERROR(__xludf.DUMMYFUNCTION("GOOGLETRANSLATE(A804, ""ar"", ""bn"")"),"চাষা")</f>
        <v>চাষা</v>
      </c>
    </row>
    <row r="805">
      <c r="A805" s="2" t="s">
        <v>3826</v>
      </c>
      <c r="B805" s="3" t="str">
        <f>IFERROR(__xludf.DUMMYFUNCTION("GOOGLETRANSLATE(A805, ""ar"", ""bn"")"),"ভাঁড়ামি")</f>
        <v>ভাঁড়ামি</v>
      </c>
    </row>
    <row r="806">
      <c r="A806" s="2" t="s">
        <v>3827</v>
      </c>
      <c r="B806" s="3" t="str">
        <f>IFERROR(__xludf.DUMMYFUNCTION("GOOGLETRANSLATE(A806, ""ar"", ""bn"")"),"clowns")</f>
        <v>clowns</v>
      </c>
    </row>
    <row r="807">
      <c r="A807" s="2" t="s">
        <v>3828</v>
      </c>
      <c r="B807" s="3" t="str">
        <f>IFERROR(__xludf.DUMMYFUNCTION("GOOGLETRANSLATE(A807, ""ar"", ""bn"")"),"বাগ")</f>
        <v>বাগ</v>
      </c>
    </row>
    <row r="808">
      <c r="A808" s="2" t="s">
        <v>3829</v>
      </c>
      <c r="B808" s="3" t="str">
        <f>IFERROR(__xludf.DUMMYFUNCTION("GOOGLETRANSLATE(A808, ""ar"", ""bn"")"),"উদ্বেগের একটি উৎস")</f>
        <v>উদ্বেগের একটি উৎস</v>
      </c>
    </row>
    <row r="809">
      <c r="A809" s="2" t="s">
        <v>3830</v>
      </c>
      <c r="B809" s="3" t="str">
        <f>IFERROR(__xludf.DUMMYFUNCTION("GOOGLETRANSLATE(A809, ""ar"", ""bn"")"),"উদ্বেগ")</f>
        <v>উদ্বেগ</v>
      </c>
    </row>
    <row r="810">
      <c r="A810" s="2" t="s">
        <v>3831</v>
      </c>
      <c r="B810" s="3" t="str">
        <f>IFERROR(__xludf.DUMMYFUNCTION("GOOGLETRANSLATE(A810, ""ar"", ""bn"")"),"bugged")</f>
        <v>bugged</v>
      </c>
    </row>
    <row r="811">
      <c r="A811" s="2" t="s">
        <v>3832</v>
      </c>
      <c r="B811" s="3" t="str">
        <f>IFERROR(__xludf.DUMMYFUNCTION("GOOGLETRANSLATE(A811, ""ar"", ""bn"")"),"ছেলে")</f>
        <v>ছেলে</v>
      </c>
    </row>
    <row r="812">
      <c r="A812" s="2" t="s">
        <v>3833</v>
      </c>
      <c r="B812" s="3" t="str">
        <f>IFERROR(__xludf.DUMMYFUNCTION("GOOGLETRANSLATE(A812, ""ar"", ""bn"")"),"পায়ুকাম")</f>
        <v>পায়ুকাম</v>
      </c>
    </row>
    <row r="813">
      <c r="A813" s="2" t="s">
        <v>3834</v>
      </c>
      <c r="B813" s="3" t="str">
        <f>IFERROR(__xludf.DUMMYFUNCTION("GOOGLETRANSLATE(A813, ""ar"", ""bn"")"),"Buggers")</f>
        <v>Buggers</v>
      </c>
    </row>
    <row r="814">
      <c r="A814" s="2" t="s">
        <v>3835</v>
      </c>
      <c r="B814" s="3" t="str">
        <f>IFERROR(__xludf.DUMMYFUNCTION("GOOGLETRANSLATE(A814, ""ar"", ""bn"")"),"পায়ুকাম")</f>
        <v>পায়ুকাম</v>
      </c>
    </row>
    <row r="815">
      <c r="A815" s="2" t="s">
        <v>3836</v>
      </c>
      <c r="B815" s="3" t="str">
        <f>IFERROR(__xludf.DUMMYFUNCTION("GOOGLETRANSLATE(A815, ""ar"", ""bn"")"),"যানবাহন")</f>
        <v>যানবাহন</v>
      </c>
    </row>
    <row r="816">
      <c r="A816" s="2" t="s">
        <v>3837</v>
      </c>
      <c r="B816" s="3" t="str">
        <f>IFERROR(__xludf.DUMMYFUNCTION("GOOGLETRANSLATE(A816, ""ar"", ""bn"")"),"মৃদু আঘাতকরণ")</f>
        <v>মৃদু আঘাতকরণ</v>
      </c>
    </row>
    <row r="817">
      <c r="A817" s="2" t="s">
        <v>3838</v>
      </c>
      <c r="B817" s="3" t="str">
        <f>IFERROR(__xludf.DUMMYFUNCTION("GOOGLETRANSLATE(A817, ""ar"", ""bn"")"),"বগী")</f>
        <v>বগী</v>
      </c>
    </row>
    <row r="818">
      <c r="A818" s="2" t="s">
        <v>3839</v>
      </c>
      <c r="B818" s="3" t="str">
        <f>IFERROR(__xludf.DUMMYFUNCTION("GOOGLETRANSLATE(A818, ""ar"", ""bn"")"),"ডঙ্কা")</f>
        <v>ডঙ্কা</v>
      </c>
    </row>
    <row r="819">
      <c r="A819" s="2" t="s">
        <v>3840</v>
      </c>
      <c r="B819" s="3" t="str">
        <f>IFERROR(__xludf.DUMMYFUNCTION("GOOGLETRANSLATE(A819, ""ar"", ""bn"")"),"রণশিঙ্গা-বাদক")</f>
        <v>রণশিঙ্গা-বাদক</v>
      </c>
    </row>
    <row r="820">
      <c r="A820" s="2" t="s">
        <v>3841</v>
      </c>
      <c r="B820" s="3" t="str">
        <f>IFERROR(__xludf.DUMMYFUNCTION("GOOGLETRANSLATE(A820, ""ar"", ""bn"")"),"শিং")</f>
        <v>শিং</v>
      </c>
    </row>
    <row r="821">
      <c r="A821" s="2" t="s">
        <v>3842</v>
      </c>
      <c r="B821" s="3" t="str">
        <f>IFERROR(__xludf.DUMMYFUNCTION("GOOGLETRANSLATE(A821, ""ar"", ""bn"")"),"ভেরী")</f>
        <v>ভেরী</v>
      </c>
    </row>
    <row r="822">
      <c r="A822" s="2" t="s">
        <v>3843</v>
      </c>
      <c r="B822" s="3" t="str">
        <f>IFERROR(__xludf.DUMMYFUNCTION("GOOGLETRANSLATE(A822, ""ar"", ""bn"")"),"বাগ")</f>
        <v>বাগ</v>
      </c>
    </row>
    <row r="823">
      <c r="A823" s="2" t="s">
        <v>3844</v>
      </c>
      <c r="B823" s="3" t="str">
        <f>IFERROR(__xludf.DUMMYFUNCTION("GOOGLETRANSLATE(A823, ""ar"", ""bn"")"),"গুলি")</f>
        <v>গুলি</v>
      </c>
    </row>
    <row r="824">
      <c r="A824" s="2" t="s">
        <v>3845</v>
      </c>
      <c r="B824" s="3" t="str">
        <f>IFERROR(__xludf.DUMMYFUNCTION("GOOGLETRANSLATE(A824, ""ar"", ""bn"")"),"বুলেটিন")</f>
        <v>বুলেটিন</v>
      </c>
    </row>
    <row r="825">
      <c r="A825" s="2" t="s">
        <v>3846</v>
      </c>
      <c r="B825" s="3" t="str">
        <f>IFERROR(__xludf.DUMMYFUNCTION("GOOGLETRANSLATE(A825, ""ar"", ""bn"")"),"ইস্তেহার")</f>
        <v>ইস্তেহার</v>
      </c>
    </row>
    <row r="826">
      <c r="A826" s="2" t="s">
        <v>3847</v>
      </c>
      <c r="B826" s="3" t="str">
        <f>IFERROR(__xludf.DUMMYFUNCTION("GOOGLETRANSLATE(A826, ""ar"", ""bn"")"),"লিড")</f>
        <v>লিড</v>
      </c>
    </row>
    <row r="827">
      <c r="A827" s="2" t="s">
        <v>3847</v>
      </c>
      <c r="B827" s="3" t="str">
        <f>IFERROR(__xludf.DUMMYFUNCTION("GOOGLETRANSLATE(A827, ""ar"", ""bn"")"),"লিড")</f>
        <v>লিড</v>
      </c>
    </row>
    <row r="828">
      <c r="A828" s="2" t="s">
        <v>3848</v>
      </c>
      <c r="B828" s="3" t="str">
        <f>IFERROR(__xludf.DUMMYFUNCTION("GOOGLETRANSLATE(A828, ""ar"", ""bn"")"),"লতিকা")</f>
        <v>লতিকা</v>
      </c>
    </row>
    <row r="829">
      <c r="A829" s="2" t="s">
        <v>3849</v>
      </c>
      <c r="B829" s="3" t="str">
        <f>IFERROR(__xludf.DUMMYFUNCTION("GOOGLETRANSLATE(A829, ""ar"", ""bn"")"),"তোতলান")</f>
        <v>তোতলান</v>
      </c>
    </row>
    <row r="830">
      <c r="A830" s="2" t="s">
        <v>3849</v>
      </c>
      <c r="B830" s="3" t="str">
        <f>IFERROR(__xludf.DUMMYFUNCTION("GOOGLETRANSLATE(A830, ""ar"", ""bn"")"),"তোতলান")</f>
        <v>তোতলান</v>
      </c>
    </row>
    <row r="831">
      <c r="A831" s="2" t="s">
        <v>3850</v>
      </c>
      <c r="B831" s="3" t="str">
        <f>IFERROR(__xludf.DUMMYFUNCTION("GOOGLETRANSLATE(A831, ""ar"", ""bn"")"),"এসি")</f>
        <v>এসি</v>
      </c>
    </row>
    <row r="832">
      <c r="A832" s="2" t="s">
        <v>3851</v>
      </c>
      <c r="B832" s="3" t="str">
        <f>IFERROR(__xludf.DUMMYFUNCTION("GOOGLETRANSLATE(A832, ""ar"", ""bn"")"),"দ্বিধাগ্রস্ত")</f>
        <v>দ্বিধাগ্রস্ত</v>
      </c>
    </row>
    <row r="833">
      <c r="A833" s="2" t="s">
        <v>3852</v>
      </c>
      <c r="B833" s="3" t="str">
        <f>IFERROR(__xludf.DUMMYFUNCTION("GOOGLETRANSLATE(A833, ""ar"", ""bn"")"),"Bumbles")</f>
        <v>Bumbles</v>
      </c>
    </row>
    <row r="834">
      <c r="A834" s="2" t="s">
        <v>3853</v>
      </c>
      <c r="B834" s="3" t="str">
        <f>IFERROR(__xludf.DUMMYFUNCTION("GOOGLETRANSLATE(A834, ""ar"", ""bn"")"),"আনাড়ি")</f>
        <v>আনাড়ি</v>
      </c>
    </row>
    <row r="835">
      <c r="A835" s="2" t="s">
        <v>3854</v>
      </c>
      <c r="B835" s="3" t="str">
        <f>IFERROR(__xludf.DUMMYFUNCTION("GOOGLETRANSLATE(A835, ""ar"", ""bn"")"),"আচমকা")</f>
        <v>আচমকা</v>
      </c>
    </row>
    <row r="836">
      <c r="A836" s="2" t="s">
        <v>3855</v>
      </c>
      <c r="B836" s="3" t="str">
        <f>IFERROR(__xludf.DUMMYFUNCTION("GOOGLETRANSLATE(A836, ""ar"", ""bn"")"),"অভিঘাত")</f>
        <v>অভিঘাত</v>
      </c>
    </row>
    <row r="837">
      <c r="A837" s="2" t="s">
        <v>3856</v>
      </c>
      <c r="B837" s="3" t="str">
        <f>IFERROR(__xludf.DUMMYFUNCTION("GOOGLETRANSLATE(A837, ""ar"", ""bn"")"),"ঘাতশোষক")</f>
        <v>ঘাতশোষক</v>
      </c>
    </row>
    <row r="838">
      <c r="A838" s="2" t="s">
        <v>3857</v>
      </c>
      <c r="B838" s="3" t="str">
        <f>IFERROR(__xludf.DUMMYFUNCTION("GOOGLETRANSLATE(A838, ""ar"", ""bn"")"),"bumpers")</f>
        <v>bumpers</v>
      </c>
    </row>
    <row r="839">
      <c r="A839" s="2" t="s">
        <v>3858</v>
      </c>
      <c r="B839" s="3" t="str">
        <f>IFERROR(__xludf.DUMMYFUNCTION("GOOGLETRANSLATE(A839, ""ar"", ""bn"")"),"rougher")</f>
        <v>rougher</v>
      </c>
    </row>
    <row r="840">
      <c r="A840" s="2" t="s">
        <v>3859</v>
      </c>
      <c r="B840" s="3" t="str">
        <f>IFERROR(__xludf.DUMMYFUNCTION("GOOGLETRANSLATE(A840, ""ar"", ""bn"")"),"কম্পন")</f>
        <v>কম্পন</v>
      </c>
    </row>
    <row r="841">
      <c r="A841" s="2" t="s">
        <v>3860</v>
      </c>
      <c r="B841" s="3" t="str">
        <f>IFERROR(__xludf.DUMMYFUNCTION("GOOGLETRANSLATE(A841, ""ar"", ""bn"")"),"গ্রামীণ")</f>
        <v>গ্রামীণ</v>
      </c>
    </row>
    <row r="842">
      <c r="A842" s="2" t="s">
        <v>3861</v>
      </c>
      <c r="B842" s="3" t="str">
        <f>IFERROR(__xludf.DUMMYFUNCTION("GOOGLETRANSLATE(A842, ""ar"", ""bn"")"),"Bumpkins")</f>
        <v>Bumpkins</v>
      </c>
    </row>
    <row r="843">
      <c r="A843" s="2" t="s">
        <v>3862</v>
      </c>
      <c r="B843" s="3" t="str">
        <f>IFERROR(__xludf.DUMMYFUNCTION("GOOGLETRANSLATE(A843, ""ar"", ""bn"")"),"বাধা বিপত্তি")</f>
        <v>বাধা বিপত্তি</v>
      </c>
    </row>
    <row r="844">
      <c r="A844" s="2" t="s">
        <v>3863</v>
      </c>
      <c r="B844" s="3" t="str">
        <f>IFERROR(__xludf.DUMMYFUNCTION("GOOGLETRANSLATE(A844, ""ar"", ""bn"")"),"আত্মগর্বী")</f>
        <v>আত্মগর্বী</v>
      </c>
    </row>
    <row r="845">
      <c r="A845" s="2" t="s">
        <v>3864</v>
      </c>
      <c r="B845" s="3" t="str">
        <f>IFERROR(__xludf.DUMMYFUNCTION("GOOGLETRANSLATE(A845, ""ar"", ""bn"")"),"অসমান")</f>
        <v>অসমান</v>
      </c>
    </row>
    <row r="846">
      <c r="A846" s="2" t="s">
        <v>3865</v>
      </c>
      <c r="B846" s="3" t="str">
        <f>IFERROR(__xludf.DUMMYFUNCTION("GOOGLETRANSLATE(A846, ""ar"", ""bn"")"),"গৃহহীন")</f>
        <v>গৃহহীন</v>
      </c>
    </row>
    <row r="847">
      <c r="A847" s="2" t="s">
        <v>3866</v>
      </c>
      <c r="B847" s="3" t="str">
        <f>IFERROR(__xludf.DUMMYFUNCTION("GOOGLETRANSLATE(A847, ""ar"", ""bn"")"),"অকার্য")</f>
        <v>অকার্য</v>
      </c>
    </row>
    <row r="848">
      <c r="A848" s="2" t="s">
        <v>3867</v>
      </c>
      <c r="B848" s="3" t="str">
        <f>IFERROR(__xludf.DUMMYFUNCTION("GOOGLETRANSLATE(A848, ""ar"", ""bn"")"),"botched")</f>
        <v>botched</v>
      </c>
    </row>
    <row r="849">
      <c r="A849" s="2" t="s">
        <v>3868</v>
      </c>
      <c r="B849" s="3" t="str">
        <f>IFERROR(__xludf.DUMMYFUNCTION("GOOGLETRANSLATE(A849, ""ar"", ""bn"")"),"কালাপাতি করা")</f>
        <v>কালাপাতি করা</v>
      </c>
    </row>
    <row r="850">
      <c r="A850" s="2" t="s">
        <v>3869</v>
      </c>
      <c r="B850" s="3" t="str">
        <f>IFERROR(__xludf.DUMMYFUNCTION("GOOGLETRANSLATE(A850, ""ar"", ""bn"")"),"মূঢ়")</f>
        <v>মূঢ়</v>
      </c>
    </row>
    <row r="851">
      <c r="A851" s="2" t="s">
        <v>3870</v>
      </c>
      <c r="B851" s="3" t="str">
        <f>IFERROR(__xludf.DUMMYFUNCTION("GOOGLETRANSLATE(A851, ""ar"", ""bn"")"),"বক্বক্")</f>
        <v>বক্বক্</v>
      </c>
    </row>
    <row r="852">
      <c r="A852" s="2" t="s">
        <v>3871</v>
      </c>
      <c r="B852" s="3" t="str">
        <f>IFERROR(__xludf.DUMMYFUNCTION("GOOGLETRANSLATE(A852, ""ar"", ""bn"")"),"একটা বোঝা")</f>
        <v>একটা বোঝা</v>
      </c>
    </row>
    <row r="853">
      <c r="A853" s="2" t="s">
        <v>3872</v>
      </c>
      <c r="B853" s="3" t="str">
        <f>IFERROR(__xludf.DUMMYFUNCTION("GOOGLETRANSLATE(A853, ""ar"", ""bn"")"),"ওভারলোড")</f>
        <v>ওভারলোড</v>
      </c>
    </row>
    <row r="854">
      <c r="A854" s="2" t="s">
        <v>3873</v>
      </c>
      <c r="B854" s="3" t="str">
        <f>IFERROR(__xludf.DUMMYFUNCTION("GOOGLETRANSLATE(A854, ""ar"", ""bn"")"),"burdening")</f>
        <v>burdening</v>
      </c>
    </row>
    <row r="855">
      <c r="A855" s="2" t="s">
        <v>3874</v>
      </c>
      <c r="B855" s="3" t="str">
        <f>IFERROR(__xludf.DUMMYFUNCTION("GOOGLETRANSLATE(A855, ""ar"", ""bn"")"),"পরিচ্ছদে")</f>
        <v>পরিচ্ছদে</v>
      </c>
    </row>
    <row r="856">
      <c r="A856" s="2" t="s">
        <v>3875</v>
      </c>
      <c r="B856" s="3" t="str">
        <f>IFERROR(__xludf.DUMMYFUNCTION("GOOGLETRANSLATE(A856, ""ar"", ""bn"")"),"কষ্টকর")</f>
        <v>কষ্টকর</v>
      </c>
    </row>
    <row r="857">
      <c r="A857" s="2" t="s">
        <v>3876</v>
      </c>
      <c r="B857" s="3" t="str">
        <f>IFERROR(__xludf.DUMMYFUNCTION("GOOGLETRANSLATE(A857, ""ar"", ""bn"")"),"চোর")</f>
        <v>চোর</v>
      </c>
    </row>
    <row r="858">
      <c r="A858" s="2" t="s">
        <v>3877</v>
      </c>
      <c r="B858" s="3" t="str">
        <f>IFERROR(__xludf.DUMMYFUNCTION("GOOGLETRANSLATE(A858, ""ar"", ""bn"")"),"সিঁধ কাটিয়া চুরি")</f>
        <v>সিঁধ কাটিয়া চুরি</v>
      </c>
    </row>
    <row r="859">
      <c r="A859" s="2" t="s">
        <v>3878</v>
      </c>
      <c r="B859" s="3" t="str">
        <f>IFERROR(__xludf.DUMMYFUNCTION("GOOGLETRANSLATE(A859, ""ar"", ""bn"")"),"চোরগুলো")</f>
        <v>চোরগুলো</v>
      </c>
    </row>
    <row r="860">
      <c r="A860" s="2" t="s">
        <v>3877</v>
      </c>
      <c r="B860" s="3" t="str">
        <f>IFERROR(__xludf.DUMMYFUNCTION("GOOGLETRANSLATE(A860, ""ar"", ""bn"")"),"সিঁধ কাটিয়া চুরি")</f>
        <v>সিঁধ কাটিয়া চুরি</v>
      </c>
    </row>
    <row r="861">
      <c r="A861" s="2" t="s">
        <v>3879</v>
      </c>
      <c r="B861" s="3" t="str">
        <f>IFERROR(__xludf.DUMMYFUNCTION("GOOGLETRANSLATE(A861, ""ar"", ""bn"")"),"সিঁধ কাটিয়া চুরি করা")</f>
        <v>সিঁধ কাটিয়া চুরি করা</v>
      </c>
    </row>
    <row r="862">
      <c r="A862" s="2" t="s">
        <v>3880</v>
      </c>
      <c r="B862" s="3" t="str">
        <f>IFERROR(__xludf.DUMMYFUNCTION("GOOGLETRANSLATE(A862, ""ar"", ""bn"")"),"ডাকাতি")</f>
        <v>ডাকাতি</v>
      </c>
    </row>
    <row r="863">
      <c r="A863" s="2" t="s">
        <v>3881</v>
      </c>
      <c r="B863" s="3" t="str">
        <f>IFERROR(__xludf.DUMMYFUNCTION("GOOGLETRANSLATE(A863, ""ar"", ""bn"")"),"Burgles")</f>
        <v>Burgles</v>
      </c>
    </row>
    <row r="864">
      <c r="A864" s="2" t="s">
        <v>3877</v>
      </c>
      <c r="B864" s="3" t="str">
        <f>IFERROR(__xludf.DUMMYFUNCTION("GOOGLETRANSLATE(A864, ""ar"", ""bn"")"),"সিঁধ কাটিয়া চুরি")</f>
        <v>সিঁধ কাটিয়া চুরি</v>
      </c>
    </row>
    <row r="865">
      <c r="A865" s="2" t="s">
        <v>3882</v>
      </c>
      <c r="B865" s="3" t="str">
        <f>IFERROR(__xludf.DUMMYFUNCTION("GOOGLETRANSLATE(A865, ""ar"", ""bn"")"),"প্রোথিত")</f>
        <v>প্রোথিত</v>
      </c>
    </row>
    <row r="866">
      <c r="A866" s="2" t="s">
        <v>3883</v>
      </c>
      <c r="B866" s="3" t="str">
        <f>IFERROR(__xludf.DUMMYFUNCTION("GOOGLETRANSLATE(A866, ""ar"", ""bn"")"),"পোড়া")</f>
        <v>পোড়া</v>
      </c>
    </row>
    <row r="867">
      <c r="A867" s="2" t="s">
        <v>3884</v>
      </c>
      <c r="B867" s="3" t="str">
        <f>IFERROR(__xludf.DUMMYFUNCTION("GOOGLETRANSLATE(A867, ""ar"", ""bn"")"),"পোড়া")</f>
        <v>পোড়া</v>
      </c>
    </row>
    <row r="868">
      <c r="A868" s="2" t="s">
        <v>3885</v>
      </c>
      <c r="B868" s="3" t="str">
        <f>IFERROR(__xludf.DUMMYFUNCTION("GOOGLETRANSLATE(A868, ""ar"", ""bn"")"),"দহনকারী")</f>
        <v>দহনকারী</v>
      </c>
    </row>
    <row r="869">
      <c r="A869" s="2" t="s">
        <v>3886</v>
      </c>
      <c r="B869" s="3" t="str">
        <f>IFERROR(__xludf.DUMMYFUNCTION("GOOGLETRANSLATE(A869, ""ar"", ""bn"")"),"টর্চ")</f>
        <v>টর্চ</v>
      </c>
    </row>
    <row r="870">
      <c r="A870" s="2" t="s">
        <v>3887</v>
      </c>
      <c r="B870" s="3" t="str">
        <f>IFERROR(__xludf.DUMMYFUNCTION("GOOGLETRANSLATE(A870, ""ar"", ""bn"")"),"জ্বলন্ত")</f>
        <v>জ্বলন্ত</v>
      </c>
    </row>
    <row r="871">
      <c r="A871" s="2" t="s">
        <v>3888</v>
      </c>
      <c r="B871" s="3" t="str">
        <f>IFERROR(__xludf.DUMMYFUNCTION("GOOGLETRANSLATE(A871, ""ar"", ""bn"")"),"পোড়া")</f>
        <v>পোড়া</v>
      </c>
    </row>
    <row r="872">
      <c r="A872" s="2" t="s">
        <v>3889</v>
      </c>
      <c r="B872" s="3" t="str">
        <f>IFERROR(__xludf.DUMMYFUNCTION("GOOGLETRANSLATE(A872, ""ar"", ""bn"")"),"উজ্জ্বল")</f>
        <v>উজ্জ্বল</v>
      </c>
    </row>
    <row r="873">
      <c r="A873" s="2" t="s">
        <v>3890</v>
      </c>
      <c r="B873" s="3" t="str">
        <f>IFERROR(__xludf.DUMMYFUNCTION("GOOGLETRANSLATE(A873, ""ar"", ""bn"")"),"মসৃণতা")</f>
        <v>মসৃণতা</v>
      </c>
    </row>
    <row r="874">
      <c r="A874" s="2" t="s">
        <v>3891</v>
      </c>
      <c r="B874" s="3" t="str">
        <f>IFERROR(__xludf.DUMMYFUNCTION("GOOGLETRANSLATE(A874, ""ar"", ""bn"")"),"বার্নস")</f>
        <v>বার্নস</v>
      </c>
    </row>
    <row r="875">
      <c r="A875" s="2" t="s">
        <v>3884</v>
      </c>
      <c r="B875" s="3" t="str">
        <f>IFERROR(__xludf.DUMMYFUNCTION("GOOGLETRANSLATE(A875, ""ar"", ""bn"")"),"পোড়া")</f>
        <v>পোড়া</v>
      </c>
    </row>
    <row r="876">
      <c r="A876" s="2" t="s">
        <v>3892</v>
      </c>
      <c r="B876" s="3" t="str">
        <f>IFERROR(__xludf.DUMMYFUNCTION("GOOGLETRANSLATE(A876, ""ar"", ""bn"")"),"সমাধি")</f>
        <v>সমাধি</v>
      </c>
    </row>
    <row r="877">
      <c r="A877" s="2" t="s">
        <v>3892</v>
      </c>
      <c r="B877" s="3" t="str">
        <f>IFERROR(__xludf.DUMMYFUNCTION("GOOGLETRANSLATE(A877, ""ar"", ""bn"")"),"সমাধি")</f>
        <v>সমাধি</v>
      </c>
    </row>
    <row r="878">
      <c r="A878" s="2" t="s">
        <v>3893</v>
      </c>
      <c r="B878" s="3" t="str">
        <f>IFERROR(__xludf.DUMMYFUNCTION("GOOGLETRANSLATE(A878, ""ar"", ""bn"")"),"দীর্ঘনাসা")</f>
        <v>দীর্ঘনাসা</v>
      </c>
    </row>
    <row r="879">
      <c r="A879" s="2" t="s">
        <v>3894</v>
      </c>
      <c r="B879" s="3" t="str">
        <f>IFERROR(__xludf.DUMMYFUNCTION("GOOGLETRANSLATE(A879, ""ar"", ""bn"")"),"হত্যাকাণ্ড")</f>
        <v>হত্যাকাণ্ড</v>
      </c>
    </row>
    <row r="880">
      <c r="A880" s="2" t="s">
        <v>3895</v>
      </c>
      <c r="B880" s="3" t="str">
        <f>IFERROR(__xludf.DUMMYFUNCTION("GOOGLETRANSLATE(A880, ""ar"", ""bn"")"),"বিপর্যয়ের")</f>
        <v>বিপর্যয়ের</v>
      </c>
    </row>
    <row r="881">
      <c r="A881" s="2" t="s">
        <v>3896</v>
      </c>
      <c r="B881" s="3" t="str">
        <f>IFERROR(__xludf.DUMMYFUNCTION("GOOGLETRANSLATE(A881, ""ar"", ""bn"")"),"সর্বনাশা")</f>
        <v>সর্বনাশা</v>
      </c>
    </row>
    <row r="882">
      <c r="A882" s="2" t="s">
        <v>3897</v>
      </c>
      <c r="B882" s="3" t="str">
        <f>IFERROR(__xludf.DUMMYFUNCTION("GOOGLETRANSLATE(A882, ""ar"", ""bn"")"),"সর্বনাশা")</f>
        <v>সর্বনাশা</v>
      </c>
    </row>
    <row r="883">
      <c r="A883" s="2" t="s">
        <v>3283</v>
      </c>
      <c r="B883" s="3" t="str">
        <f>IFERROR(__xludf.DUMMYFUNCTION("GOOGLETRANSLATE(A883, ""ar"", ""bn"")"),"ক্লেশ")</f>
        <v>ক্লেশ</v>
      </c>
    </row>
    <row r="884">
      <c r="A884" s="2" t="s">
        <v>3898</v>
      </c>
      <c r="B884" s="3" t="str">
        <f>IFERROR(__xludf.DUMMYFUNCTION("GOOGLETRANSLATE(A884, ""ar"", ""bn"")"),"কোল্ড উদার")</f>
        <v>কোল্ড উদার</v>
      </c>
    </row>
    <row r="885">
      <c r="A885" s="2" t="s">
        <v>3899</v>
      </c>
      <c r="B885" s="3" t="str">
        <f>IFERROR(__xludf.DUMMYFUNCTION("GOOGLETRANSLATE(A885, ""ar"", ""bn"")"),"কড়া পড়া")</f>
        <v>কড়া পড়া</v>
      </c>
    </row>
    <row r="886">
      <c r="A886" s="2" t="s">
        <v>3900</v>
      </c>
      <c r="B886" s="3" t="str">
        <f>IFERROR(__xludf.DUMMYFUNCTION("GOOGLETRANSLATE(A886, ""ar"", ""bn"")"),"গুরুতরভাবে")</f>
        <v>গুরুতরভাবে</v>
      </c>
    </row>
    <row r="887">
      <c r="A887" s="2" t="s">
        <v>3901</v>
      </c>
      <c r="B887" s="3" t="str">
        <f>IFERROR(__xludf.DUMMYFUNCTION("GOOGLETRANSLATE(A887, ""ar"", ""bn"")"),"কঠোরতা")</f>
        <v>কঠোরতা</v>
      </c>
    </row>
    <row r="888">
      <c r="A888" s="2" t="s">
        <v>3182</v>
      </c>
      <c r="B888" s="3" t="str">
        <f>IFERROR(__xludf.DUMMYFUNCTION("GOOGLETRANSLATE(A888, ""ar"", ""bn"")"),"বাতিল")</f>
        <v>বাতিল</v>
      </c>
    </row>
    <row r="889">
      <c r="A889" s="2" t="s">
        <v>3182</v>
      </c>
      <c r="B889" s="3" t="str">
        <f>IFERROR(__xludf.DUMMYFUNCTION("GOOGLETRANSLATE(A889, ""ar"", ""bn"")"),"বাতিল")</f>
        <v>বাতিল</v>
      </c>
    </row>
    <row r="890">
      <c r="A890" s="2" t="s">
        <v>3182</v>
      </c>
      <c r="B890" s="3" t="str">
        <f>IFERROR(__xludf.DUMMYFUNCTION("GOOGLETRANSLATE(A890, ""ar"", ""bn"")"),"বাতিল")</f>
        <v>বাতিল</v>
      </c>
    </row>
    <row r="891">
      <c r="A891" s="2" t="s">
        <v>3902</v>
      </c>
      <c r="B891" s="3" t="str">
        <f>IFERROR(__xludf.DUMMYFUNCTION("GOOGLETRANSLATE(A891, ""ar"", ""bn"")"),"বাতিল করা হয়েছে")</f>
        <v>বাতিল করা হয়েছে</v>
      </c>
    </row>
    <row r="892">
      <c r="A892" s="2" t="s">
        <v>3182</v>
      </c>
      <c r="B892" s="3" t="str">
        <f>IFERROR(__xludf.DUMMYFUNCTION("GOOGLETRANSLATE(A892, ""ar"", ""bn"")"),"বাতিল")</f>
        <v>বাতিল</v>
      </c>
    </row>
    <row r="893">
      <c r="A893" s="2" t="s">
        <v>3183</v>
      </c>
      <c r="B893" s="3" t="str">
        <f>IFERROR(__xludf.DUMMYFUNCTION("GOOGLETRANSLATE(A893, ""ar"", ""bn"")"),"ঘটিয়েছে")</f>
        <v>ঘটিয়েছে</v>
      </c>
    </row>
    <row r="894">
      <c r="A894" s="2" t="s">
        <v>3903</v>
      </c>
      <c r="B894" s="3" t="str">
        <f>IFERROR(__xludf.DUMMYFUNCTION("GOOGLETRANSLATE(A894, ""ar"", ""bn"")"),"ক্যান্সার")</f>
        <v>ক্যান্সার</v>
      </c>
    </row>
    <row r="895">
      <c r="A895" s="2" t="s">
        <v>3904</v>
      </c>
      <c r="B895" s="3" t="str">
        <f>IFERROR(__xludf.DUMMYFUNCTION("GOOGLETRANSLATE(A895, ""ar"", ""bn"")"),"ক্ষয়জনক")</f>
        <v>ক্ষয়জনক</v>
      </c>
    </row>
    <row r="896">
      <c r="A896" s="2" t="s">
        <v>3905</v>
      </c>
      <c r="B896" s="3" t="str">
        <f>IFERROR(__xludf.DUMMYFUNCTION("GOOGLETRANSLATE(A896, ""ar"", ""bn"")"),"ক্যান্সার")</f>
        <v>ক্যান্সার</v>
      </c>
    </row>
    <row r="897">
      <c r="A897" s="2" t="s">
        <v>3906</v>
      </c>
      <c r="B897" s="3" t="str">
        <f>IFERROR(__xludf.DUMMYFUNCTION("GOOGLETRANSLATE(A897, ""ar"", ""bn"")"),"মানুষের গোশত খেয়ে")</f>
        <v>মানুষের গোশত খেয়ে</v>
      </c>
    </row>
    <row r="898">
      <c r="A898" s="2" t="s">
        <v>3907</v>
      </c>
      <c r="B898" s="3" t="str">
        <f>IFERROR(__xludf.DUMMYFUNCTION("GOOGLETRANSLATE(A898, ""ar"", ""bn"")"),"অসংলগ্ন করা")</f>
        <v>অসংলগ্ন করা</v>
      </c>
    </row>
    <row r="899">
      <c r="A899" s="2" t="s">
        <v>3908</v>
      </c>
      <c r="B899" s="3" t="str">
        <f>IFERROR(__xludf.DUMMYFUNCTION("GOOGLETRANSLATE(A899, ""ar"", ""bn"")"),"ইতি টেনে")</f>
        <v>ইতি টেনে</v>
      </c>
    </row>
    <row r="900">
      <c r="A900" s="2" t="s">
        <v>3908</v>
      </c>
      <c r="B900" s="3" t="str">
        <f>IFERROR(__xludf.DUMMYFUNCTION("GOOGLETRANSLATE(A900, ""ar"", ""bn"")"),"ইতি টেনে")</f>
        <v>ইতি টেনে</v>
      </c>
    </row>
    <row r="901">
      <c r="A901" s="2" t="s">
        <v>3909</v>
      </c>
      <c r="B901" s="3" t="str">
        <f>IFERROR(__xludf.DUMMYFUNCTION("GOOGLETRANSLATE(A901, ""ar"", ""bn"")"),"নরমাংসভক্ষণপ্রথা")</f>
        <v>নরমাংসভক্ষণপ্রথা</v>
      </c>
    </row>
    <row r="902">
      <c r="A902" s="2" t="s">
        <v>3818</v>
      </c>
      <c r="B902" s="3" t="str">
        <f>IFERROR(__xludf.DUMMYFUNCTION("GOOGLETRANSLATE(A902, ""ar"", ""bn"")"),"পাশবিক")</f>
        <v>পাশবিক</v>
      </c>
    </row>
    <row r="903">
      <c r="A903" s="2" t="s">
        <v>3910</v>
      </c>
      <c r="B903" s="3" t="str">
        <f>IFERROR(__xludf.DUMMYFUNCTION("GOOGLETRANSLATE(A903, ""ar"", ""bn"")"),"রাক্ষস")</f>
        <v>রাক্ষস</v>
      </c>
    </row>
    <row r="904">
      <c r="A904" s="2" t="s">
        <v>3911</v>
      </c>
      <c r="B904" s="3" t="str">
        <f>IFERROR(__xludf.DUMMYFUNCTION("GOOGLETRANSLATE(A904, ""ar"", ""bn"")"),"বন্দুক")</f>
        <v>বন্দুক</v>
      </c>
    </row>
    <row r="905">
      <c r="A905" s="2" t="s">
        <v>3912</v>
      </c>
      <c r="B905" s="3" t="str">
        <f>IFERROR(__xludf.DUMMYFUNCTION("GOOGLETRANSLATE(A905, ""ar"", ""bn"")"),"গোলাগুলি")</f>
        <v>গোলাগুলি</v>
      </c>
    </row>
    <row r="906">
      <c r="A906" s="2" t="s">
        <v>3913</v>
      </c>
      <c r="B906" s="3" t="str">
        <f>IFERROR(__xludf.DUMMYFUNCTION("GOOGLETRANSLATE(A906, ""ar"", ""bn"")"),"অভিভাবক")</f>
        <v>অভিভাবক</v>
      </c>
    </row>
    <row r="907">
      <c r="A907" s="2" t="s">
        <v>3914</v>
      </c>
      <c r="B907" s="3" t="str">
        <f>IFERROR(__xludf.DUMMYFUNCTION("GOOGLETRANSLATE(A907, ""ar"", ""bn"")"),"প্রতিক্ষেপ")</f>
        <v>প্রতিক্ষেপ</v>
      </c>
    </row>
    <row r="908">
      <c r="A908" s="2" t="s">
        <v>3915</v>
      </c>
      <c r="B908" s="3" t="str">
        <f>IFERROR(__xludf.DUMMYFUNCTION("GOOGLETRANSLATE(A908, ""ar"", ""bn"")"),"সঙ্ঘর্ষ")</f>
        <v>সঙ্ঘর্ষ</v>
      </c>
    </row>
    <row r="909">
      <c r="A909" s="2" t="s">
        <v>3916</v>
      </c>
      <c r="B909" s="3" t="str">
        <f>IFERROR(__xludf.DUMMYFUNCTION("GOOGLETRANSLATE(A909, ""ar"", ""bn"")"),"ডিএফ")</f>
        <v>ডিএফ</v>
      </c>
    </row>
    <row r="910">
      <c r="A910" s="2" t="s">
        <v>3917</v>
      </c>
      <c r="B910" s="3" t="str">
        <f>IFERROR(__xludf.DUMMYFUNCTION("GOOGLETRANSLATE(A910, ""ar"", ""bn"")"),"নম")</f>
        <v>নম</v>
      </c>
    </row>
    <row r="911">
      <c r="A911" s="2" t="s">
        <v>3918</v>
      </c>
      <c r="B911" s="3" t="str">
        <f>IFERROR(__xludf.DUMMYFUNCTION("GOOGLETRANSLATE(A911, ""ar"", ""bn"")"),"আত্মসমর্পণ")</f>
        <v>আত্মসমর্পণ</v>
      </c>
    </row>
    <row r="912">
      <c r="A912" s="2" t="s">
        <v>3919</v>
      </c>
      <c r="B912" s="3" t="str">
        <f>IFERROR(__xludf.DUMMYFUNCTION("GOOGLETRANSLATE(A912, ""ar"", ""bn"")"),"ছেড়ে দেত্তয়া")</f>
        <v>ছেড়ে দেত্তয়া</v>
      </c>
    </row>
    <row r="913">
      <c r="A913" s="2" t="s">
        <v>3920</v>
      </c>
      <c r="B913" s="3" t="str">
        <f>IFERROR(__xludf.DUMMYFUNCTION("GOOGLETRANSLATE(A913, ""ar"", ""bn"")"),"অদ্ভুত")</f>
        <v>অদ্ভুত</v>
      </c>
    </row>
    <row r="914">
      <c r="A914" s="2" t="s">
        <v>3921</v>
      </c>
      <c r="B914" s="3" t="str">
        <f>IFERROR(__xludf.DUMMYFUNCTION("GOOGLETRANSLATE(A914, ""ar"", ""bn"")"),"অভিনব")</f>
        <v>অভিনব</v>
      </c>
    </row>
    <row r="915">
      <c r="A915" s="2" t="s">
        <v>3922</v>
      </c>
      <c r="B915" s="3" t="str">
        <f>IFERROR(__xludf.DUMMYFUNCTION("GOOGLETRANSLATE(A915, ""ar"", ""bn"")"),"Capriciousness")</f>
        <v>Capriciousness</v>
      </c>
    </row>
    <row r="916">
      <c r="A916" s="2" t="s">
        <v>3923</v>
      </c>
      <c r="B916" s="3" t="str">
        <f>IFERROR(__xludf.DUMMYFUNCTION("GOOGLETRANSLATE(A916, ""ar"", ""bn"")"),"পরিণত")</f>
        <v>পরিণত</v>
      </c>
    </row>
    <row r="917">
      <c r="A917" s="2" t="s">
        <v>3923</v>
      </c>
      <c r="B917" s="3" t="str">
        <f>IFERROR(__xludf.DUMMYFUNCTION("GOOGLETRANSLATE(A917, ""ar"", ""bn"")"),"পরিণত")</f>
        <v>পরিণত</v>
      </c>
    </row>
    <row r="918">
      <c r="A918" s="2" t="s">
        <v>3924</v>
      </c>
      <c r="B918" s="3" t="str">
        <f>IFERROR(__xludf.DUMMYFUNCTION("GOOGLETRANSLATE(A918, ""ar"", ""bn"")"),"চালু করুন")</f>
        <v>চালু করুন</v>
      </c>
    </row>
    <row r="919">
      <c r="A919" s="2" t="s">
        <v>3925</v>
      </c>
      <c r="B919" s="3" t="str">
        <f>IFERROR(__xludf.DUMMYFUNCTION("GOOGLETRANSLATE(A919, ""ar"", ""bn"")"),"বন্দী")</f>
        <v>বন্দী</v>
      </c>
    </row>
    <row r="920">
      <c r="A920" s="2" t="s">
        <v>3926</v>
      </c>
      <c r="B920" s="3" t="str">
        <f>IFERROR(__xludf.DUMMYFUNCTION("GOOGLETRANSLATE(A920, ""ar"", ""bn"")"),"প্রিজনার্স")</f>
        <v>প্রিজনার্স</v>
      </c>
    </row>
    <row r="921">
      <c r="A921" s="2" t="s">
        <v>3927</v>
      </c>
      <c r="B921" s="3" t="str">
        <f>IFERROR(__xludf.DUMMYFUNCTION("GOOGLETRANSLATE(A921, ""ar"", ""bn"")"),"ক্যাপচারিং")</f>
        <v>ক্যাপচারিং</v>
      </c>
    </row>
    <row r="922">
      <c r="A922" s="2" t="s">
        <v>3928</v>
      </c>
      <c r="B922" s="3" t="str">
        <f>IFERROR(__xludf.DUMMYFUNCTION("GOOGLETRANSLATE(A922, ""ar"", ""bn"")"),"ধরা")</f>
        <v>ধরা</v>
      </c>
    </row>
    <row r="923">
      <c r="A923" s="2" t="s">
        <v>3929</v>
      </c>
      <c r="B923" s="3" t="str">
        <f>IFERROR(__xludf.DUMMYFUNCTION("GOOGLETRANSLATE(A923, ""ar"", ""bn"")"),"পিক")</f>
        <v>পিক</v>
      </c>
    </row>
    <row r="924">
      <c r="A924" s="2" t="s">
        <v>3930</v>
      </c>
      <c r="B924" s="3" t="str">
        <f>IFERROR(__xludf.DUMMYFUNCTION("GOOGLETRANSLATE(A924, ""ar"", ""bn"")"),"উদ্বেগহীন")</f>
        <v>উদ্বেগহীন</v>
      </c>
    </row>
    <row r="925">
      <c r="A925" s="2" t="s">
        <v>3931</v>
      </c>
      <c r="B925" s="3" t="str">
        <f>IFERROR(__xludf.DUMMYFUNCTION("GOOGLETRANSLATE(A925, ""ar"", ""bn"")"),"অগোছালভাবে")</f>
        <v>অগোছালভাবে</v>
      </c>
    </row>
    <row r="926">
      <c r="A926" s="2" t="s">
        <v>3400</v>
      </c>
      <c r="B926" s="3" t="str">
        <f>IFERROR(__xludf.DUMMYFUNCTION("GOOGLETRANSLATE(A926, ""ar"", ""bn"")"),"অযত্ন")</f>
        <v>অযত্ন</v>
      </c>
    </row>
    <row r="927">
      <c r="A927" s="2" t="s">
        <v>3932</v>
      </c>
      <c r="B927" s="3" t="str">
        <f>IFERROR(__xludf.DUMMYFUNCTION("GOOGLETRANSLATE(A927, ""ar"", ""bn"")"),"আহত")</f>
        <v>আহত</v>
      </c>
    </row>
    <row r="928">
      <c r="A928" s="2" t="s">
        <v>3933</v>
      </c>
      <c r="B928" s="3" t="str">
        <f>IFERROR(__xludf.DUMMYFUNCTION("GOOGLETRANSLATE(A928, ""ar"", ""bn"")"),"বন্যা")</f>
        <v>বন্যা</v>
      </c>
    </row>
    <row r="929">
      <c r="A929" s="2" t="s">
        <v>3934</v>
      </c>
      <c r="B929" s="3" t="str">
        <f>IFERROR(__xludf.DUMMYFUNCTION("GOOGLETRANSLATE(A929, ""ar"", ""bn"")"),"সর্বনাশা")</f>
        <v>সর্বনাশা</v>
      </c>
    </row>
    <row r="930">
      <c r="A930" s="2" t="s">
        <v>3935</v>
      </c>
      <c r="B930" s="3" t="str">
        <f>IFERROR(__xludf.DUMMYFUNCTION("GOOGLETRANSLATE(A930, ""ar"", ""bn"")"),"বিপর্যয়")</f>
        <v>বিপর্যয়</v>
      </c>
    </row>
    <row r="931">
      <c r="A931" s="2" t="s">
        <v>3936</v>
      </c>
      <c r="B931" s="3" t="str">
        <f>IFERROR(__xludf.DUMMYFUNCTION("GOOGLETRANSLATE(A931, ""ar"", ""bn"")"),"বিপর্যয়")</f>
        <v>বিপর্যয়</v>
      </c>
    </row>
    <row r="932">
      <c r="A932" s="2" t="s">
        <v>3937</v>
      </c>
      <c r="B932" s="3" t="str">
        <f>IFERROR(__xludf.DUMMYFUNCTION("GOOGLETRANSLATE(A932, ""ar"", ""bn"")"),"সার্জেন্ট")</f>
        <v>সার্জেন্ট</v>
      </c>
    </row>
    <row r="933">
      <c r="A933" s="2" t="s">
        <v>3938</v>
      </c>
      <c r="B933" s="3" t="str">
        <f>IFERROR(__xludf.DUMMYFUNCTION("GOOGLETRANSLATE(A933, ""ar"", ""bn"")"),"বিবাচন")</f>
        <v>বিবাচন</v>
      </c>
    </row>
    <row r="934">
      <c r="A934" s="2" t="s">
        <v>3939</v>
      </c>
      <c r="B934" s="3" t="str">
        <f>IFERROR(__xludf.DUMMYFUNCTION("GOOGLETRANSLATE(A934, ""ar"", ""bn"")"),"মনিটর")</f>
        <v>মনিটর</v>
      </c>
    </row>
    <row r="935">
      <c r="A935" s="2" t="s">
        <v>3940</v>
      </c>
      <c r="B935" s="3" t="str">
        <f>IFERROR(__xludf.DUMMYFUNCTION("GOOGLETRANSLATE(A935, ""ar"", ""bn"")"),"সেন্সরশিপ আরোপ")</f>
        <v>সেন্সরশিপ আরোপ</v>
      </c>
    </row>
    <row r="936">
      <c r="A936" s="2" t="s">
        <v>3941</v>
      </c>
      <c r="B936" s="3" t="str">
        <f>IFERROR(__xludf.DUMMYFUNCTION("GOOGLETRANSLATE(A936, ""ar"", ""bn"")"),"ছিদ্রান্বেষী")</f>
        <v>ছিদ্রান্বেষী</v>
      </c>
    </row>
    <row r="937">
      <c r="A937" s="2" t="s">
        <v>3942</v>
      </c>
      <c r="B937" s="3" t="str">
        <f>IFERROR(__xludf.DUMMYFUNCTION("GOOGLETRANSLATE(A937, ""ar"", ""bn"")"),"সমালোচনা করা")</f>
        <v>সমালোচনা করা</v>
      </c>
    </row>
    <row r="938">
      <c r="A938" s="2" t="s">
        <v>3943</v>
      </c>
      <c r="B938" s="3" t="str">
        <f>IFERROR(__xludf.DUMMYFUNCTION("GOOGLETRANSLATE(A938, ""ar"", ""bn"")"),"নিয়ন্ত্রণ")</f>
        <v>নিয়ন্ত্রণ</v>
      </c>
    </row>
    <row r="939">
      <c r="A939" s="2" t="s">
        <v>3938</v>
      </c>
      <c r="B939" s="3" t="str">
        <f>IFERROR(__xludf.DUMMYFUNCTION("GOOGLETRANSLATE(A939, ""ar"", ""bn"")"),"বিবাচন")</f>
        <v>বিবাচন</v>
      </c>
    </row>
    <row r="940">
      <c r="A940" s="2" t="s">
        <v>3660</v>
      </c>
      <c r="B940" s="3" t="str">
        <f>IFERROR(__xludf.DUMMYFUNCTION("GOOGLETRANSLATE(A940, ""ar"", ""bn"")"),"দোষ")</f>
        <v>দোষ</v>
      </c>
    </row>
    <row r="941">
      <c r="A941" s="2" t="s">
        <v>3661</v>
      </c>
      <c r="B941" s="3" t="str">
        <f>IFERROR(__xludf.DUMMYFUNCTION("GOOGLETRANSLATE(A941, ""ar"", ""bn"")"),"দোষ")</f>
        <v>দোষ</v>
      </c>
    </row>
    <row r="942">
      <c r="A942" s="2" t="s">
        <v>3944</v>
      </c>
      <c r="B942" s="3" t="str">
        <f>IFERROR(__xludf.DUMMYFUNCTION("GOOGLETRANSLATE(A942, ""ar"", ""bn"")"),"তীব্র তিরস্কার")</f>
        <v>তীব্র তিরস্কার</v>
      </c>
    </row>
    <row r="943">
      <c r="A943" s="2" t="s">
        <v>3945</v>
      </c>
      <c r="B943" s="3" t="str">
        <f>IFERROR(__xludf.DUMMYFUNCTION("GOOGLETRANSLATE(A943, ""ar"", ""bn"")"),"রাগান")</f>
        <v>রাগান</v>
      </c>
    </row>
    <row r="944">
      <c r="A944" s="2" t="s">
        <v>3946</v>
      </c>
      <c r="B944" s="3" t="str">
        <f>IFERROR(__xludf.DUMMYFUNCTION("GOOGLETRANSLATE(A944, ""ar"", ""bn"")"),"Chafed")</f>
        <v>Chafed</v>
      </c>
    </row>
    <row r="945">
      <c r="A945" s="2" t="s">
        <v>3370</v>
      </c>
      <c r="B945" s="3" t="str">
        <f>IFERROR(__xludf.DUMMYFUNCTION("GOOGLETRANSLATE(A945, ""ar"", ""bn"")"),"রাগ করা")</f>
        <v>রাগ করা</v>
      </c>
    </row>
    <row r="946">
      <c r="A946" s="2" t="s">
        <v>3947</v>
      </c>
      <c r="B946" s="3" t="str">
        <f>IFERROR(__xludf.DUMMYFUNCTION("GOOGLETRANSLATE(A946, ""ar"", ""bn"")"),"চ্যালেঞ্জ")</f>
        <v>চ্যালেঞ্জ</v>
      </c>
    </row>
    <row r="947">
      <c r="A947" s="2" t="s">
        <v>3948</v>
      </c>
      <c r="B947" s="3" t="str">
        <f>IFERROR(__xludf.DUMMYFUNCTION("GOOGLETRANSLATE(A947, ""ar"", ""bn"")"),"একটি চ্যালেঞ্জ")</f>
        <v>একটি চ্যালেঞ্জ</v>
      </c>
    </row>
    <row r="948">
      <c r="A948" s="2" t="s">
        <v>3949</v>
      </c>
      <c r="B948" s="3" t="str">
        <f>IFERROR(__xludf.DUMMYFUNCTION("GOOGLETRANSLATE(A948, ""ar"", ""bn"")"),"দ্বন্দ্বার্থ সম্মুখীন")</f>
        <v>দ্বন্দ্বার্থ সম্মুখীন</v>
      </c>
    </row>
    <row r="949">
      <c r="A949" s="2" t="s">
        <v>3950</v>
      </c>
      <c r="B949" s="3" t="str">
        <f>IFERROR(__xludf.DUMMYFUNCTION("GOOGLETRANSLATE(A949, ""ar"", ""bn"")"),"প্রতিদ্বন্দ্বী")</f>
        <v>প্রতিদ্বন্দ্বী</v>
      </c>
    </row>
    <row r="950">
      <c r="A950" s="2" t="s">
        <v>3951</v>
      </c>
      <c r="B950" s="3" t="str">
        <f>IFERROR(__xludf.DUMMYFUNCTION("GOOGLETRANSLATE(A950, ""ar"", ""bn"")"),"চ্যালেঞ্জ")</f>
        <v>চ্যালেঞ্জ</v>
      </c>
    </row>
    <row r="951">
      <c r="A951" s="2" t="s">
        <v>239</v>
      </c>
      <c r="B951" s="3" t="str">
        <f>IFERROR(__xludf.DUMMYFUNCTION("GOOGLETRANSLATE(A951, ""ar"", ""bn"")"),"বিশৃঙ্খলা")</f>
        <v>বিশৃঙ্খলা</v>
      </c>
    </row>
    <row r="952">
      <c r="A952" s="2" t="s">
        <v>237</v>
      </c>
      <c r="B952" s="3" t="str">
        <f>IFERROR(__xludf.DUMMYFUNCTION("GOOGLETRANSLATE(A952, ""ar"", ""bn"")"),"বিশৃঙ্খল")</f>
        <v>বিশৃঙ্খল</v>
      </c>
    </row>
    <row r="953">
      <c r="A953" s="2" t="s">
        <v>3952</v>
      </c>
      <c r="B953" s="3" t="str">
        <f>IFERROR(__xludf.DUMMYFUNCTION("GOOGLETRANSLATE(A953, ""ar"", ""bn"")"),"ব্যাধি")</f>
        <v>ব্যাধি</v>
      </c>
    </row>
    <row r="954">
      <c r="A954" s="2" t="s">
        <v>3953</v>
      </c>
      <c r="B954" s="3" t="str">
        <f>IFERROR(__xludf.DUMMYFUNCTION("GOOGLETRANSLATE(A954, ""ar"", ""bn"")"),"চার্জ")</f>
        <v>চার্জ</v>
      </c>
    </row>
    <row r="955">
      <c r="A955" s="2" t="s">
        <v>3954</v>
      </c>
      <c r="B955" s="3" t="str">
        <f>IFERROR(__xludf.DUMMYFUNCTION("GOOGLETRANSLATE(A955, ""ar"", ""bn"")"),"লোড")</f>
        <v>লোড</v>
      </c>
    </row>
    <row r="956">
      <c r="A956" s="2" t="s">
        <v>3955</v>
      </c>
      <c r="B956" s="3" t="str">
        <f>IFERROR(__xludf.DUMMYFUNCTION("GOOGLETRANSLATE(A956, ""ar"", ""bn"")"),"অভিযুক্ত")</f>
        <v>অভিযুক্ত</v>
      </c>
    </row>
    <row r="957">
      <c r="A957" s="2" t="s">
        <v>3956</v>
      </c>
      <c r="B957" s="3" t="str">
        <f>IFERROR(__xludf.DUMMYFUNCTION("GOOGLETRANSLATE(A957, ""ar"", ""bn"")"),"আক্রমণকারী")</f>
        <v>আক্রমণকারী</v>
      </c>
    </row>
    <row r="958">
      <c r="A958" s="2" t="s">
        <v>3957</v>
      </c>
      <c r="B958" s="3" t="str">
        <f>IFERROR(__xludf.DUMMYFUNCTION("GOOGLETRANSLATE(A958, ""ar"", ""bn"")"),"স্থানান্তর")</f>
        <v>স্থানান্তর</v>
      </c>
    </row>
    <row r="959">
      <c r="A959" s="2" t="s">
        <v>3958</v>
      </c>
      <c r="B959" s="3" t="str">
        <f>IFERROR(__xludf.DUMMYFUNCTION("GOOGLETRANSLATE(A959, ""ar"", ""bn"")"),"ফি")</f>
        <v>ফি</v>
      </c>
    </row>
    <row r="960">
      <c r="A960" s="2" t="s">
        <v>3959</v>
      </c>
      <c r="B960" s="3" t="str">
        <f>IFERROR(__xludf.DUMMYFUNCTION("GOOGLETRANSLATE(A960, ""ar"", ""bn"")"),"পশ্চাদ্ধাবন")</f>
        <v>পশ্চাদ্ধাবন</v>
      </c>
    </row>
    <row r="961">
      <c r="A961" s="2" t="s">
        <v>3960</v>
      </c>
      <c r="B961" s="3" t="str">
        <f>IFERROR(__xludf.DUMMYFUNCTION("GOOGLETRANSLATE(A961, ""ar"", ""bn"")"),"ধাওয়া")</f>
        <v>ধাওয়া</v>
      </c>
    </row>
    <row r="962">
      <c r="A962" s="2" t="s">
        <v>3961</v>
      </c>
      <c r="B962" s="3" t="str">
        <f>IFERROR(__xludf.DUMMYFUNCTION("GOOGLETRANSLATE(A962, ""ar"", ""bn"")"),"শিকারী")</f>
        <v>শিকারী</v>
      </c>
    </row>
    <row r="963">
      <c r="A963" s="2" t="s">
        <v>3962</v>
      </c>
      <c r="B963" s="3" t="str">
        <f>IFERROR(__xludf.DUMMYFUNCTION("GOOGLETRANSLATE(A963, ""ar"", ""bn"")"),"রান চেজ")</f>
        <v>রান চেজ</v>
      </c>
    </row>
    <row r="964">
      <c r="A964" s="2" t="s">
        <v>3963</v>
      </c>
      <c r="B964" s="3" t="str">
        <f>IFERROR(__xludf.DUMMYFUNCTION("GOOGLETRANSLATE(A964, ""ar"", ""bn"")"),"chases")</f>
        <v>chases</v>
      </c>
    </row>
    <row r="965">
      <c r="A965" s="2" t="s">
        <v>3964</v>
      </c>
      <c r="B965" s="3" t="str">
        <f>IFERROR(__xludf.DUMMYFUNCTION("GOOGLETRANSLATE(A965, ""ar"", ""bn"")"),"আক্রমণ করা")</f>
        <v>আক্রমণ করা</v>
      </c>
    </row>
    <row r="966">
      <c r="A966" s="2" t="s">
        <v>3965</v>
      </c>
      <c r="B966" s="3" t="str">
        <f>IFERROR(__xludf.DUMMYFUNCTION("GOOGLETRANSLATE(A966, ""ar"", ""bn"")"),"সমালোচনা করা")</f>
        <v>সমালোচনা করা</v>
      </c>
    </row>
    <row r="967">
      <c r="A967" s="2" t="s">
        <v>3966</v>
      </c>
      <c r="B967" s="3" t="str">
        <f>IFERROR(__xludf.DUMMYFUNCTION("GOOGLETRANSLATE(A967, ""ar"", ""bn"")"),"শাস্তি")</f>
        <v>শাস্তি</v>
      </c>
    </row>
    <row r="968">
      <c r="A968" s="2" t="s">
        <v>3660</v>
      </c>
      <c r="B968" s="3" t="str">
        <f>IFERROR(__xludf.DUMMYFUNCTION("GOOGLETRANSLATE(A968, ""ar"", ""bn"")"),"দোষ")</f>
        <v>দোষ</v>
      </c>
    </row>
    <row r="969">
      <c r="A969" s="2" t="s">
        <v>3967</v>
      </c>
      <c r="B969" s="3" t="str">
        <f>IFERROR(__xludf.DUMMYFUNCTION("GOOGLETRANSLATE(A969, ""ar"", ""bn"")"),"সস্তা")</f>
        <v>সস্তা</v>
      </c>
    </row>
    <row r="970">
      <c r="A970" s="2" t="s">
        <v>3968</v>
      </c>
      <c r="B970" s="3" t="str">
        <f>IFERROR(__xludf.DUMMYFUNCTION("GOOGLETRANSLATE(A970, ""ar"", ""bn"")"),"মূল্যহীনতা")</f>
        <v>মূল্যহীনতা</v>
      </c>
    </row>
    <row r="971">
      <c r="A971" s="2" t="s">
        <v>3969</v>
      </c>
      <c r="B971" s="3" t="str">
        <f>IFERROR(__xludf.DUMMYFUNCTION("GOOGLETRANSLATE(A971, ""ar"", ""bn"")"),"কম")</f>
        <v>কম</v>
      </c>
    </row>
    <row r="972">
      <c r="A972" s="2" t="s">
        <v>3970</v>
      </c>
      <c r="B972" s="3" t="str">
        <f>IFERROR(__xludf.DUMMYFUNCTION("GOOGLETRANSLATE(A972, ""ar"", ""bn"")"),"দাম কমে")</f>
        <v>দাম কমে</v>
      </c>
    </row>
    <row r="973">
      <c r="A973" s="2" t="s">
        <v>3971</v>
      </c>
      <c r="B973" s="3" t="str">
        <f>IFERROR(__xludf.DUMMYFUNCTION("GOOGLETRANSLATE(A973, ""ar"", ""bn"")"),"অনুমতিপ্রাপ্ত")</f>
        <v>অনুমতিপ্রাপ্ত</v>
      </c>
    </row>
    <row r="974">
      <c r="A974" s="2" t="s">
        <v>3972</v>
      </c>
      <c r="B974" s="3" t="str">
        <f>IFERROR(__xludf.DUMMYFUNCTION("GOOGLETRANSLATE(A974, ""ar"", ""bn"")"),"সস্তা")</f>
        <v>সস্তা</v>
      </c>
    </row>
    <row r="975">
      <c r="A975" s="2" t="s">
        <v>3972</v>
      </c>
      <c r="B975" s="3" t="str">
        <f>IFERROR(__xludf.DUMMYFUNCTION("GOOGLETRANSLATE(A975, ""ar"", ""bn"")"),"সস্তা")</f>
        <v>সস্তা</v>
      </c>
    </row>
    <row r="976">
      <c r="A976" s="2" t="s">
        <v>3973</v>
      </c>
      <c r="B976" s="3" t="str">
        <f>IFERROR(__xludf.DUMMYFUNCTION("GOOGLETRANSLATE(A976, ""ar"", ""bn"")"),"Cheapish")</f>
        <v>Cheapish</v>
      </c>
    </row>
    <row r="977">
      <c r="A977" s="2" t="s">
        <v>3974</v>
      </c>
      <c r="B977" s="3" t="str">
        <f>IFERROR(__xludf.DUMMYFUNCTION("GOOGLETRANSLATE(A977, ""ar"", ""bn"")"),"সস্তায়")</f>
        <v>সস্তায়</v>
      </c>
    </row>
    <row r="978">
      <c r="A978" s="2" t="s">
        <v>3968</v>
      </c>
      <c r="B978" s="3" t="str">
        <f>IFERROR(__xludf.DUMMYFUNCTION("GOOGLETRANSLATE(A978, ""ar"", ""bn"")"),"মূল্যহীনতা")</f>
        <v>মূল্যহীনতা</v>
      </c>
    </row>
    <row r="979">
      <c r="A979" s="2" t="s">
        <v>3975</v>
      </c>
      <c r="B979" s="3" t="str">
        <f>IFERROR(__xludf.DUMMYFUNCTION("GOOGLETRANSLATE(A979, ""ar"", ""bn"")"),"Cheapskates")</f>
        <v>Cheapskates</v>
      </c>
    </row>
    <row r="980">
      <c r="A980" s="2" t="s">
        <v>3587</v>
      </c>
      <c r="B980" s="3" t="str">
        <f>IFERROR(__xludf.DUMMYFUNCTION("GOOGLETRANSLATE(A980, ""ar"", ""bn"")"),"প্রতারিত")</f>
        <v>প্রতারিত</v>
      </c>
    </row>
    <row r="981">
      <c r="A981" s="2" t="s">
        <v>3976</v>
      </c>
      <c r="B981" s="3" t="str">
        <f>IFERROR(__xludf.DUMMYFUNCTION("GOOGLETRANSLATE(A981, ""ar"", ""bn"")"),"কৌতুক")</f>
        <v>কৌতুক</v>
      </c>
    </row>
    <row r="982">
      <c r="A982" s="2" t="s">
        <v>3977</v>
      </c>
      <c r="B982" s="3" t="str">
        <f>IFERROR(__xludf.DUMMYFUNCTION("GOOGLETRANSLATE(A982, ""ar"", ""bn"")"),"তঁচক")</f>
        <v>তঁচক</v>
      </c>
    </row>
    <row r="983">
      <c r="A983" s="2" t="s">
        <v>3978</v>
      </c>
      <c r="B983" s="3" t="str">
        <f>IFERROR(__xludf.DUMMYFUNCTION("GOOGLETRANSLATE(A983, ""ar"", ""bn"")"),"প্রতারকরা")</f>
        <v>প্রতারকরা</v>
      </c>
    </row>
    <row r="984">
      <c r="A984" s="2" t="s">
        <v>3269</v>
      </c>
      <c r="B984" s="3" t="str">
        <f>IFERROR(__xludf.DUMMYFUNCTION("GOOGLETRANSLATE(A984, ""ar"", ""bn"")"),"প্রতারণা")</f>
        <v>প্রতারণা</v>
      </c>
    </row>
    <row r="985">
      <c r="A985" s="2" t="s">
        <v>3269</v>
      </c>
      <c r="B985" s="3" t="str">
        <f>IFERROR(__xludf.DUMMYFUNCTION("GOOGLETRANSLATE(A985, ""ar"", ""bn"")"),"প্রতারণা")</f>
        <v>প্রতারণা</v>
      </c>
    </row>
    <row r="986">
      <c r="A986" s="2" t="s">
        <v>3673</v>
      </c>
      <c r="B986" s="3" t="str">
        <f>IFERROR(__xludf.DUMMYFUNCTION("GOOGLETRANSLATE(A986, ""ar"", ""bn"")"),"নিরানন্দ")</f>
        <v>নিরানন্দ</v>
      </c>
    </row>
    <row r="987">
      <c r="A987" s="2" t="s">
        <v>3979</v>
      </c>
      <c r="B987" s="3" t="str">
        <f>IFERROR(__xludf.DUMMYFUNCTION("GOOGLETRANSLATE(A987, ""ar"", ""bn"")"),"প্রহার")</f>
        <v>প্রহার</v>
      </c>
    </row>
    <row r="988">
      <c r="A988" s="2" t="s">
        <v>3980</v>
      </c>
      <c r="B988" s="3" t="str">
        <f>IFERROR(__xludf.DUMMYFUNCTION("GOOGLETRANSLATE(A988, ""ar"", ""bn"")"),"টুকা")</f>
        <v>টুকা</v>
      </c>
    </row>
    <row r="989">
      <c r="A989" s="2" t="s">
        <v>3981</v>
      </c>
      <c r="B989" s="3" t="str">
        <f>IFERROR(__xludf.DUMMYFUNCTION("GOOGLETRANSLATE(A989, ""ar"", ""bn"")"),"ভর্ত্সনা করা")</f>
        <v>ভর্ত্সনা করা</v>
      </c>
    </row>
    <row r="990">
      <c r="A990" s="2" t="s">
        <v>3982</v>
      </c>
      <c r="B990" s="3" t="str">
        <f>IFERROR(__xludf.DUMMYFUNCTION("GOOGLETRANSLATE(A990, ""ar"", ""bn"")"),"শিশুবৎ")</f>
        <v>শিশুবৎ</v>
      </c>
    </row>
    <row r="991">
      <c r="A991" s="2" t="s">
        <v>3982</v>
      </c>
      <c r="B991" s="3" t="str">
        <f>IFERROR(__xludf.DUMMYFUNCTION("GOOGLETRANSLATE(A991, ""ar"", ""bn"")"),"শিশুবৎ")</f>
        <v>শিশুবৎ</v>
      </c>
    </row>
    <row r="992">
      <c r="A992" s="2" t="s">
        <v>3983</v>
      </c>
      <c r="B992" s="3" t="str">
        <f>IFERROR(__xludf.DUMMYFUNCTION("GOOGLETRANSLATE(A992, ""ar"", ""bn"")"),"শিশুবৎ আচরণ")</f>
        <v>শিশুবৎ আচরণ</v>
      </c>
    </row>
    <row r="993">
      <c r="A993" s="2" t="s">
        <v>3984</v>
      </c>
      <c r="B993" s="3" t="str">
        <f>IFERROR(__xludf.DUMMYFUNCTION("GOOGLETRANSLATE(A993, ""ar"", ""bn"")"),"শ্বাসনালী")</f>
        <v>শ্বাসনালী</v>
      </c>
    </row>
    <row r="994">
      <c r="A994" s="2" t="s">
        <v>3985</v>
      </c>
      <c r="B994" s="3" t="str">
        <f>IFERROR(__xludf.DUMMYFUNCTION("GOOGLETRANSLATE(A994, ""ar"", ""bn"")"),"শ্বাসরোধ করা")</f>
        <v>শ্বাসরোধ করা</v>
      </c>
    </row>
    <row r="995">
      <c r="A995" s="2" t="s">
        <v>3986</v>
      </c>
      <c r="B995" s="3" t="str">
        <f>IFERROR(__xludf.DUMMYFUNCTION("GOOGLETRANSLATE(A995, ""ar"", ""bn"")"),"নেকলেস")</f>
        <v>নেকলেস</v>
      </c>
    </row>
    <row r="996">
      <c r="A996" s="2" t="s">
        <v>3987</v>
      </c>
      <c r="B996" s="3" t="str">
        <f>IFERROR(__xludf.DUMMYFUNCTION("GOOGLETRANSLATE(A996, ""ar"", ""bn"")"),"গলগ্রহ হয়ে যায়")</f>
        <v>গলগ্রহ হয়ে যায়</v>
      </c>
    </row>
    <row r="997">
      <c r="A997" s="2" t="s">
        <v>3988</v>
      </c>
      <c r="B997" s="3" t="str">
        <f>IFERROR(__xludf.DUMMYFUNCTION("GOOGLETRANSLATE(A997, ""ar"", ""bn"")"),"নিত্যনৈমিত্তিক কাজ")</f>
        <v>নিত্যনৈমিত্তিক কাজ</v>
      </c>
    </row>
    <row r="998">
      <c r="A998" s="2" t="s">
        <v>3989</v>
      </c>
      <c r="B998" s="3" t="str">
        <f>IFERROR(__xludf.DUMMYFUNCTION("GOOGLETRANSLATE(A998, ""ar"", ""bn"")"),"করীয়া")</f>
        <v>করীয়া</v>
      </c>
    </row>
    <row r="999">
      <c r="A999" s="2" t="s">
        <v>3990</v>
      </c>
      <c r="B999" s="3" t="str">
        <f>IFERROR(__xludf.DUMMYFUNCTION("GOOGLETRANSLATE(A999, ""ar"", ""bn"")"),"ব্যর্থ হয়েছে")</f>
        <v>ব্যর্থ হয়েছে</v>
      </c>
    </row>
    <row r="1000">
      <c r="A1000" s="2" t="s">
        <v>3991</v>
      </c>
      <c r="B1000" s="3" t="str">
        <f>IFERROR(__xludf.DUMMYFUNCTION("GOOGLETRANSLATE(A1000, ""ar"", ""bn"")"),"ব্যালেটনাচের পরিকল্পক")</f>
        <v>ব্যালেটনাচের পরিকল্পক</v>
      </c>
    </row>
    <row r="1001">
      <c r="A1001" s="2" t="s">
        <v>3992</v>
      </c>
      <c r="B1001" s="3" t="str">
        <f>IFERROR(__xludf.DUMMYFUNCTION("GOOGLETRANSLATE(A1001, ""ar"", ""bn"")"),"নৃত্য ডিজাইনার")</f>
        <v>নৃত্য ডিজাইনার</v>
      </c>
    </row>
    <row r="1002">
      <c r="A1002" s="2" t="s">
        <v>3993</v>
      </c>
      <c r="B1002" s="3" t="str">
        <f>IFERROR(__xludf.DUMMYFUNCTION("GOOGLETRANSLATE(A1002, ""ar"", ""bn"")"),"ব্যালেটনাচের পরিকল্পিত")</f>
        <v>ব্যালেটনাচের পরিকল্পিত</v>
      </c>
    </row>
    <row r="1003">
      <c r="A1003" s="2" t="s">
        <v>3994</v>
      </c>
      <c r="B1003" s="3" t="str">
        <f>IFERROR(__xludf.DUMMYFUNCTION("GOOGLETRANSLATE(A1003, ""ar"", ""bn"")"),"নৃত্য নকশা")</f>
        <v>নৃত্য নকশা</v>
      </c>
    </row>
    <row r="1004">
      <c r="A1004" s="2" t="s">
        <v>3995</v>
      </c>
      <c r="B1004" s="3" t="str">
        <f>IFERROR(__xludf.DUMMYFUNCTION("GOOGLETRANSLATE(A1004, ""ar"", ""bn"")"),"নাচ")</f>
        <v>নাচ</v>
      </c>
    </row>
    <row r="1005">
      <c r="A1005" s="2" t="s">
        <v>3996</v>
      </c>
      <c r="B1005" s="3" t="str">
        <f>IFERROR(__xludf.DUMMYFUNCTION("GOOGLETRANSLATE(A1005, ""ar"", ""bn"")"),"ব্যবসায়")</f>
        <v>ব্যবসায়</v>
      </c>
    </row>
    <row r="1006">
      <c r="A1006" s="2" t="s">
        <v>3997</v>
      </c>
      <c r="B1006" s="3" t="str">
        <f>IFERROR(__xludf.DUMMYFUNCTION("GOOGLETRANSLATE(A1006, ""ar"", ""bn"")"),"দীর্ঘকালস্থায়ী")</f>
        <v>দীর্ঘকালস্থায়ী</v>
      </c>
    </row>
    <row r="1007">
      <c r="A1007" s="2" t="s">
        <v>3997</v>
      </c>
      <c r="B1007" s="3" t="str">
        <f>IFERROR(__xludf.DUMMYFUNCTION("GOOGLETRANSLATE(A1007, ""ar"", ""bn"")"),"দীর্ঘকালস্থায়ী")</f>
        <v>দীর্ঘকালস্থায়ী</v>
      </c>
    </row>
    <row r="1008">
      <c r="A1008" s="2" t="s">
        <v>3998</v>
      </c>
      <c r="B1008" s="3" t="str">
        <f>IFERROR(__xludf.DUMMYFUNCTION("GOOGLETRANSLATE(A1008, ""ar"", ""bn"")"),"ধারাবিবরণী")</f>
        <v>ধারাবিবরণী</v>
      </c>
    </row>
    <row r="1009">
      <c r="A1009" s="2" t="s">
        <v>3999</v>
      </c>
      <c r="B1009" s="3" t="str">
        <f>IFERROR(__xludf.DUMMYFUNCTION("GOOGLETRANSLATE(A1009, ""ar"", ""bn"")"),"তারিখ")</f>
        <v>তারিখ</v>
      </c>
    </row>
    <row r="1010">
      <c r="A1010" s="2" t="s">
        <v>4000</v>
      </c>
      <c r="B1010" s="3" t="str">
        <f>IFERROR(__xludf.DUMMYFUNCTION("GOOGLETRANSLATE(A1010, ""ar"", ""bn"")"),"কাহিনীকার")</f>
        <v>কাহিনীকার</v>
      </c>
    </row>
    <row r="1011">
      <c r="A1011" s="2" t="s">
        <v>4001</v>
      </c>
      <c r="B1011" s="3" t="str">
        <f>IFERROR(__xludf.DUMMYFUNCTION("GOOGLETRANSLATE(A1011, ""ar"", ""bn"")"),"ঐতিহাসিকরা")</f>
        <v>ঐতিহাসিকরা</v>
      </c>
    </row>
    <row r="1012">
      <c r="A1012" s="2" t="s">
        <v>4002</v>
      </c>
      <c r="B1012" s="3" t="str">
        <f>IFERROR(__xludf.DUMMYFUNCTION("GOOGLETRANSLATE(A1012, ""ar"", ""bn"")"),"লগ")</f>
        <v>লগ</v>
      </c>
    </row>
    <row r="1013">
      <c r="A1013" s="2" t="s">
        <v>4003</v>
      </c>
      <c r="B1013" s="3" t="str">
        <f>IFERROR(__xludf.DUMMYFUNCTION("GOOGLETRANSLATE(A1013, ""ar"", ""bn"")"),"তারা লিখে")</f>
        <v>তারা লিখে</v>
      </c>
    </row>
    <row r="1014">
      <c r="A1014" s="2" t="s">
        <v>4004</v>
      </c>
      <c r="B1014" s="3" t="str">
        <f>IFERROR(__xludf.DUMMYFUNCTION("GOOGLETRANSLATE(A1014, ""ar"", ""bn"")"),"উচ্চশব্দকারী")</f>
        <v>উচ্চশব্দকারী</v>
      </c>
    </row>
    <row r="1015">
      <c r="A1015" s="2" t="s">
        <v>3514</v>
      </c>
      <c r="B1015" s="3" t="str">
        <f>IFERROR(__xludf.DUMMYFUNCTION("GOOGLETRANSLATE(A1015, ""ar"", ""bn"")"),"বাজে কথা")</f>
        <v>বাজে কথা</v>
      </c>
    </row>
    <row r="1016">
      <c r="A1016" s="2" t="s">
        <v>4005</v>
      </c>
      <c r="B1016" s="3" t="str">
        <f>IFERROR(__xludf.DUMMYFUNCTION("GOOGLETRANSLATE(A1016, ""ar"", ""bn"")"),"সংঘর্ষ")</f>
        <v>সংঘর্ষ</v>
      </c>
    </row>
    <row r="1017">
      <c r="A1017" s="2" t="s">
        <v>4006</v>
      </c>
      <c r="B1017" s="3" t="str">
        <f>IFERROR(__xludf.DUMMYFUNCTION("GOOGLETRANSLATE(A1017, ""ar"", ""bn"")"),"সংঘর্ষ")</f>
        <v>সংঘর্ষ</v>
      </c>
    </row>
    <row r="1018">
      <c r="A1018" s="2" t="s">
        <v>4007</v>
      </c>
      <c r="B1018" s="3" t="str">
        <f>IFERROR(__xludf.DUMMYFUNCTION("GOOGLETRANSLATE(A1018, ""ar"", ""bn"")"),"সংঘর্ষ")</f>
        <v>সংঘর্ষ</v>
      </c>
    </row>
    <row r="1019">
      <c r="A1019" s="2" t="s">
        <v>4008</v>
      </c>
      <c r="B1019" s="3" t="str">
        <f>IFERROR(__xludf.DUMMYFUNCTION("GOOGLETRANSLATE(A1019, ""ar"", ""bn"")"),"clashing")</f>
        <v>clashing</v>
      </c>
    </row>
    <row r="1020">
      <c r="A1020" s="2" t="s">
        <v>4009</v>
      </c>
      <c r="B1020" s="3" t="str">
        <f>IFERROR(__xludf.DUMMYFUNCTION("GOOGLETRANSLATE(A1020, ""ar"", ""bn"")"),"ঝনঝন শব্দ")</f>
        <v>ঝনঝন শব্দ</v>
      </c>
    </row>
    <row r="1021">
      <c r="A1021" s="2" t="s">
        <v>4010</v>
      </c>
      <c r="B1021" s="3" t="str">
        <f>IFERROR(__xludf.DUMMYFUNCTION("GOOGLETRANSLATE(A1021, ""ar"", ""bn"")"),"উড়ন্ত")</f>
        <v>উড়ন্ত</v>
      </c>
    </row>
    <row r="1022">
      <c r="A1022" s="2" t="s">
        <v>4011</v>
      </c>
      <c r="B1022" s="3" t="str">
        <f>IFERROR(__xludf.DUMMYFUNCTION("GOOGLETRANSLATE(A1022, ""ar"", ""bn"")"),"Clattering")</f>
        <v>Clattering</v>
      </c>
    </row>
    <row r="1023">
      <c r="A1023" s="2" t="s">
        <v>4012</v>
      </c>
      <c r="B1023" s="3" t="str">
        <f>IFERROR(__xludf.DUMMYFUNCTION("GOOGLETRANSLATE(A1023, ""ar"", ""bn"")"),"ছিটান")</f>
        <v>ছিটান</v>
      </c>
    </row>
    <row r="1024">
      <c r="A1024" s="2" t="s">
        <v>4013</v>
      </c>
      <c r="B1024" s="3" t="str">
        <f>IFERROR(__xludf.DUMMYFUNCTION("GOOGLETRANSLATE(A1024, ""ar"", ""bn"")"),"উপদল")</f>
        <v>উপদল</v>
      </c>
    </row>
    <row r="1025">
      <c r="A1025" s="2" t="s">
        <v>4014</v>
      </c>
      <c r="B1025" s="3" t="str">
        <f>IFERROR(__xludf.DUMMYFUNCTION("GOOGLETRANSLATE(A1025, ""ar"", ""bn"")"),"চক্রের")</f>
        <v>চক্রের</v>
      </c>
    </row>
    <row r="1026">
      <c r="A1026" s="2" t="s">
        <v>4015</v>
      </c>
      <c r="B1026" s="3" t="str">
        <f>IFERROR(__xludf.DUMMYFUNCTION("GOOGLETRANSLATE(A1026, ""ar"", ""bn"")"),"খড়ম")</f>
        <v>খড়ম</v>
      </c>
    </row>
    <row r="1027">
      <c r="A1027" s="2" t="s">
        <v>3692</v>
      </c>
      <c r="B1027" s="3" t="str">
        <f>IFERROR(__xludf.DUMMYFUNCTION("GOOGLETRANSLATE(A1027, ""ar"", ""bn"")"),"clogging")</f>
        <v>clogging</v>
      </c>
    </row>
    <row r="1028">
      <c r="A1028" s="2" t="s">
        <v>3692</v>
      </c>
      <c r="B1028" s="3" t="str">
        <f>IFERROR(__xludf.DUMMYFUNCTION("GOOGLETRANSLATE(A1028, ""ar"", ""bn"")"),"clogging")</f>
        <v>clogging</v>
      </c>
    </row>
    <row r="1029">
      <c r="A1029" s="2" t="s">
        <v>4016</v>
      </c>
      <c r="B1029" s="3" t="str">
        <f>IFERROR(__xludf.DUMMYFUNCTION("GOOGLETRANSLATE(A1029, ""ar"", ""bn"")"),"খড়ম")</f>
        <v>খড়ম</v>
      </c>
    </row>
    <row r="1030">
      <c r="A1030" s="2" t="s">
        <v>4017</v>
      </c>
      <c r="B1030" s="3" t="str">
        <f>IFERROR(__xludf.DUMMYFUNCTION("GOOGLETRANSLATE(A1030, ""ar"", ""bn"")"),"কদাকার")</f>
        <v>কদাকার</v>
      </c>
    </row>
    <row r="1031">
      <c r="A1031" s="2" t="s">
        <v>239</v>
      </c>
      <c r="B1031" s="3" t="str">
        <f>IFERROR(__xludf.DUMMYFUNCTION("GOOGLETRANSLATE(A1031, ""ar"", ""bn"")"),"বিশৃঙ্খলা")</f>
        <v>বিশৃঙ্খলা</v>
      </c>
    </row>
    <row r="1032">
      <c r="A1032" s="2" t="s">
        <v>4018</v>
      </c>
      <c r="B1032" s="3" t="str">
        <f>IFERROR(__xludf.DUMMYFUNCTION("GOOGLETRANSLATE(A1032, ""ar"", ""bn"")"),"বিশৃঙ্খলা")</f>
        <v>বিশৃঙ্খলা</v>
      </c>
    </row>
    <row r="1033">
      <c r="A1033" s="2" t="s">
        <v>4019</v>
      </c>
      <c r="B1033" s="3" t="str">
        <f>IFERROR(__xludf.DUMMYFUNCTION("GOOGLETRANSLATE(A1033, ""ar"", ""bn"")"),"Scattershot")</f>
        <v>Scattershot</v>
      </c>
    </row>
    <row r="1034">
      <c r="A1034" s="2" t="s">
        <v>4020</v>
      </c>
      <c r="B1034" s="3" t="str">
        <f>IFERROR(__xludf.DUMMYFUNCTION("GOOGLETRANSLATE(A1034, ""ar"", ""bn"")"),"Clutters")</f>
        <v>Clutters</v>
      </c>
    </row>
    <row r="1035">
      <c r="A1035" s="2" t="s">
        <v>4021</v>
      </c>
      <c r="B1035" s="3" t="str">
        <f>IFERROR(__xludf.DUMMYFUNCTION("GOOGLETRANSLATE(A1035, ""ar"", ""bn"")"),"মোটামুটি")</f>
        <v>মোটামুটি</v>
      </c>
    </row>
    <row r="1036">
      <c r="A1036" s="2" t="s">
        <v>4022</v>
      </c>
      <c r="B1036" s="3" t="str">
        <f>IFERROR(__xludf.DUMMYFUNCTION("GOOGLETRANSLATE(A1036, ""ar"", ""bn"")"),"স্থূলভাবে")</f>
        <v>স্থূলভাবে</v>
      </c>
    </row>
    <row r="1037">
      <c r="A1037" s="2" t="s">
        <v>4023</v>
      </c>
      <c r="B1037" s="3" t="str">
        <f>IFERROR(__xludf.DUMMYFUNCTION("GOOGLETRANSLATE(A1037, ""ar"", ""bn"")"),"বন্ধুরতা")</f>
        <v>বন্ধুরতা</v>
      </c>
    </row>
    <row r="1038">
      <c r="A1038" s="2" t="s">
        <v>4023</v>
      </c>
      <c r="B1038" s="3" t="str">
        <f>IFERROR(__xludf.DUMMYFUNCTION("GOOGLETRANSLATE(A1038, ""ar"", ""bn"")"),"বন্ধুরতা")</f>
        <v>বন্ধুরতা</v>
      </c>
    </row>
    <row r="1039">
      <c r="A1039" s="2" t="s">
        <v>4021</v>
      </c>
      <c r="B1039" s="3" t="str">
        <f>IFERROR(__xludf.DUMMYFUNCTION("GOOGLETRANSLATE(A1039, ""ar"", ""bn"")"),"মোটামুটি")</f>
        <v>মোটামুটি</v>
      </c>
    </row>
    <row r="1040">
      <c r="A1040" s="2" t="s">
        <v>4024</v>
      </c>
      <c r="B1040" s="3" t="str">
        <f>IFERROR(__xludf.DUMMYFUNCTION("GOOGLETRANSLATE(A1040, ""ar"", ""bn"")"),"মোরগ")</f>
        <v>মোরগ</v>
      </c>
    </row>
    <row r="1041">
      <c r="A1041" s="2" t="s">
        <v>4025</v>
      </c>
      <c r="B1041" s="3" t="str">
        <f>IFERROR(__xludf.DUMMYFUNCTION("GOOGLETRANSLATE(A1041, ""ar"", ""bn"")"),"কাকাতুয়া")</f>
        <v>কাকাতুয়া</v>
      </c>
    </row>
    <row r="1042">
      <c r="A1042" s="2" t="s">
        <v>4026</v>
      </c>
      <c r="B1042" s="3" t="str">
        <f>IFERROR(__xludf.DUMMYFUNCTION("GOOGLETRANSLATE(A1042, ""ar"", ""bn"")"),"তোতা")</f>
        <v>তোতা</v>
      </c>
    </row>
    <row r="1043">
      <c r="A1043" s="2" t="s">
        <v>4027</v>
      </c>
      <c r="B1043" s="3" t="str">
        <f>IFERROR(__xludf.DUMMYFUNCTION("GOOGLETRANSLATE(A1043, ""ar"", ""bn"")"),"প্রস্তুত")</f>
        <v>প্রস্তুত</v>
      </c>
    </row>
    <row r="1044">
      <c r="A1044" s="2" t="s">
        <v>4028</v>
      </c>
      <c r="B1044" s="3" t="str">
        <f>IFERROR(__xludf.DUMMYFUNCTION("GOOGLETRANSLATE(A1044, ""ar"", ""bn"")"),"একটি ছোট আছে")</f>
        <v>একটি ছোট আছে</v>
      </c>
    </row>
    <row r="1045">
      <c r="A1045" s="2" t="s">
        <v>4029</v>
      </c>
      <c r="B1045" s="3" t="str">
        <f>IFERROR(__xludf.DUMMYFUNCTION("GOOGLETRANSLATE(A1045, ""ar"", ""bn"")"),"কুক্স")</f>
        <v>কুক্স</v>
      </c>
    </row>
    <row r="1046">
      <c r="A1046" s="2" t="s">
        <v>4030</v>
      </c>
      <c r="B1046" s="3" t="str">
        <f>IFERROR(__xludf.DUMMYFUNCTION("GOOGLETRANSLATE(A1046, ""ar"", ""bn"")"),"লাহুয়েল")</f>
        <v>লাহুয়েল</v>
      </c>
    </row>
    <row r="1047">
      <c r="A1047" s="2" t="s">
        <v>4031</v>
      </c>
      <c r="B1047" s="3" t="str">
        <f>IFERROR(__xludf.DUMMYFUNCTION("GOOGLETRANSLATE(A1047, ""ar"", ""bn"")"),"সন্তোষ")</f>
        <v>সন্তোষ</v>
      </c>
    </row>
    <row r="1048">
      <c r="A1048" s="2" t="s">
        <v>4032</v>
      </c>
      <c r="B1048" s="3" t="str">
        <f>IFERROR(__xludf.DUMMYFUNCTION("GOOGLETRANSLATE(A1048, ""ar"", ""bn"")"),"খাড়া")</f>
        <v>খাড়া</v>
      </c>
    </row>
    <row r="1049">
      <c r="A1049" s="2" t="s">
        <v>4033</v>
      </c>
      <c r="B1049" s="3" t="str">
        <f>IFERROR(__xludf.DUMMYFUNCTION("GOOGLETRANSLATE(A1049, ""ar"", ""bn"")"),"সামান্য ভাঁজ")</f>
        <v>সামান্য ভাঁজ</v>
      </c>
    </row>
    <row r="1050">
      <c r="A1050" s="2" t="s">
        <v>4034</v>
      </c>
      <c r="B1050" s="3" t="str">
        <f>IFERROR(__xludf.DUMMYFUNCTION("GOOGLETRANSLATE(A1050, ""ar"", ""bn"")"),"গভীর অনুভূতি বা আবেগ")</f>
        <v>গভীর অনুভূতি বা আবেগ</v>
      </c>
    </row>
    <row r="1051">
      <c r="A1051" s="2" t="s">
        <v>4035</v>
      </c>
      <c r="B1051" s="3" t="str">
        <f>IFERROR(__xludf.DUMMYFUNCTION("GOOGLETRANSLATE(A1051, ""ar"", ""bn"")"),"লণ্ডনবাসী")</f>
        <v>লণ্ডনবাসী</v>
      </c>
    </row>
    <row r="1052">
      <c r="A1052" s="2" t="s">
        <v>4036</v>
      </c>
      <c r="B1052" s="3" t="str">
        <f>IFERROR(__xludf.DUMMYFUNCTION("GOOGLETRANSLATE(A1052, ""ar"", ""bn"")"),"লন্ডনের নাগরিক")</f>
        <v>লন্ডনের নাগরিক</v>
      </c>
    </row>
    <row r="1053">
      <c r="A1053" s="2" t="s">
        <v>4037</v>
      </c>
      <c r="B1053" s="3" t="str">
        <f>IFERROR(__xludf.DUMMYFUNCTION("GOOGLETRANSLATE(A1053, ""ar"", ""bn"")"),"পাইলট বসার স্থান")</f>
        <v>পাইলট বসার স্থান</v>
      </c>
    </row>
    <row r="1054">
      <c r="A1054" s="2" t="s">
        <v>4038</v>
      </c>
      <c r="B1054" s="3" t="str">
        <f>IFERROR(__xludf.DUMMYFUNCTION("GOOGLETRANSLATE(A1054, ""ar"", ""bn"")"),"Cockpits")</f>
        <v>Cockpits</v>
      </c>
    </row>
    <row r="1055">
      <c r="A1055" s="2" t="s">
        <v>4039</v>
      </c>
      <c r="B1055" s="3" t="str">
        <f>IFERROR(__xludf.DUMMYFUNCTION("GOOGLETRANSLATE(A1055, ""ar"", ""bn"")"),"তেলাপোকা")</f>
        <v>তেলাপোকা</v>
      </c>
    </row>
    <row r="1056">
      <c r="A1056" s="2" t="s">
        <v>4040</v>
      </c>
      <c r="B1056" s="3" t="str">
        <f>IFERROR(__xludf.DUMMYFUNCTION("GOOGLETRANSLATE(A1056, ""ar"", ""bn"")"),"তেলাপোকা")</f>
        <v>তেলাপোকা</v>
      </c>
    </row>
    <row r="1057">
      <c r="A1057" s="2" t="s">
        <v>4029</v>
      </c>
      <c r="B1057" s="3" t="str">
        <f>IFERROR(__xludf.DUMMYFUNCTION("GOOGLETRANSLATE(A1057, ""ar"", ""bn"")"),"কুক্স")</f>
        <v>কুক্স</v>
      </c>
    </row>
    <row r="1058">
      <c r="A1058" s="2" t="s">
        <v>4041</v>
      </c>
      <c r="B1058" s="3" t="str">
        <f>IFERROR(__xludf.DUMMYFUNCTION("GOOGLETRANSLATE(A1058, ""ar"", ""bn"")"),"ককটেল")</f>
        <v>ককটেল</v>
      </c>
    </row>
    <row r="1059">
      <c r="A1059" s="2" t="s">
        <v>4042</v>
      </c>
      <c r="B1059" s="3" t="str">
        <f>IFERROR(__xludf.DUMMYFUNCTION("GOOGLETRANSLATE(A1059, ""ar"", ""bn"")"),"ককটেল")</f>
        <v>ককটেল</v>
      </c>
    </row>
    <row r="1060">
      <c r="A1060" s="2" t="s">
        <v>4043</v>
      </c>
      <c r="B1060" s="3" t="str">
        <f>IFERROR(__xludf.DUMMYFUNCTION("GOOGLETRANSLATE(A1060, ""ar"", ""bn"")"),"ধৃষ্ট")</f>
        <v>ধৃষ্ট</v>
      </c>
    </row>
    <row r="1061">
      <c r="A1061" s="2" t="s">
        <v>4031</v>
      </c>
      <c r="B1061" s="3" t="str">
        <f>IFERROR(__xludf.DUMMYFUNCTION("GOOGLETRANSLATE(A1061, ""ar"", ""bn"")"),"সন্তোষ")</f>
        <v>সন্তোষ</v>
      </c>
    </row>
    <row r="1062">
      <c r="A1062" s="2" t="s">
        <v>4043</v>
      </c>
      <c r="B1062" s="3" t="str">
        <f>IFERROR(__xludf.DUMMYFUNCTION("GOOGLETRANSLATE(A1062, ""ar"", ""bn"")"),"ধৃষ্ট")</f>
        <v>ধৃষ্ট</v>
      </c>
    </row>
    <row r="1063">
      <c r="A1063" s="2" t="s">
        <v>4044</v>
      </c>
      <c r="B1063" s="3" t="str">
        <f>IFERROR(__xludf.DUMMYFUNCTION("GOOGLETRANSLATE(A1063, ""ar"", ""bn"")"),"বল")</f>
        <v>বল</v>
      </c>
    </row>
    <row r="1064">
      <c r="A1064" s="2" t="s">
        <v>4045</v>
      </c>
      <c r="B1064" s="3" t="str">
        <f>IFERROR(__xludf.DUMMYFUNCTION("GOOGLETRANSLATE(A1064, ""ar"", ""bn"")"),"জোরপূর্বক")</f>
        <v>জোরপূর্বক</v>
      </c>
    </row>
    <row r="1065">
      <c r="A1065" s="2" t="s">
        <v>4046</v>
      </c>
      <c r="B1065" s="3" t="str">
        <f>IFERROR(__xludf.DUMMYFUNCTION("GOOGLETRANSLATE(A1065, ""ar"", ""bn"")"),"ঘৃণাত্মক")</f>
        <v>ঘৃণাত্মক</v>
      </c>
    </row>
    <row r="1066">
      <c r="A1066" s="2" t="s">
        <v>4047</v>
      </c>
      <c r="B1066" s="3" t="str">
        <f>IFERROR(__xludf.DUMMYFUNCTION("GOOGLETRANSLATE(A1066, ""ar"", ""bn"")"),"বলপ্রয়োগ")</f>
        <v>বলপ্রয়োগ</v>
      </c>
    </row>
    <row r="1067">
      <c r="A1067" s="2" t="s">
        <v>4048</v>
      </c>
      <c r="B1067" s="3" t="str">
        <f>IFERROR(__xludf.DUMMYFUNCTION("GOOGLETRANSLATE(A1067, ""ar"", ""bn"")"),"বলপ্রয়োগ")</f>
        <v>বলপ্রয়োগ</v>
      </c>
    </row>
    <row r="1068">
      <c r="A1068" s="2" t="s">
        <v>4047</v>
      </c>
      <c r="B1068" s="3" t="str">
        <f>IFERROR(__xludf.DUMMYFUNCTION("GOOGLETRANSLATE(A1068, ""ar"", ""bn"")"),"বলপ্রয়োগ")</f>
        <v>বলপ্রয়োগ</v>
      </c>
    </row>
    <row r="1069">
      <c r="A1069" s="2" t="s">
        <v>4049</v>
      </c>
      <c r="B1069" s="3" t="str">
        <f>IFERROR(__xludf.DUMMYFUNCTION("GOOGLETRANSLATE(A1069, ""ar"", ""bn"")"),"জোরপূর্বক")</f>
        <v>জোরপূর্বক</v>
      </c>
    </row>
    <row r="1070">
      <c r="A1070" s="2" t="s">
        <v>4050</v>
      </c>
      <c r="B1070" s="3" t="str">
        <f>IFERROR(__xludf.DUMMYFUNCTION("GOOGLETRANSLATE(A1070, ""ar"", ""bn"")"),"বলপূর্বক")</f>
        <v>বলপূর্বক</v>
      </c>
    </row>
    <row r="1071">
      <c r="A1071" s="2" t="s">
        <v>4051</v>
      </c>
      <c r="B1071" s="3" t="str">
        <f>IFERROR(__xludf.DUMMYFUNCTION("GOOGLETRANSLATE(A1071, ""ar"", ""bn"")"),"শীতল")</f>
        <v>শীতল</v>
      </c>
    </row>
    <row r="1072">
      <c r="A1072" s="2" t="s">
        <v>4052</v>
      </c>
      <c r="B1072" s="3" t="str">
        <f>IFERROR(__xludf.DUMMYFUNCTION("GOOGLETRANSLATE(A1072, ""ar"", ""bn"")"),"ঠান্ডা রক্তে")</f>
        <v>ঠান্ডা রক্তে</v>
      </c>
    </row>
    <row r="1073">
      <c r="A1073" s="2" t="s">
        <v>4053</v>
      </c>
      <c r="B1073" s="3" t="str">
        <f>IFERROR(__xludf.DUMMYFUNCTION("GOOGLETRANSLATE(A1073, ""ar"", ""bn"")"),"উদাসীনতা")</f>
        <v>উদাসীনতা</v>
      </c>
    </row>
    <row r="1074">
      <c r="A1074" s="2" t="s">
        <v>4054</v>
      </c>
      <c r="B1074" s="3" t="str">
        <f>IFERROR(__xludf.DUMMYFUNCTION("GOOGLETRANSLATE(A1074, ""ar"", ""bn"")"),"কুলেস্ট")</f>
        <v>কুলেস্ট</v>
      </c>
    </row>
    <row r="1075">
      <c r="A1075" s="2" t="s">
        <v>4055</v>
      </c>
      <c r="B1075" s="3" t="str">
        <f>IFERROR(__xludf.DUMMYFUNCTION("GOOGLETRANSLATE(A1075, ""ar"", ""bn"")"),"Mbale স্বাগতম")</f>
        <v>Mbale স্বাগতম</v>
      </c>
    </row>
    <row r="1076">
      <c r="A1076" s="2" t="s">
        <v>4051</v>
      </c>
      <c r="B1076" s="3" t="str">
        <f>IFERROR(__xludf.DUMMYFUNCTION("GOOGLETRANSLATE(A1076, ""ar"", ""bn"")"),"শীতল")</f>
        <v>শীতল</v>
      </c>
    </row>
    <row r="1077">
      <c r="A1077" s="2" t="s">
        <v>4056</v>
      </c>
      <c r="B1077" s="3" t="str">
        <f>IFERROR(__xludf.DUMMYFUNCTION("GOOGLETRANSLATE(A1077, ""ar"", ""bn"")"),"ঠাণ্ডাভাবে")</f>
        <v>ঠাণ্ডাভাবে</v>
      </c>
    </row>
    <row r="1078">
      <c r="A1078" s="2" t="s">
        <v>4053</v>
      </c>
      <c r="B1078" s="3" t="str">
        <f>IFERROR(__xludf.DUMMYFUNCTION("GOOGLETRANSLATE(A1078, ""ar"", ""bn"")"),"উদাসীনতা")</f>
        <v>উদাসীনতা</v>
      </c>
    </row>
    <row r="1079">
      <c r="A1079" s="2" t="s">
        <v>4057</v>
      </c>
      <c r="B1079" s="3" t="str">
        <f>IFERROR(__xludf.DUMMYFUNCTION("GOOGLETRANSLATE(A1079, ""ar"", ""bn"")"),"কাশি")</f>
        <v>কাশি</v>
      </c>
    </row>
    <row r="1080">
      <c r="A1080" s="2" t="s">
        <v>3788</v>
      </c>
      <c r="B1080" s="3" t="str">
        <f>IFERROR(__xludf.DUMMYFUNCTION("GOOGLETRANSLATE(A1080, ""ar"", ""bn"")"),"পতন")</f>
        <v>পতন</v>
      </c>
    </row>
    <row r="1081">
      <c r="A1081" s="2" t="s">
        <v>4058</v>
      </c>
      <c r="B1081" s="3" t="str">
        <f>IFERROR(__xludf.DUMMYFUNCTION("GOOGLETRANSLATE(A1081, ""ar"", ""bn"")"),"পতন")</f>
        <v>পতন</v>
      </c>
    </row>
    <row r="1082">
      <c r="A1082" s="2" t="s">
        <v>4059</v>
      </c>
      <c r="B1082" s="3" t="str">
        <f>IFERROR(__xludf.DUMMYFUNCTION("GOOGLETRANSLATE(A1082, ""ar"", ""bn"")"),"ভেঙে পড়লে")</f>
        <v>ভেঙে পড়লে</v>
      </c>
    </row>
    <row r="1083">
      <c r="A1083" s="2" t="s">
        <v>4060</v>
      </c>
      <c r="B1083" s="3" t="str">
        <f>IFERROR(__xludf.DUMMYFUNCTION("GOOGLETRANSLATE(A1083, ""ar"", ""bn"")"),"ধাক্কা")</f>
        <v>ধাক্কা</v>
      </c>
    </row>
    <row r="1084">
      <c r="A1084" s="2" t="s">
        <v>4061</v>
      </c>
      <c r="B1084" s="3" t="str">
        <f>IFERROR(__xludf.DUMMYFUNCTION("GOOGLETRANSLATE(A1084, ""ar"", ""bn"")"),"মধ্যে bumped")</f>
        <v>মধ্যে bumped</v>
      </c>
    </row>
    <row r="1085">
      <c r="A1085" s="2" t="s">
        <v>4062</v>
      </c>
      <c r="B1085" s="3" t="str">
        <f>IFERROR(__xludf.DUMMYFUNCTION("GOOGLETRANSLATE(A1085, ""ar"", ""bn"")"),"ধাক্কা লাগা")</f>
        <v>ধাক্কা লাগা</v>
      </c>
    </row>
    <row r="1086">
      <c r="A1086" s="2" t="s">
        <v>4060</v>
      </c>
      <c r="B1086" s="3" t="str">
        <f>IFERROR(__xludf.DUMMYFUNCTION("GOOGLETRANSLATE(A1086, ""ar"", ""bn"")"),"ধাক্কা")</f>
        <v>ধাক্কা</v>
      </c>
    </row>
    <row r="1087">
      <c r="A1087" s="2" t="s">
        <v>4063</v>
      </c>
      <c r="B1087" s="3" t="str">
        <f>IFERROR(__xludf.DUMMYFUNCTION("GOOGLETRANSLATE(A1087, ""ar"", ""bn"")"),"Collisional")</f>
        <v>Collisional</v>
      </c>
    </row>
    <row r="1088">
      <c r="A1088" s="2" t="s">
        <v>4064</v>
      </c>
      <c r="B1088" s="3" t="str">
        <f>IFERROR(__xludf.DUMMYFUNCTION("GOOGLETRANSLATE(A1088, ""ar"", ""bn"")"),"Clash")</f>
        <v>Clash</v>
      </c>
    </row>
    <row r="1089">
      <c r="A1089" s="2" t="s">
        <v>4065</v>
      </c>
      <c r="B1089" s="3" t="str">
        <f>IFERROR(__xludf.DUMMYFUNCTION("GOOGLETRANSLATE(A1089, ""ar"", ""bn"")"),"সাজশ")</f>
        <v>সাজশ</v>
      </c>
    </row>
    <row r="1090">
      <c r="A1090" s="2" t="s">
        <v>4066</v>
      </c>
      <c r="B1090" s="3" t="str">
        <f>IFERROR(__xludf.DUMMYFUNCTION("GOOGLETRANSLATE(A1090, ""ar"", ""bn"")"),"যুদ্ধ")</f>
        <v>যুদ্ধ</v>
      </c>
    </row>
    <row r="1091">
      <c r="A1091" s="2" t="s">
        <v>4067</v>
      </c>
      <c r="B1091" s="3" t="str">
        <f>IFERROR(__xludf.DUMMYFUNCTION("GOOGLETRANSLATE(A1091, ""ar"", ""bn"")"),"যোদ্ধা")</f>
        <v>যোদ্ধা</v>
      </c>
    </row>
    <row r="1092">
      <c r="A1092" s="2" t="s">
        <v>4068</v>
      </c>
      <c r="B1092" s="3" t="str">
        <f>IFERROR(__xludf.DUMMYFUNCTION("GOOGLETRANSLATE(A1092, ""ar"", ""bn"")"),"মুক্তিযোদ্ধার")</f>
        <v>মুক্তিযোদ্ধার</v>
      </c>
    </row>
    <row r="1093">
      <c r="A1093" s="2" t="s">
        <v>4069</v>
      </c>
      <c r="B1093" s="3" t="str">
        <f>IFERROR(__xludf.DUMMYFUNCTION("GOOGLETRANSLATE(A1093, ""ar"", ""bn"")"),"নিয়ন্ত্রণ")</f>
        <v>নিয়ন্ত্রণ</v>
      </c>
    </row>
    <row r="1094">
      <c r="A1094" s="2" t="s">
        <v>4070</v>
      </c>
      <c r="B1094" s="3" t="str">
        <f>IFERROR(__xludf.DUMMYFUNCTION("GOOGLETRANSLATE(A1094, ""ar"", ""bn"")"),"যুদ্ধ")</f>
        <v>যুদ্ধ</v>
      </c>
    </row>
    <row r="1095">
      <c r="A1095" s="2" t="s">
        <v>4071</v>
      </c>
      <c r="B1095" s="3" t="str">
        <f>IFERROR(__xludf.DUMMYFUNCTION("GOOGLETRANSLATE(A1095, ""ar"", ""bn"")"),"মারমুখো")</f>
        <v>মারমুখো</v>
      </c>
    </row>
    <row r="1096">
      <c r="A1096" s="2" t="s">
        <v>4072</v>
      </c>
      <c r="B1096" s="3" t="str">
        <f>IFERROR(__xludf.DUMMYFUNCTION("GOOGLETRANSLATE(A1096, ""ar"", ""bn"")"),"Combativeness")</f>
        <v>Combativeness</v>
      </c>
    </row>
    <row r="1097">
      <c r="A1097" s="2" t="s">
        <v>4073</v>
      </c>
      <c r="B1097" s="3" t="str">
        <f>IFERROR(__xludf.DUMMYFUNCTION("GOOGLETRANSLATE(A1097, ""ar"", ""bn"")"),"যুদ্ধসমূহ")</f>
        <v>যুদ্ধসমূহ</v>
      </c>
    </row>
    <row r="1098">
      <c r="A1098" s="2" t="s">
        <v>4067</v>
      </c>
      <c r="B1098" s="3" t="str">
        <f>IFERROR(__xludf.DUMMYFUNCTION("GOOGLETRANSLATE(A1098, ""ar"", ""bn"")"),"যোদ্ধা")</f>
        <v>যোদ্ধা</v>
      </c>
    </row>
    <row r="1099">
      <c r="A1099" s="2" t="s">
        <v>4068</v>
      </c>
      <c r="B1099" s="3" t="str">
        <f>IFERROR(__xludf.DUMMYFUNCTION("GOOGLETRANSLATE(A1099, ""ar"", ""bn"")"),"মুক্তিযোদ্ধার")</f>
        <v>মুক্তিযোদ্ধার</v>
      </c>
    </row>
    <row r="1100">
      <c r="A1100" s="2" t="s">
        <v>4074</v>
      </c>
      <c r="B1100" s="3" t="str">
        <f>IFERROR(__xludf.DUMMYFUNCTION("GOOGLETRANSLATE(A1100, ""ar"", ""bn"")"),"ধংসের")</f>
        <v>ধংসের</v>
      </c>
    </row>
    <row r="1101">
      <c r="A1101" s="2" t="s">
        <v>4075</v>
      </c>
      <c r="B1101" s="3" t="str">
        <f>IFERROR(__xludf.DUMMYFUNCTION("GOOGLETRANSLATE(A1101, ""ar"", ""bn"")"),"উদযাপন")</f>
        <v>উদযাপন</v>
      </c>
    </row>
    <row r="1102">
      <c r="A1102" s="2" t="s">
        <v>4076</v>
      </c>
      <c r="B1102" s="3" t="str">
        <f>IFERROR(__xludf.DUMMYFUNCTION("GOOGLETRANSLATE(A1102, ""ar"", ""bn"")"),"পুনর্জাগরিত")</f>
        <v>পুনর্জাগরিত</v>
      </c>
    </row>
    <row r="1103">
      <c r="A1103" s="2" t="s">
        <v>4077</v>
      </c>
      <c r="B1103" s="3" t="str">
        <f>IFERROR(__xludf.DUMMYFUNCTION("GOOGLETRANSLATE(A1103, ""ar"", ""bn"")"),"স্মৃতি")</f>
        <v>স্মৃতি</v>
      </c>
    </row>
    <row r="1104">
      <c r="A1104" s="2" t="s">
        <v>4078</v>
      </c>
      <c r="B1104" s="3" t="str">
        <f>IFERROR(__xludf.DUMMYFUNCTION("GOOGLETRANSLATE(A1104, ""ar"", ""bn"")"),"সান্ত্বনা")</f>
        <v>সান্ত্বনা</v>
      </c>
    </row>
    <row r="1105">
      <c r="A1105" s="2" t="s">
        <v>4079</v>
      </c>
      <c r="B1105" s="3" t="str">
        <f>IFERROR(__xludf.DUMMYFUNCTION("GOOGLETRANSLATE(A1105, ""ar"", ""bn"")"),"সাধারণ ব্যক্তি")</f>
        <v>সাধারণ ব্যক্তি</v>
      </c>
    </row>
    <row r="1106">
      <c r="A1106" s="2" t="s">
        <v>4080</v>
      </c>
      <c r="B1106" s="3" t="str">
        <f>IFERROR(__xludf.DUMMYFUNCTION("GOOGLETRANSLATE(A1106, ""ar"", ""bn"")"),"সাধারণ")</f>
        <v>সাধারণ</v>
      </c>
    </row>
    <row r="1107">
      <c r="A1107" s="2" t="s">
        <v>4081</v>
      </c>
      <c r="B1107" s="3" t="str">
        <f>IFERROR(__xludf.DUMMYFUNCTION("GOOGLETRANSLATE(A1107, ""ar"", ""bn"")"),"তোলপাড়")</f>
        <v>তোলপাড়</v>
      </c>
    </row>
    <row r="1108">
      <c r="A1108" s="2" t="s">
        <v>4082</v>
      </c>
      <c r="B1108" s="3" t="str">
        <f>IFERROR(__xludf.DUMMYFUNCTION("GOOGLETRANSLATE(A1108, ""ar"", ""bn"")"),"ডিসঅর্ডারস")</f>
        <v>ডিসঅর্ডারস</v>
      </c>
    </row>
    <row r="1109">
      <c r="A1109" s="2" t="s">
        <v>4044</v>
      </c>
      <c r="B1109" s="3" t="str">
        <f>IFERROR(__xludf.DUMMYFUNCTION("GOOGLETRANSLATE(A1109, ""ar"", ""bn"")"),"বল")</f>
        <v>বল</v>
      </c>
    </row>
    <row r="1110">
      <c r="A1110" s="2" t="s">
        <v>4083</v>
      </c>
      <c r="B1110" s="3" t="str">
        <f>IFERROR(__xludf.DUMMYFUNCTION("GOOGLETRANSLATE(A1110, ""ar"", ""bn"")"),"জোরপূর্বক")</f>
        <v>জোরপূর্বক</v>
      </c>
    </row>
    <row r="1111">
      <c r="A1111" s="2" t="s">
        <v>4084</v>
      </c>
      <c r="B1111" s="3" t="str">
        <f>IFERROR(__xludf.DUMMYFUNCTION("GOOGLETRANSLATE(A1111, ""ar"", ""bn"")"),"বাধ্যকারী")</f>
        <v>বাধ্যকারী</v>
      </c>
    </row>
    <row r="1112">
      <c r="A1112" s="2" t="s">
        <v>4085</v>
      </c>
      <c r="B1112" s="3" t="str">
        <f>IFERROR(__xludf.DUMMYFUNCTION("GOOGLETRANSLATE(A1112, ""ar"", ""bn"")"),"ছদ্মবেশী")</f>
        <v>ছদ্মবেশী</v>
      </c>
    </row>
    <row r="1113">
      <c r="A1113" s="2" t="s">
        <v>4086</v>
      </c>
      <c r="B1113" s="3" t="str">
        <f>IFERROR(__xludf.DUMMYFUNCTION("GOOGLETRANSLATE(A1113, ""ar"", ""bn"")"),"বাধ্য করা")</f>
        <v>বাধ্য করা</v>
      </c>
    </row>
    <row r="1114">
      <c r="A1114" s="2" t="s">
        <v>4087</v>
      </c>
      <c r="B1114" s="3" t="str">
        <f>IFERROR(__xludf.DUMMYFUNCTION("GOOGLETRANSLATE(A1114, ""ar"", ""bn"")"),"নালিশ করা")</f>
        <v>নালিশ করা</v>
      </c>
    </row>
    <row r="1115">
      <c r="A1115" s="2" t="s">
        <v>4088</v>
      </c>
      <c r="B1115" s="3" t="str">
        <f>IFERROR(__xludf.DUMMYFUNCTION("GOOGLETRANSLATE(A1115, ""ar"", ""bn"")"),"দাবিদার")</f>
        <v>দাবিদার</v>
      </c>
    </row>
    <row r="1116">
      <c r="A1116" s="2" t="s">
        <v>4089</v>
      </c>
      <c r="B1116" s="3" t="str">
        <f>IFERROR(__xludf.DUMMYFUNCTION("GOOGLETRANSLATE(A1116, ""ar"", ""bn"")"),"অভিযোগকারীদের")</f>
        <v>অভিযোগকারীদের</v>
      </c>
    </row>
    <row r="1117">
      <c r="A1117" s="2" t="s">
        <v>4087</v>
      </c>
      <c r="B1117" s="3" t="str">
        <f>IFERROR(__xludf.DUMMYFUNCTION("GOOGLETRANSLATE(A1117, ""ar"", ""bn"")"),"নালিশ করা")</f>
        <v>নালিশ করা</v>
      </c>
    </row>
    <row r="1118">
      <c r="A1118" s="2" t="s">
        <v>4090</v>
      </c>
      <c r="B1118" s="3" t="str">
        <f>IFERROR(__xludf.DUMMYFUNCTION("GOOGLETRANSLATE(A1118, ""ar"", ""bn"")"),"Whiner")</f>
        <v>Whiner</v>
      </c>
    </row>
    <row r="1119">
      <c r="A1119" s="2" t="s">
        <v>4091</v>
      </c>
      <c r="B1119" s="3" t="str">
        <f>IFERROR(__xludf.DUMMYFUNCTION("GOOGLETRANSLATE(A1119, ""ar"", ""bn"")"),"অভিযোগ")</f>
        <v>অভিযোগ</v>
      </c>
    </row>
    <row r="1120">
      <c r="A1120" s="2" t="s">
        <v>4092</v>
      </c>
      <c r="B1120" s="3" t="str">
        <f>IFERROR(__xludf.DUMMYFUNCTION("GOOGLETRANSLATE(A1120, ""ar"", ""bn"")"),"নালিশ করা")</f>
        <v>নালিশ করা</v>
      </c>
    </row>
    <row r="1121">
      <c r="A1121" s="2" t="s">
        <v>4093</v>
      </c>
      <c r="B1121" s="3" t="str">
        <f>IFERROR(__xludf.DUMMYFUNCTION("GOOGLETRANSLATE(A1121, ""ar"", ""bn"")"),"অভিযোগ")</f>
        <v>অভিযোগ</v>
      </c>
    </row>
    <row r="1122">
      <c r="A1122" s="2" t="s">
        <v>4094</v>
      </c>
      <c r="B1122" s="3" t="str">
        <f>IFERROR(__xludf.DUMMYFUNCTION("GOOGLETRANSLATE(A1122, ""ar"", ""bn"")"),"অভিযোগ")</f>
        <v>অভিযোগ</v>
      </c>
    </row>
    <row r="1123">
      <c r="A1123" s="2" t="s">
        <v>4095</v>
      </c>
      <c r="B1123" s="3" t="str">
        <f>IFERROR(__xludf.DUMMYFUNCTION("GOOGLETRANSLATE(A1123, ""ar"", ""bn"")"),"জটিলতা")</f>
        <v>জটিলতা</v>
      </c>
    </row>
    <row r="1124">
      <c r="A1124" s="2" t="s">
        <v>4096</v>
      </c>
      <c r="B1124" s="3" t="str">
        <f>IFERROR(__xludf.DUMMYFUNCTION("GOOGLETRANSLATE(A1124, ""ar"", ""bn"")"),"জটিল")</f>
        <v>জটিল</v>
      </c>
    </row>
    <row r="1125">
      <c r="A1125" s="2" t="s">
        <v>4097</v>
      </c>
      <c r="B1125" s="3" t="str">
        <f>IFERROR(__xludf.DUMMYFUNCTION("GOOGLETRANSLATE(A1125, ""ar"", ""bn"")"),"রাখা")</f>
        <v>রাখা</v>
      </c>
    </row>
    <row r="1126">
      <c r="A1126" s="2" t="s">
        <v>4098</v>
      </c>
      <c r="B1126" s="3" t="str">
        <f>IFERROR(__xludf.DUMMYFUNCTION("GOOGLETRANSLATE(A1126, ""ar"", ""bn"")"),"জটিলতা")</f>
        <v>জটিলতা</v>
      </c>
    </row>
    <row r="1127">
      <c r="A1127" s="2" t="s">
        <v>4099</v>
      </c>
      <c r="B1127" s="3" t="str">
        <f>IFERROR(__xludf.DUMMYFUNCTION("GOOGLETRANSLATE(A1127, ""ar"", ""bn"")"),"জটিলতা")</f>
        <v>জটিলতা</v>
      </c>
    </row>
    <row r="1128">
      <c r="A1128" s="2" t="s">
        <v>4100</v>
      </c>
      <c r="B1128" s="3" t="str">
        <f>IFERROR(__xludf.DUMMYFUNCTION("GOOGLETRANSLATE(A1128, ""ar"", ""bn"")"),"কুকর্মের সহকারিতা")</f>
        <v>কুকর্মের সহকারিতা</v>
      </c>
    </row>
    <row r="1129">
      <c r="A1129" s="2" t="s">
        <v>4048</v>
      </c>
      <c r="B1129" s="3" t="str">
        <f>IFERROR(__xludf.DUMMYFUNCTION("GOOGLETRANSLATE(A1129, ""ar"", ""bn"")"),"বলপ্রয়োগ")</f>
        <v>বলপ্রয়োগ</v>
      </c>
    </row>
    <row r="1130">
      <c r="A1130" s="2" t="s">
        <v>4101</v>
      </c>
      <c r="B1130" s="3" t="str">
        <f>IFERROR(__xludf.DUMMYFUNCTION("GOOGLETRANSLATE(A1130, ""ar"", ""bn"")"),"উদ্দেশ্য")</f>
        <v>উদ্দেশ্য</v>
      </c>
    </row>
    <row r="1131">
      <c r="A1131" s="2" t="s">
        <v>4102</v>
      </c>
      <c r="B1131" s="3" t="str">
        <f>IFERROR(__xludf.DUMMYFUNCTION("GOOGLETRANSLATE(A1131, ""ar"", ""bn"")"),"ছাপান")</f>
        <v>ছাপান</v>
      </c>
    </row>
    <row r="1132">
      <c r="A1132" s="2" t="s">
        <v>4103</v>
      </c>
      <c r="B1132" s="3" t="str">
        <f>IFERROR(__xludf.DUMMYFUNCTION("GOOGLETRANSLATE(A1132, ""ar"", ""bn"")"),"HID")</f>
        <v>HID</v>
      </c>
    </row>
    <row r="1133">
      <c r="A1133" s="2" t="s">
        <v>4104</v>
      </c>
      <c r="B1133" s="3" t="str">
        <f>IFERROR(__xludf.DUMMYFUNCTION("GOOGLETRANSLATE(A1133, ""ar"", ""bn"")"),"লুকানো")</f>
        <v>লুকানো</v>
      </c>
    </row>
    <row r="1134">
      <c r="A1134" s="2" t="s">
        <v>4104</v>
      </c>
      <c r="B1134" s="3" t="str">
        <f>IFERROR(__xludf.DUMMYFUNCTION("GOOGLETRANSLATE(A1134, ""ar"", ""bn"")"),"লুকানো")</f>
        <v>লুকানো</v>
      </c>
    </row>
    <row r="1135">
      <c r="A1135" s="2" t="s">
        <v>4105</v>
      </c>
      <c r="B1135" s="3" t="str">
        <f>IFERROR(__xludf.DUMMYFUNCTION("GOOGLETRANSLATE(A1135, ""ar"", ""bn"")"),"লুকান")</f>
        <v>লুকান</v>
      </c>
    </row>
    <row r="1136">
      <c r="A1136" s="2" t="s">
        <v>4106</v>
      </c>
      <c r="B1136" s="3" t="str">
        <f>IFERROR(__xludf.DUMMYFUNCTION("GOOGLETRANSLATE(A1136, ""ar"", ""bn"")"),"অহং")</f>
        <v>অহং</v>
      </c>
    </row>
    <row r="1137">
      <c r="A1137" s="2" t="s">
        <v>4043</v>
      </c>
      <c r="B1137" s="3" t="str">
        <f>IFERROR(__xludf.DUMMYFUNCTION("GOOGLETRANSLATE(A1137, ""ar"", ""bn"")"),"ধৃষ্ট")</f>
        <v>ধৃষ্ট</v>
      </c>
    </row>
    <row r="1138">
      <c r="A1138" s="2" t="s">
        <v>4107</v>
      </c>
      <c r="B1138" s="3" t="str">
        <f>IFERROR(__xludf.DUMMYFUNCTION("GOOGLETRANSLATE(A1138, ""ar"", ""bn"")"),"কল্পনাকে")</f>
        <v>কল্পনাকে</v>
      </c>
    </row>
    <row r="1139">
      <c r="A1139" s="2" t="s">
        <v>3324</v>
      </c>
      <c r="B1139" s="3" t="str">
        <f>IFERROR(__xludf.DUMMYFUNCTION("GOOGLETRANSLATE(A1139, ""ar"", ""bn"")"),"উদ্বেগ")</f>
        <v>উদ্বেগ</v>
      </c>
    </row>
    <row r="1140">
      <c r="A1140" s="2" t="s">
        <v>3324</v>
      </c>
      <c r="B1140" s="3" t="str">
        <f>IFERROR(__xludf.DUMMYFUNCTION("GOOGLETRANSLATE(A1140, ""ar"", ""bn"")"),"উদ্বেগ")</f>
        <v>উদ্বেগ</v>
      </c>
    </row>
    <row r="1141">
      <c r="A1141" s="2" t="s">
        <v>4108</v>
      </c>
      <c r="B1141" s="3" t="str">
        <f>IFERROR(__xludf.DUMMYFUNCTION("GOOGLETRANSLATE(A1141, ""ar"", ""bn"")"),"সম্পর্কিত")</f>
        <v>সম্পর্কিত</v>
      </c>
    </row>
    <row r="1142">
      <c r="A1142" s="2" t="s">
        <v>3328</v>
      </c>
      <c r="B1142" s="3" t="str">
        <f>IFERROR(__xludf.DUMMYFUNCTION("GOOGLETRANSLATE(A1142, ""ar"", ""bn"")"),"ভয়")</f>
        <v>ভয়</v>
      </c>
    </row>
    <row r="1143">
      <c r="A1143" s="2" t="s">
        <v>4109</v>
      </c>
      <c r="B1143" s="3" t="str">
        <f>IFERROR(__xludf.DUMMYFUNCTION("GOOGLETRANSLATE(A1143, ""ar"", ""bn"")"),"নিন্দা করা")</f>
        <v>নিন্দা করা</v>
      </c>
    </row>
    <row r="1144">
      <c r="A1144" s="2" t="s">
        <v>4110</v>
      </c>
      <c r="B1144" s="3" t="str">
        <f>IFERROR(__xludf.DUMMYFUNCTION("GOOGLETRANSLATE(A1144, ""ar"", ""bn"")"),"অপরাধী")</f>
        <v>অপরাধী</v>
      </c>
    </row>
    <row r="1145">
      <c r="A1145" s="2" t="s">
        <v>4111</v>
      </c>
      <c r="B1145" s="3" t="str">
        <f>IFERROR(__xludf.DUMMYFUNCTION("GOOGLETRANSLATE(A1145, ""ar"", ""bn"")"),"নিন্দা")</f>
        <v>নিন্দা</v>
      </c>
    </row>
    <row r="1146">
      <c r="A1146" s="2" t="s">
        <v>4112</v>
      </c>
      <c r="B1146" s="3" t="str">
        <f>IFERROR(__xludf.DUMMYFUNCTION("GOOGLETRANSLATE(A1146, ""ar"", ""bn"")"),"তা")</f>
        <v>তা</v>
      </c>
    </row>
    <row r="1147">
      <c r="A1147" s="2" t="s">
        <v>4113</v>
      </c>
      <c r="B1147" s="3" t="str">
        <f>IFERROR(__xludf.DUMMYFUNCTION("GOOGLETRANSLATE(A1147, ""ar"", ""bn"")"),"জনস্বার্থ জন্য")</f>
        <v>জনস্বার্থ জন্য</v>
      </c>
    </row>
    <row r="1148">
      <c r="A1148" s="2" t="s">
        <v>4110</v>
      </c>
      <c r="B1148" s="3" t="str">
        <f>IFERROR(__xludf.DUMMYFUNCTION("GOOGLETRANSLATE(A1148, ""ar"", ""bn"")"),"অপরাধী")</f>
        <v>অপরাধী</v>
      </c>
    </row>
    <row r="1149">
      <c r="A1149" s="2" t="s">
        <v>4111</v>
      </c>
      <c r="B1149" s="3" t="str">
        <f>IFERROR(__xludf.DUMMYFUNCTION("GOOGLETRANSLATE(A1149, ""ar"", ""bn"")"),"নিন্দা")</f>
        <v>নিন্দা</v>
      </c>
    </row>
    <row r="1150">
      <c r="A1150" s="2" t="s">
        <v>4114</v>
      </c>
      <c r="B1150" s="3" t="str">
        <f>IFERROR(__xludf.DUMMYFUNCTION("GOOGLETRANSLATE(A1150, ""ar"", ""bn"")"),"অব্যবহার্য বলে ঘোষণা")</f>
        <v>অব্যবহার্য বলে ঘোষণা</v>
      </c>
    </row>
    <row r="1151">
      <c r="A1151" s="2" t="s">
        <v>4111</v>
      </c>
      <c r="B1151" s="3" t="str">
        <f>IFERROR(__xludf.DUMMYFUNCTION("GOOGLETRANSLATE(A1151, ""ar"", ""bn"")"),"নিন্দা")</f>
        <v>নিন্দা</v>
      </c>
    </row>
    <row r="1152">
      <c r="A1152" s="2" t="s">
        <v>4112</v>
      </c>
      <c r="B1152" s="3" t="str">
        <f>IFERROR(__xludf.DUMMYFUNCTION("GOOGLETRANSLATE(A1152, ""ar"", ""bn"")"),"তা")</f>
        <v>তা</v>
      </c>
    </row>
    <row r="1153">
      <c r="A1153" s="2" t="s">
        <v>4115</v>
      </c>
      <c r="B1153" s="3" t="str">
        <f>IFERROR(__xludf.DUMMYFUNCTION("GOOGLETRANSLATE(A1153, ""ar"", ""bn"")"),"নামিয়া আসা")</f>
        <v>নামিয়া আসা</v>
      </c>
    </row>
    <row r="1154">
      <c r="A1154" s="2" t="s">
        <v>3172</v>
      </c>
      <c r="B1154" s="3" t="str">
        <f>IFERROR(__xludf.DUMMYFUNCTION("GOOGLETRANSLATE(A1154, ""ar"", ""bn"")"),"অধিকার পরিত্যাগের ঘোষণা")</f>
        <v>অধিকার পরিত্যাগের ঘোষণা</v>
      </c>
    </row>
    <row r="1155">
      <c r="A1155" s="2" t="s">
        <v>4116</v>
      </c>
      <c r="B1155" s="3" t="str">
        <f>IFERROR(__xludf.DUMMYFUNCTION("GOOGLETRANSLATE(A1155, ""ar"", ""bn"")"),"অধিকার পরিত্যাগের ঘোষণা")</f>
        <v>অধিকার পরিত্যাগের ঘোষণা</v>
      </c>
    </row>
    <row r="1156">
      <c r="A1156" s="2" t="s">
        <v>4117</v>
      </c>
      <c r="B1156" s="3" t="str">
        <f>IFERROR(__xludf.DUMMYFUNCTION("GOOGLETRANSLATE(A1156, ""ar"", ""bn"")"),"assignor")</f>
        <v>assignor</v>
      </c>
    </row>
    <row r="1157">
      <c r="A1157" s="2" t="s">
        <v>4118</v>
      </c>
      <c r="B1157" s="3" t="str">
        <f>IFERROR(__xludf.DUMMYFUNCTION("GOOGLETRANSLATE(A1157, ""ar"", ""bn"")"),"ছেড়ে দেত্তয়া")</f>
        <v>ছেড়ে দেত্তয়া</v>
      </c>
    </row>
    <row r="1158">
      <c r="A1158" s="2" t="s">
        <v>4119</v>
      </c>
      <c r="B1158" s="3" t="str">
        <f>IFERROR(__xludf.DUMMYFUNCTION("GOOGLETRANSLATE(A1158, ""ar"", ""bn"")"),"অনুকংপা")</f>
        <v>অনুকংপা</v>
      </c>
    </row>
    <row r="1159">
      <c r="A1159" s="2" t="s">
        <v>4120</v>
      </c>
      <c r="B1159" s="3" t="str">
        <f>IFERROR(__xludf.DUMMYFUNCTION("GOOGLETRANSLATE(A1159, ""ar"", ""bn"")"),"সহানুভূতি প্রকাশ করা")</f>
        <v>সহানুভূতি প্রকাশ করা</v>
      </c>
    </row>
    <row r="1160">
      <c r="A1160" s="2" t="s">
        <v>4121</v>
      </c>
      <c r="B1160" s="3" t="str">
        <f>IFERROR(__xludf.DUMMYFUNCTION("GOOGLETRANSLATE(A1160, ""ar"", ""bn"")"),"সান্ত্বনা")</f>
        <v>সান্ত্বনা</v>
      </c>
    </row>
    <row r="1161">
      <c r="A1161" s="2" t="s">
        <v>4122</v>
      </c>
      <c r="B1161" s="3" t="str">
        <f>IFERROR(__xludf.DUMMYFUNCTION("GOOGLETRANSLATE(A1161, ""ar"", ""bn"")"),"দু: খপ্রকাশ")</f>
        <v>দু: খপ্রকাশ</v>
      </c>
    </row>
    <row r="1162">
      <c r="A1162" s="2" t="s">
        <v>4123</v>
      </c>
      <c r="B1162" s="3" t="str">
        <f>IFERROR(__xludf.DUMMYFUNCTION("GOOGLETRANSLATE(A1162, ""ar"", ""bn"")"),"সমবেদনা")</f>
        <v>সমবেদনা</v>
      </c>
    </row>
    <row r="1163">
      <c r="A1163" s="2" t="s">
        <v>4124</v>
      </c>
      <c r="B1163" s="3" t="str">
        <f>IFERROR(__xludf.DUMMYFUNCTION("GOOGLETRANSLATE(A1163, ""ar"", ""bn"")"),"সমবেদনা")</f>
        <v>সমবেদনা</v>
      </c>
    </row>
    <row r="1164">
      <c r="A1164" s="2" t="s">
        <v>4125</v>
      </c>
      <c r="B1164" s="3" t="str">
        <f>IFERROR(__xludf.DUMMYFUNCTION("GOOGLETRANSLATE(A1164, ""ar"", ""bn"")"),"আমি স্বীকার করছি")</f>
        <v>আমি স্বীকার করছি</v>
      </c>
    </row>
    <row r="1165">
      <c r="A1165" s="2" t="s">
        <v>4125</v>
      </c>
      <c r="B1165" s="3" t="str">
        <f>IFERROR(__xludf.DUMMYFUNCTION("GOOGLETRANSLATE(A1165, ""ar"", ""bn"")"),"আমি স্বীকার করছি")</f>
        <v>আমি স্বীকার করছি</v>
      </c>
    </row>
    <row r="1166">
      <c r="A1166" s="2" t="s">
        <v>4126</v>
      </c>
      <c r="B1166" s="3" t="str">
        <f>IFERROR(__xludf.DUMMYFUNCTION("GOOGLETRANSLATE(A1166, ""ar"", ""bn"")"),"স্বীকার")</f>
        <v>স্বীকার</v>
      </c>
    </row>
    <row r="1167">
      <c r="A1167" s="2" t="s">
        <v>4127</v>
      </c>
      <c r="B1167" s="3" t="str">
        <f>IFERROR(__xludf.DUMMYFUNCTION("GOOGLETRANSLATE(A1167, ""ar"", ""bn"")"),"স্বীকার")</f>
        <v>স্বীকার</v>
      </c>
    </row>
    <row r="1168">
      <c r="A1168" s="2" t="s">
        <v>4128</v>
      </c>
      <c r="B1168" s="3" t="str">
        <f>IFERROR(__xludf.DUMMYFUNCTION("GOOGLETRANSLATE(A1168, ""ar"", ""bn"")"),"স্বীকার")</f>
        <v>স্বীকার</v>
      </c>
    </row>
    <row r="1169">
      <c r="A1169" s="2" t="s">
        <v>4129</v>
      </c>
      <c r="B1169" s="3" t="str">
        <f>IFERROR(__xludf.DUMMYFUNCTION("GOOGLETRANSLATE(A1169, ""ar"", ""bn"")"),"পাপস্বীকারের অনুষ্ঠান")</f>
        <v>পাপস্বীকারের অনুষ্ঠান</v>
      </c>
    </row>
    <row r="1170">
      <c r="A1170" s="2" t="s">
        <v>4130</v>
      </c>
      <c r="B1170" s="3" t="str">
        <f>IFERROR(__xludf.DUMMYFUNCTION("GOOGLETRANSLATE(A1170, ""ar"", ""bn"")"),"সরলতা")</f>
        <v>সরলতা</v>
      </c>
    </row>
    <row r="1171">
      <c r="A1171" s="2" t="s">
        <v>4131</v>
      </c>
      <c r="B1171" s="3" t="str">
        <f>IFERROR(__xludf.DUMMYFUNCTION("GOOGLETRANSLATE(A1171, ""ar"", ""bn"")"),"স্বীকারোক্তি")</f>
        <v>স্বীকারোক্তি</v>
      </c>
    </row>
    <row r="1172">
      <c r="A1172" s="2" t="s">
        <v>4132</v>
      </c>
      <c r="B1172" s="3" t="str">
        <f>IFERROR(__xludf.DUMMYFUNCTION("GOOGLETRANSLATE(A1172, ""ar"", ""bn"")"),"যে ব্যক্তি বিপদ্বরণ করিয়াত্ত ধর্মপালন করে")</f>
        <v>যে ব্যক্তি বিপদ্বরণ করিয়াত্ত ধর্মপালন করে</v>
      </c>
    </row>
    <row r="1173">
      <c r="A1173" s="2" t="s">
        <v>4133</v>
      </c>
      <c r="B1173" s="3" t="str">
        <f>IFERROR(__xludf.DUMMYFUNCTION("GOOGLETRANSLATE(A1173, ""ar"", ""bn"")"),"confessors")</f>
        <v>confessors</v>
      </c>
    </row>
    <row r="1174">
      <c r="A1174" s="2" t="s">
        <v>4134</v>
      </c>
      <c r="B1174" s="3" t="str">
        <f>IFERROR(__xludf.DUMMYFUNCTION("GOOGLETRANSLATE(A1174, ""ar"", ""bn"")"),"কারাবাস")</f>
        <v>কারাবাস</v>
      </c>
    </row>
    <row r="1175">
      <c r="A1175" s="2" t="s">
        <v>4135</v>
      </c>
      <c r="B1175" s="3" t="str">
        <f>IFERROR(__xludf.DUMMYFUNCTION("GOOGLETRANSLATE(A1175, ""ar"", ""bn"")"),"সীমিত")</f>
        <v>সীমিত</v>
      </c>
    </row>
    <row r="1176">
      <c r="A1176" s="2" t="s">
        <v>4134</v>
      </c>
      <c r="B1176" s="3" t="str">
        <f>IFERROR(__xludf.DUMMYFUNCTION("GOOGLETRANSLATE(A1176, ""ar"", ""bn"")"),"কারাবাস")</f>
        <v>কারাবাস</v>
      </c>
    </row>
    <row r="1177">
      <c r="A1177" s="2" t="s">
        <v>4136</v>
      </c>
      <c r="B1177" s="3" t="str">
        <f>IFERROR(__xludf.DUMMYFUNCTION("GOOGLETRANSLATE(A1177, ""ar"", ""bn"")"),"সেল")</f>
        <v>সেল</v>
      </c>
    </row>
    <row r="1178">
      <c r="A1178" s="2" t="s">
        <v>4137</v>
      </c>
      <c r="B1178" s="3" t="str">
        <f>IFERROR(__xludf.DUMMYFUNCTION("GOOGLETRANSLATE(A1178, ""ar"", ""bn"")"),"সীমান্ত")</f>
        <v>সীমান্ত</v>
      </c>
    </row>
    <row r="1179">
      <c r="A1179" s="2" t="s">
        <v>4134</v>
      </c>
      <c r="B1179" s="3" t="str">
        <f>IFERROR(__xludf.DUMMYFUNCTION("GOOGLETRANSLATE(A1179, ""ar"", ""bn"")"),"কারাবাস")</f>
        <v>কারাবাস</v>
      </c>
    </row>
    <row r="1180">
      <c r="A1180" s="2" t="s">
        <v>4136</v>
      </c>
      <c r="B1180" s="3" t="str">
        <f>IFERROR(__xludf.DUMMYFUNCTION("GOOGLETRANSLATE(A1180, ""ar"", ""bn"")"),"সেল")</f>
        <v>সেল</v>
      </c>
    </row>
    <row r="1181">
      <c r="A1181" s="2" t="s">
        <v>4138</v>
      </c>
      <c r="B1181" s="3" t="str">
        <f>IFERROR(__xludf.DUMMYFUNCTION("GOOGLETRANSLATE(A1181, ""ar"", ""bn"")"),"উপগ্রহণ")</f>
        <v>উপগ্রহণ</v>
      </c>
    </row>
    <row r="1182">
      <c r="A1182" s="2" t="s">
        <v>4139</v>
      </c>
      <c r="B1182" s="3" t="str">
        <f>IFERROR(__xludf.DUMMYFUNCTION("GOOGLETRANSLATE(A1182, ""ar"", ""bn"")"),"বাজেয়াপ্ত")</f>
        <v>বাজেয়াপ্ত</v>
      </c>
    </row>
    <row r="1183">
      <c r="A1183" s="2" t="s">
        <v>4140</v>
      </c>
      <c r="B1183" s="3" t="str">
        <f>IFERROR(__xludf.DUMMYFUNCTION("GOOGLETRANSLATE(A1183, ""ar"", ""bn"")"),"বাজেয়াপ্ত")</f>
        <v>বাজেয়াপ্ত</v>
      </c>
    </row>
    <row r="1184">
      <c r="A1184" s="2" t="s">
        <v>4138</v>
      </c>
      <c r="B1184" s="3" t="str">
        <f>IFERROR(__xludf.DUMMYFUNCTION("GOOGLETRANSLATE(A1184, ""ar"", ""bn"")"),"উপগ্রহণ")</f>
        <v>উপগ্রহণ</v>
      </c>
    </row>
    <row r="1185">
      <c r="A1185" s="2" t="s">
        <v>4138</v>
      </c>
      <c r="B1185" s="3" t="str">
        <f>IFERROR(__xludf.DUMMYFUNCTION("GOOGLETRANSLATE(A1185, ""ar"", ""bn"")"),"উপগ্রহণ")</f>
        <v>উপগ্রহণ</v>
      </c>
    </row>
    <row r="1186">
      <c r="A1186" s="2" t="s">
        <v>4141</v>
      </c>
      <c r="B1186" s="3" t="str">
        <f>IFERROR(__xludf.DUMMYFUNCTION("GOOGLETRANSLATE(A1186, ""ar"", ""bn"")"),"দ্বন্দ্ব")</f>
        <v>দ্বন্দ্ব</v>
      </c>
    </row>
    <row r="1187">
      <c r="A1187" s="2" t="s">
        <v>4142</v>
      </c>
      <c r="B1187" s="3" t="str">
        <f>IFERROR(__xludf.DUMMYFUNCTION("GOOGLETRANSLATE(A1187, ""ar"", ""bn"")"),"বিপরীত")</f>
        <v>বিপরীত</v>
      </c>
    </row>
    <row r="1188">
      <c r="A1188" s="2" t="s">
        <v>4143</v>
      </c>
      <c r="B1188" s="3" t="str">
        <f>IFERROR(__xludf.DUMMYFUNCTION("GOOGLETRANSLATE(A1188, ""ar"", ""bn"")"),"পরস্পরবিরোধী")</f>
        <v>পরস্পরবিরোধী</v>
      </c>
    </row>
    <row r="1189">
      <c r="A1189" s="2" t="s">
        <v>4144</v>
      </c>
      <c r="B1189" s="3" t="str">
        <f>IFERROR(__xludf.DUMMYFUNCTION("GOOGLETRANSLATE(A1189, ""ar"", ""bn"")"),"দ্বন্দ্ব")</f>
        <v>দ্বন্দ্ব</v>
      </c>
    </row>
    <row r="1190">
      <c r="A1190" s="2" t="s">
        <v>4145</v>
      </c>
      <c r="B1190" s="3" t="str">
        <f>IFERROR(__xludf.DUMMYFUNCTION("GOOGLETRANSLATE(A1190, ""ar"", ""bn"")"),"সংক্রান্ত বিরোধ রয়েছে")</f>
        <v>সংক্রান্ত বিরোধ রয়েছে</v>
      </c>
    </row>
    <row r="1191">
      <c r="A1191" s="2" t="s">
        <v>4146</v>
      </c>
      <c r="B1191" s="3" t="str">
        <f>IFERROR(__xludf.DUMMYFUNCTION("GOOGLETRANSLATE(A1191, ""ar"", ""bn"")"),"অঙ্গবিক্ষেপ")</f>
        <v>অঙ্গবিক্ষেপ</v>
      </c>
    </row>
    <row r="1192">
      <c r="A1192" s="2" t="s">
        <v>3498</v>
      </c>
      <c r="B1192" s="3" t="str">
        <f>IFERROR(__xludf.DUMMYFUNCTION("GOOGLETRANSLATE(A1192, ""ar"", ""bn"")"),"বিভ্রান্ত")</f>
        <v>বিভ্রান্ত</v>
      </c>
    </row>
    <row r="1193">
      <c r="A1193" s="2" t="s">
        <v>3305</v>
      </c>
      <c r="B1193" s="3" t="str">
        <f>IFERROR(__xludf.DUMMYFUNCTION("GOOGLETRANSLATE(A1193, ""ar"", ""bn"")"),"বিভ্রান্তিকর")</f>
        <v>বিভ্রান্তিকর</v>
      </c>
    </row>
    <row r="1194">
      <c r="A1194" s="2" t="s">
        <v>4147</v>
      </c>
      <c r="B1194" s="3" t="str">
        <f>IFERROR(__xludf.DUMMYFUNCTION("GOOGLETRANSLATE(A1194, ""ar"", ""bn"")"),"গুলিয়ে ফেলে")</f>
        <v>গুলিয়ে ফেলে</v>
      </c>
    </row>
    <row r="1195">
      <c r="A1195" s="2" t="s">
        <v>4148</v>
      </c>
      <c r="B1195" s="3" t="str">
        <f>IFERROR(__xludf.DUMMYFUNCTION("GOOGLETRANSLATE(A1195, ""ar"", ""bn"")"),"মুকাবিলা")</f>
        <v>মুকাবিলা</v>
      </c>
    </row>
    <row r="1196">
      <c r="A1196" s="2" t="s">
        <v>4148</v>
      </c>
      <c r="B1196" s="3" t="str">
        <f>IFERROR(__xludf.DUMMYFUNCTION("GOOGLETRANSLATE(A1196, ""ar"", ""bn"")"),"মুকাবিলা")</f>
        <v>মুকাবিলা</v>
      </c>
    </row>
    <row r="1197">
      <c r="A1197" s="2" t="s">
        <v>4149</v>
      </c>
      <c r="B1197" s="3" t="str">
        <f>IFERROR(__xludf.DUMMYFUNCTION("GOOGLETRANSLATE(A1197, ""ar"", ""bn"")"),"মুকাবিলা")</f>
        <v>মুকাবিলা</v>
      </c>
    </row>
    <row r="1198">
      <c r="A1198" s="2" t="s">
        <v>4150</v>
      </c>
      <c r="B1198" s="3" t="str">
        <f>IFERROR(__xludf.DUMMYFUNCTION("GOOGLETRANSLATE(A1198, ""ar"", ""bn"")"),"মোকাবিলার")</f>
        <v>মোকাবিলার</v>
      </c>
    </row>
    <row r="1199">
      <c r="A1199" s="2" t="s">
        <v>4151</v>
      </c>
      <c r="B1199" s="3" t="str">
        <f>IFERROR(__xludf.DUMMYFUNCTION("GOOGLETRANSLATE(A1199, ""ar"", ""bn"")"),"মুখ")</f>
        <v>মুখ</v>
      </c>
    </row>
    <row r="1200">
      <c r="A1200" s="2" t="s">
        <v>4148</v>
      </c>
      <c r="B1200" s="3" t="str">
        <f>IFERROR(__xludf.DUMMYFUNCTION("GOOGLETRANSLATE(A1200, ""ar"", ""bn"")"),"মুকাবিলা")</f>
        <v>মুকাবিলা</v>
      </c>
    </row>
    <row r="1201">
      <c r="A1201" s="2" t="s">
        <v>4152</v>
      </c>
      <c r="B1201" s="3" t="str">
        <f>IFERROR(__xludf.DUMMYFUNCTION("GOOGLETRANSLATE(A1201, ""ar"", ""bn"")"),"ঠিকানা")</f>
        <v>ঠিকানা</v>
      </c>
    </row>
    <row r="1202">
      <c r="A1202" s="2" t="s">
        <v>4153</v>
      </c>
      <c r="B1202" s="3" t="str">
        <f>IFERROR(__xludf.DUMMYFUNCTION("GOOGLETRANSLATE(A1202, ""ar"", ""bn"")"),"বিশৃঙ্খলা")</f>
        <v>বিশৃঙ্খলা</v>
      </c>
    </row>
    <row r="1203">
      <c r="A1203" s="2" t="s">
        <v>4154</v>
      </c>
      <c r="B1203" s="3" t="str">
        <f>IFERROR(__xludf.DUMMYFUNCTION("GOOGLETRANSLATE(A1203, ""ar"", ""bn"")"),"হতবুদ্ধি করা")</f>
        <v>হতবুদ্ধি করা</v>
      </c>
    </row>
    <row r="1204">
      <c r="A1204" s="2" t="s">
        <v>3498</v>
      </c>
      <c r="B1204" s="3" t="str">
        <f>IFERROR(__xludf.DUMMYFUNCTION("GOOGLETRANSLATE(A1204, ""ar"", ""bn"")"),"বিভ্রান্ত")</f>
        <v>বিভ্রান্ত</v>
      </c>
    </row>
    <row r="1205">
      <c r="A1205" s="2" t="s">
        <v>4155</v>
      </c>
      <c r="B1205" s="3" t="str">
        <f>IFERROR(__xludf.DUMMYFUNCTION("GOOGLETRANSLATE(A1205, ""ar"", ""bn"")"),"বিহ্বলের")</f>
        <v>বিহ্বলের</v>
      </c>
    </row>
    <row r="1206">
      <c r="A1206" s="2" t="s">
        <v>4156</v>
      </c>
      <c r="B1206" s="3" t="str">
        <f>IFERROR(__xludf.DUMMYFUNCTION("GOOGLETRANSLATE(A1206, ""ar"", ""bn"")"),"বিভ্রান্ত")</f>
        <v>বিভ্রান্ত</v>
      </c>
    </row>
    <row r="1207">
      <c r="A1207" s="2" t="s">
        <v>4157</v>
      </c>
      <c r="B1207" s="3" t="str">
        <f>IFERROR(__xludf.DUMMYFUNCTION("GOOGLETRANSLATE(A1207, ""ar"", ""bn"")"),"বিভ্রান্ত")</f>
        <v>বিভ্রান্ত</v>
      </c>
    </row>
    <row r="1208">
      <c r="A1208" s="2" t="s">
        <v>3305</v>
      </c>
      <c r="B1208" s="3" t="str">
        <f>IFERROR(__xludf.DUMMYFUNCTION("GOOGLETRANSLATE(A1208, ""ar"", ""bn"")"),"বিভ্রান্তিকর")</f>
        <v>বিভ্রান্তিকর</v>
      </c>
    </row>
    <row r="1209">
      <c r="A1209" s="2" t="s">
        <v>4156</v>
      </c>
      <c r="B1209" s="3" t="str">
        <f>IFERROR(__xludf.DUMMYFUNCTION("GOOGLETRANSLATE(A1209, ""ar"", ""bn"")"),"বিভ্রান্ত")</f>
        <v>বিভ্রান্ত</v>
      </c>
    </row>
    <row r="1210">
      <c r="A1210" s="2" t="s">
        <v>4158</v>
      </c>
      <c r="B1210" s="3" t="str">
        <f>IFERROR(__xludf.DUMMYFUNCTION("GOOGLETRANSLATE(A1210, ""ar"", ""bn"")"),"বিশৃঙ্খলা")</f>
        <v>বিশৃঙ্খলা</v>
      </c>
    </row>
    <row r="1211">
      <c r="A1211" s="2" t="s">
        <v>4159</v>
      </c>
      <c r="B1211" s="3" t="str">
        <f>IFERROR(__xludf.DUMMYFUNCTION("GOOGLETRANSLATE(A1211, ""ar"", ""bn"")"),"বিভ্রান্তি")</f>
        <v>বিভ্রান্তি</v>
      </c>
    </row>
    <row r="1212">
      <c r="A1212" s="2" t="s">
        <v>4160</v>
      </c>
      <c r="B1212" s="3" t="str">
        <f>IFERROR(__xludf.DUMMYFUNCTION("GOOGLETRANSLATE(A1212, ""ar"", ""bn"")"),"ভীড়")</f>
        <v>ভীড়</v>
      </c>
    </row>
    <row r="1213">
      <c r="A1213" s="2" t="s">
        <v>4161</v>
      </c>
      <c r="B1213" s="3" t="str">
        <f>IFERROR(__xludf.DUMMYFUNCTION("GOOGLETRANSLATE(A1213, ""ar"", ""bn"")"),"পূর্ণতা")</f>
        <v>পূর্ণতা</v>
      </c>
    </row>
    <row r="1214">
      <c r="A1214" s="2" t="s">
        <v>4162</v>
      </c>
      <c r="B1214" s="3" t="str">
        <f>IFERROR(__xludf.DUMMYFUNCTION("GOOGLETRANSLATE(A1214, ""ar"", ""bn"")"),"চক্রান্ত")</f>
        <v>চক্রান্ত</v>
      </c>
    </row>
    <row r="1215">
      <c r="A1215" s="2" t="s">
        <v>4163</v>
      </c>
      <c r="B1215" s="3" t="str">
        <f>IFERROR(__xludf.DUMMYFUNCTION("GOOGLETRANSLATE(A1215, ""ar"", ""bn"")"),"চক্রান্তকারী")</f>
        <v>চক্রান্তকারী</v>
      </c>
    </row>
    <row r="1216">
      <c r="A1216" s="2" t="s">
        <v>4164</v>
      </c>
      <c r="B1216" s="3" t="str">
        <f>IFERROR(__xludf.DUMMYFUNCTION("GOOGLETRANSLATE(A1216, ""ar"", ""bn"")"),"ষড়্যন্ত্র-সংক্রান্ত")</f>
        <v>ষড়্যন্ত্র-সংক্রান্ত</v>
      </c>
    </row>
    <row r="1217">
      <c r="A1217" s="2" t="s">
        <v>4165</v>
      </c>
      <c r="B1217" s="3" t="str">
        <f>IFERROR(__xludf.DUMMYFUNCTION("GOOGLETRANSLATE(A1217, ""ar"", ""bn"")"),"Conspiratorially")</f>
        <v>Conspiratorially</v>
      </c>
    </row>
    <row r="1218">
      <c r="A1218" s="2" t="s">
        <v>4166</v>
      </c>
      <c r="B1218" s="3" t="str">
        <f>IFERROR(__xludf.DUMMYFUNCTION("GOOGLETRANSLATE(A1218, ""ar"", ""bn"")"),"plotters")</f>
        <v>plotters</v>
      </c>
    </row>
    <row r="1219">
      <c r="A1219" s="2" t="s">
        <v>4167</v>
      </c>
      <c r="B1219" s="3" t="str">
        <f>IFERROR(__xludf.DUMMYFUNCTION("GOOGLETRANSLATE(A1219, ""ar"", ""bn"")"),"চক্রান্ত")</f>
        <v>চক্রান্ত</v>
      </c>
    </row>
    <row r="1220">
      <c r="A1220" s="2" t="s">
        <v>4167</v>
      </c>
      <c r="B1220" s="3" t="str">
        <f>IFERROR(__xludf.DUMMYFUNCTION("GOOGLETRANSLATE(A1220, ""ar"", ""bn"")"),"চক্রান্ত")</f>
        <v>চক্রান্ত</v>
      </c>
    </row>
    <row r="1221">
      <c r="A1221" s="2" t="s">
        <v>4168</v>
      </c>
      <c r="B1221" s="3" t="str">
        <f>IFERROR(__xludf.DUMMYFUNCTION("GOOGLETRANSLATE(A1221, ""ar"", ""bn"")"),"চক্রান্ত")</f>
        <v>চক্রান্ত</v>
      </c>
    </row>
    <row r="1222">
      <c r="A1222" s="2" t="s">
        <v>4169</v>
      </c>
      <c r="B1222" s="3" t="str">
        <f>IFERROR(__xludf.DUMMYFUNCTION("GOOGLETRANSLATE(A1222, ""ar"", ""bn"")"),"আতঙ্ক")</f>
        <v>আতঙ্ক</v>
      </c>
    </row>
    <row r="1223">
      <c r="A1223" s="2" t="s">
        <v>4170</v>
      </c>
      <c r="B1223" s="3" t="str">
        <f>IFERROR(__xludf.DUMMYFUNCTION("GOOGLETRANSLATE(A1223, ""ar"", ""bn"")"),"মেনে চলা")</f>
        <v>মেনে চলা</v>
      </c>
    </row>
    <row r="1224">
      <c r="A1224" s="2" t="s">
        <v>4171</v>
      </c>
      <c r="B1224" s="3" t="str">
        <f>IFERROR(__xludf.DUMMYFUNCTION("GOOGLETRANSLATE(A1224, ""ar"", ""bn"")"),"বিধিনিষেধযুক্ত")</f>
        <v>বিধিনিষেধযুক্ত</v>
      </c>
    </row>
    <row r="1225">
      <c r="A1225" s="2" t="s">
        <v>4172</v>
      </c>
      <c r="B1225" s="3" t="str">
        <f>IFERROR(__xludf.DUMMYFUNCTION("GOOGLETRANSLATE(A1225, ""ar"", ""bn"")"),"সীমাবদ্ধতা")</f>
        <v>সীমাবদ্ধতা</v>
      </c>
    </row>
    <row r="1226">
      <c r="A1226" s="2" t="s">
        <v>4173</v>
      </c>
      <c r="B1226" s="3" t="str">
        <f>IFERROR(__xludf.DUMMYFUNCTION("GOOGLETRANSLATE(A1226, ""ar"", ""bn"")"),"সীমাবদ্ধতা")</f>
        <v>সীমাবদ্ধতা</v>
      </c>
    </row>
    <row r="1227">
      <c r="A1227" s="2" t="s">
        <v>4174</v>
      </c>
      <c r="B1227" s="3" t="str">
        <f>IFERROR(__xludf.DUMMYFUNCTION("GOOGLETRANSLATE(A1227, ""ar"", ""bn"")"),"বাধ্যতা")</f>
        <v>বাধ্যতা</v>
      </c>
    </row>
    <row r="1228">
      <c r="A1228" s="2" t="s">
        <v>4173</v>
      </c>
      <c r="B1228" s="3" t="str">
        <f>IFERROR(__xludf.DUMMYFUNCTION("GOOGLETRANSLATE(A1228, ""ar"", ""bn"")"),"সীমাবদ্ধতা")</f>
        <v>সীমাবদ্ধতা</v>
      </c>
    </row>
    <row r="1229">
      <c r="A1229" s="2" t="s">
        <v>4175</v>
      </c>
      <c r="B1229" s="3" t="str">
        <f>IFERROR(__xludf.DUMMYFUNCTION("GOOGLETRANSLATE(A1229, ""ar"", ""bn"")"),"ক্ষয়কারী")</f>
        <v>ক্ষয়কারী</v>
      </c>
    </row>
    <row r="1230">
      <c r="A1230" s="2" t="s">
        <v>4176</v>
      </c>
      <c r="B1230" s="3" t="str">
        <f>IFERROR(__xludf.DUMMYFUNCTION("GOOGLETRANSLATE(A1230, ""ar"", ""bn"")"),"সংক্রমণ")</f>
        <v>সংক্রমণ</v>
      </c>
    </row>
    <row r="1231">
      <c r="A1231" s="2" t="s">
        <v>4177</v>
      </c>
      <c r="B1231" s="3" t="str">
        <f>IFERROR(__xludf.DUMMYFUNCTION("GOOGLETRANSLATE(A1231, ""ar"", ""bn"")"),"অভিপ্রেত")</f>
        <v>অভিপ্রেত</v>
      </c>
    </row>
    <row r="1232">
      <c r="A1232" s="2" t="s">
        <v>4178</v>
      </c>
      <c r="B1232" s="3" t="str">
        <f>IFERROR(__xludf.DUMMYFUNCTION("GOOGLETRANSLATE(A1232, ""ar"", ""bn"")"),"দূষিত করা")</f>
        <v>দূষিত করা</v>
      </c>
    </row>
    <row r="1233">
      <c r="A1233" s="2" t="s">
        <v>4179</v>
      </c>
      <c r="B1233" s="3" t="str">
        <f>IFERROR(__xludf.DUMMYFUNCTION("GOOGLETRANSLATE(A1233, ""ar"", ""bn"")"),"কলুষিত")</f>
        <v>কলুষিত</v>
      </c>
    </row>
    <row r="1234">
      <c r="A1234" s="2" t="s">
        <v>4180</v>
      </c>
      <c r="B1234" s="3" t="str">
        <f>IFERROR(__xludf.DUMMYFUNCTION("GOOGLETRANSLATE(A1234, ""ar"", ""bn"")"),"contaminates")</f>
        <v>contaminates</v>
      </c>
    </row>
    <row r="1235">
      <c r="A1235" s="2" t="s">
        <v>4181</v>
      </c>
      <c r="B1235" s="3" t="str">
        <f>IFERROR(__xludf.DUMMYFUNCTION("GOOGLETRANSLATE(A1235, ""ar"", ""bn"")"),"দূষণ")</f>
        <v>দূষণ</v>
      </c>
    </row>
    <row r="1236">
      <c r="A1236" s="2" t="s">
        <v>4182</v>
      </c>
      <c r="B1236" s="3" t="str">
        <f>IFERROR(__xludf.DUMMYFUNCTION("GOOGLETRANSLATE(A1236, ""ar"", ""bn"")"),"অপবিত্রতা")</f>
        <v>অপবিত্রতা</v>
      </c>
    </row>
    <row r="1237">
      <c r="A1237" s="2" t="s">
        <v>4183</v>
      </c>
      <c r="B1237" s="3" t="str">
        <f>IFERROR(__xludf.DUMMYFUNCTION("GOOGLETRANSLATE(A1237, ""ar"", ""bn"")"),"ঘৃণা")</f>
        <v>ঘৃণা</v>
      </c>
    </row>
    <row r="1238">
      <c r="A1238" s="2" t="s">
        <v>4184</v>
      </c>
      <c r="B1238" s="3" t="str">
        <f>IFERROR(__xludf.DUMMYFUNCTION("GOOGLETRANSLATE(A1238, ""ar"", ""bn"")"),"দুর্বৃত্ত")</f>
        <v>দুর্বৃত্ত</v>
      </c>
    </row>
    <row r="1239">
      <c r="A1239" s="2" t="s">
        <v>4185</v>
      </c>
      <c r="B1239" s="3" t="str">
        <f>IFERROR(__xludf.DUMMYFUNCTION("GOOGLETRANSLATE(A1239, ""ar"", ""bn"")"),"ঘৃণাপূর্ণ")</f>
        <v>ঘৃণাপূর্ণ</v>
      </c>
    </row>
    <row r="1240">
      <c r="A1240" s="2" t="s">
        <v>4186</v>
      </c>
      <c r="B1240" s="3" t="str">
        <f>IFERROR(__xludf.DUMMYFUNCTION("GOOGLETRANSLATE(A1240, ""ar"", ""bn"")"),"ঘৃণাপূর্ণভাবে")</f>
        <v>ঘৃণাপূর্ণভাবে</v>
      </c>
    </row>
    <row r="1241">
      <c r="A1241" s="2" t="s">
        <v>4187</v>
      </c>
      <c r="B1241" s="3" t="str">
        <f>IFERROR(__xludf.DUMMYFUNCTION("GOOGLETRANSLATE(A1241, ""ar"", ""bn"")"),"প্রতিযোগিতা করা")</f>
        <v>প্রতিযোগিতা করা</v>
      </c>
    </row>
    <row r="1242">
      <c r="A1242" s="2" t="s">
        <v>4188</v>
      </c>
      <c r="B1242" s="3" t="str">
        <f>IFERROR(__xludf.DUMMYFUNCTION("GOOGLETRANSLATE(A1242, ""ar"", ""bn"")"),"দাবি করা")</f>
        <v>দাবি করা</v>
      </c>
    </row>
    <row r="1243">
      <c r="A1243" s="2" t="s">
        <v>4189</v>
      </c>
      <c r="B1243" s="3" t="str">
        <f>IFERROR(__xludf.DUMMYFUNCTION("GOOGLETRANSLATE(A1243, ""ar"", ""bn"")"),"প্রতিদ্বন্দ্বী")</f>
        <v>প্রতিদ্বন্দ্বী</v>
      </c>
    </row>
    <row r="1244">
      <c r="A1244" s="2" t="s">
        <v>4190</v>
      </c>
      <c r="B1244" s="3" t="str">
        <f>IFERROR(__xludf.DUMMYFUNCTION("GOOGLETRANSLATE(A1244, ""ar"", ""bn"")"),"প্রতিযোগীরা")</f>
        <v>প্রতিযোগীরা</v>
      </c>
    </row>
    <row r="1245">
      <c r="A1245" s="2" t="s">
        <v>4191</v>
      </c>
      <c r="B1245" s="3" t="str">
        <f>IFERROR(__xludf.DUMMYFUNCTION("GOOGLETRANSLATE(A1245, ""ar"", ""bn"")"),"বিবেচনা করা")</f>
        <v>বিবেচনা করা</v>
      </c>
    </row>
    <row r="1246">
      <c r="A1246" s="2" t="s">
        <v>4192</v>
      </c>
      <c r="B1246" s="3" t="str">
        <f>IFERROR(__xludf.DUMMYFUNCTION("GOOGLETRANSLATE(A1246, ""ar"", ""bn"")"),"দাবি")</f>
        <v>দাবি</v>
      </c>
    </row>
    <row r="1247">
      <c r="A1247" s="2" t="s">
        <v>4193</v>
      </c>
      <c r="B1247" s="3" t="str">
        <f>IFERROR(__xludf.DUMMYFUNCTION("GOOGLETRANSLATE(A1247, ""ar"", ""bn"")"),"অসম্মত")</f>
        <v>অসম্মত</v>
      </c>
    </row>
    <row r="1248">
      <c r="A1248" s="2" t="s">
        <v>3595</v>
      </c>
      <c r="B1248" s="3" t="str">
        <f>IFERROR(__xludf.DUMMYFUNCTION("GOOGLETRANSLATE(A1248, ""ar"", ""bn"")"),"অস্বীকার করা")</f>
        <v>অস্বীকার করা</v>
      </c>
    </row>
    <row r="1249">
      <c r="A1249" s="2" t="s">
        <v>4194</v>
      </c>
      <c r="B1249" s="3" t="str">
        <f>IFERROR(__xludf.DUMMYFUNCTION("GOOGLETRANSLATE(A1249, ""ar"", ""bn"")"),"অসঙ্গতি")</f>
        <v>অসঙ্গতি</v>
      </c>
    </row>
    <row r="1250">
      <c r="A1250" s="2" t="s">
        <v>4194</v>
      </c>
      <c r="B1250" s="3" t="str">
        <f>IFERROR(__xludf.DUMMYFUNCTION("GOOGLETRANSLATE(A1250, ""ar"", ""bn"")"),"অসঙ্গতি")</f>
        <v>অসঙ্গতি</v>
      </c>
    </row>
    <row r="1251">
      <c r="A1251" s="2" t="s">
        <v>4195</v>
      </c>
      <c r="B1251" s="3" t="str">
        <f>IFERROR(__xludf.DUMMYFUNCTION("GOOGLETRANSLATE(A1251, ""ar"", ""bn"")"),"অসঙ্গতি")</f>
        <v>অসঙ্গতি</v>
      </c>
    </row>
    <row r="1252">
      <c r="A1252" s="2" t="s">
        <v>4196</v>
      </c>
      <c r="B1252" s="3" t="str">
        <f>IFERROR(__xludf.DUMMYFUNCTION("GOOGLETRANSLATE(A1252, ""ar"", ""bn"")"),"পরস্পরবিরোধী")</f>
        <v>পরস্পরবিরোধী</v>
      </c>
    </row>
    <row r="1253">
      <c r="A1253" s="2" t="s">
        <v>4196</v>
      </c>
      <c r="B1253" s="3" t="str">
        <f>IFERROR(__xludf.DUMMYFUNCTION("GOOGLETRANSLATE(A1253, ""ar"", ""bn"")"),"পরস্পরবিরোধী")</f>
        <v>পরস্পরবিরোধী</v>
      </c>
    </row>
    <row r="1254">
      <c r="A1254" s="2" t="s">
        <v>4197</v>
      </c>
      <c r="B1254" s="3" t="str">
        <f>IFERROR(__xludf.DUMMYFUNCTION("GOOGLETRANSLATE(A1254, ""ar"", ""bn"")"),"বৈপরীত্য")</f>
        <v>বৈপরীত্য</v>
      </c>
    </row>
    <row r="1255">
      <c r="A1255" s="2" t="s">
        <v>4198</v>
      </c>
      <c r="B1255" s="3" t="str">
        <f>IFERROR(__xludf.DUMMYFUNCTION("GOOGLETRANSLATE(A1255, ""ar"", ""bn"")"),"বিপরীত")</f>
        <v>বিপরীত</v>
      </c>
    </row>
    <row r="1256">
      <c r="A1256" s="2" t="s">
        <v>4199</v>
      </c>
      <c r="B1256" s="3" t="str">
        <f>IFERROR(__xludf.DUMMYFUNCTION("GOOGLETRANSLATE(A1256, ""ar"", ""bn"")"),"বিতর্কমূলক")</f>
        <v>বিতর্কমূলক</v>
      </c>
    </row>
    <row r="1257">
      <c r="A1257" s="2" t="s">
        <v>4200</v>
      </c>
      <c r="B1257" s="3" t="str">
        <f>IFERROR(__xludf.DUMMYFUNCTION("GOOGLETRANSLATE(A1257, ""ar"", ""bn"")"),"যুক্তি")</f>
        <v>যুক্তি</v>
      </c>
    </row>
    <row r="1258">
      <c r="A1258" s="2" t="s">
        <v>4201</v>
      </c>
      <c r="B1258" s="3" t="str">
        <f>IFERROR(__xludf.DUMMYFUNCTION("GOOGLETRANSLATE(A1258, ""ar"", ""bn"")"),"পার্থক্য")</f>
        <v>পার্থক্য</v>
      </c>
    </row>
    <row r="1259">
      <c r="A1259" s="2" t="s">
        <v>4202</v>
      </c>
      <c r="B1259" s="3" t="str">
        <f>IFERROR(__xludf.DUMMYFUNCTION("GOOGLETRANSLATE(A1259, ""ar"", ""bn"")"),"বিতর্ক")</f>
        <v>বিতর্ক</v>
      </c>
    </row>
    <row r="1260">
      <c r="A1260" s="2" t="s">
        <v>4203</v>
      </c>
      <c r="B1260" s="3" t="str">
        <f>IFERROR(__xludf.DUMMYFUNCTION("GOOGLETRANSLATE(A1260, ""ar"", ""bn"")"),"আসামি")</f>
        <v>আসামি</v>
      </c>
    </row>
    <row r="1261">
      <c r="A1261" s="2" t="s">
        <v>4110</v>
      </c>
      <c r="B1261" s="3" t="str">
        <f>IFERROR(__xludf.DUMMYFUNCTION("GOOGLETRANSLATE(A1261, ""ar"", ""bn"")"),"অপরাধী")</f>
        <v>অপরাধী</v>
      </c>
    </row>
    <row r="1262">
      <c r="A1262" s="2" t="s">
        <v>4111</v>
      </c>
      <c r="B1262" s="3" t="str">
        <f>IFERROR(__xludf.DUMMYFUNCTION("GOOGLETRANSLATE(A1262, ""ar"", ""bn"")"),"নিন্দা")</f>
        <v>নিন্দা</v>
      </c>
    </row>
    <row r="1263">
      <c r="A1263" s="2" t="s">
        <v>4111</v>
      </c>
      <c r="B1263" s="3" t="str">
        <f>IFERROR(__xludf.DUMMYFUNCTION("GOOGLETRANSLATE(A1263, ""ar"", ""bn"")"),"নিন্দা")</f>
        <v>নিন্দা</v>
      </c>
    </row>
    <row r="1264">
      <c r="A1264" s="2" t="s">
        <v>4204</v>
      </c>
      <c r="B1264" s="3" t="str">
        <f>IFERROR(__xludf.DUMMYFUNCTION("GOOGLETRANSLATE(A1264, ""ar"", ""bn"")"),"তা")</f>
        <v>তা</v>
      </c>
    </row>
    <row r="1265">
      <c r="A1265" s="2" t="s">
        <v>4205</v>
      </c>
      <c r="B1265" s="3" t="str">
        <f>IFERROR(__xludf.DUMMYFUNCTION("GOOGLETRANSLATE(A1265, ""ar"", ""bn"")"),"দণ্ডপ্রাপ্তরা")</f>
        <v>দণ্ডপ্রাপ্তরা</v>
      </c>
    </row>
    <row r="1266">
      <c r="A1266" s="2" t="s">
        <v>4206</v>
      </c>
      <c r="B1266" s="3" t="str">
        <f>IFERROR(__xludf.DUMMYFUNCTION("GOOGLETRANSLATE(A1266, ""ar"", ""bn"")"),"শীতলতা")</f>
        <v>শীতলতা</v>
      </c>
    </row>
    <row r="1267">
      <c r="A1267" s="2" t="s">
        <v>4207</v>
      </c>
      <c r="B1267" s="3" t="str">
        <f>IFERROR(__xludf.DUMMYFUNCTION("GOOGLETRANSLATE(A1267, ""ar"", ""bn"")"),"খাওয়া")</f>
        <v>খাওয়া</v>
      </c>
    </row>
    <row r="1268">
      <c r="A1268" s="2" t="s">
        <v>4208</v>
      </c>
      <c r="B1268" s="3" t="str">
        <f>IFERROR(__xludf.DUMMYFUNCTION("GOOGLETRANSLATE(A1268, ""ar"", ""bn"")"),"Macerated")</f>
        <v>Macerated</v>
      </c>
    </row>
    <row r="1269">
      <c r="A1269" s="2" t="s">
        <v>4209</v>
      </c>
      <c r="B1269" s="3" t="str">
        <f>IFERROR(__xludf.DUMMYFUNCTION("GOOGLETRANSLATE(A1269, ""ar"", ""bn"")"),"লুট")</f>
        <v>লুট</v>
      </c>
    </row>
    <row r="1270">
      <c r="A1270" s="2" t="s">
        <v>4207</v>
      </c>
      <c r="B1270" s="3" t="str">
        <f>IFERROR(__xludf.DUMMYFUNCTION("GOOGLETRANSLATE(A1270, ""ar"", ""bn"")"),"খাওয়া")</f>
        <v>খাওয়া</v>
      </c>
    </row>
    <row r="1271">
      <c r="A1271" s="2" t="s">
        <v>4207</v>
      </c>
      <c r="B1271" s="3" t="str">
        <f>IFERROR(__xludf.DUMMYFUNCTION("GOOGLETRANSLATE(A1271, ""ar"", ""bn"")"),"খাওয়া")</f>
        <v>খাওয়া</v>
      </c>
    </row>
    <row r="1272">
      <c r="A1272" s="2" t="s">
        <v>4210</v>
      </c>
      <c r="B1272" s="3" t="str">
        <f>IFERROR(__xludf.DUMMYFUNCTION("GOOGLETRANSLATE(A1272, ""ar"", ""bn"")"),"দূষিত")</f>
        <v>দূষিত</v>
      </c>
    </row>
    <row r="1273">
      <c r="A1273" s="2" t="s">
        <v>4211</v>
      </c>
      <c r="B1273" s="3" t="str">
        <f>IFERROR(__xludf.DUMMYFUNCTION("GOOGLETRANSLATE(A1273, ""ar"", ""bn"")"),"ক্ষতি")</f>
        <v>ক্ষতি</v>
      </c>
    </row>
    <row r="1274">
      <c r="A1274" s="2" t="s">
        <v>4212</v>
      </c>
      <c r="B1274" s="3" t="str">
        <f>IFERROR(__xludf.DUMMYFUNCTION("GOOGLETRANSLATE(A1274, ""ar"", ""bn"")"),"বিকৃত করিতে সক্ষম")</f>
        <v>বিকৃত করিতে সক্ষম</v>
      </c>
    </row>
    <row r="1275">
      <c r="A1275" s="2" t="s">
        <v>4213</v>
      </c>
      <c r="B1275" s="3" t="str">
        <f>IFERROR(__xludf.DUMMYFUNCTION("GOOGLETRANSLATE(A1275, ""ar"", ""bn"")"),"স্বেচ্ছাচারিতা")</f>
        <v>স্বেচ্ছাচারিতা</v>
      </c>
    </row>
    <row r="1276">
      <c r="A1276" s="2" t="s">
        <v>4214</v>
      </c>
      <c r="B1276" s="3" t="str">
        <f>IFERROR(__xludf.DUMMYFUNCTION("GOOGLETRANSLATE(A1276, ""ar"", ""bn"")"),"দুর্নীতি")</f>
        <v>দুর্নীতি</v>
      </c>
    </row>
    <row r="1277">
      <c r="A1277" s="2" t="s">
        <v>4215</v>
      </c>
      <c r="B1277" s="3" t="str">
        <f>IFERROR(__xludf.DUMMYFUNCTION("GOOGLETRANSLATE(A1277, ""ar"", ""bn"")"),"দুর্নীতি")</f>
        <v>দুর্নীতি</v>
      </c>
    </row>
    <row r="1278">
      <c r="A1278" s="2" t="s">
        <v>4215</v>
      </c>
      <c r="B1278" s="3" t="str">
        <f>IFERROR(__xludf.DUMMYFUNCTION("GOOGLETRANSLATE(A1278, ""ar"", ""bn"")"),"দুর্নীতি")</f>
        <v>দুর্নীতি</v>
      </c>
    </row>
    <row r="1279">
      <c r="A1279" s="2" t="s">
        <v>4216</v>
      </c>
      <c r="B1279" s="3" t="str">
        <f>IFERROR(__xludf.DUMMYFUNCTION("GOOGLETRANSLATE(A1279, ""ar"", ""bn"")"),"লুট")</f>
        <v>লুট</v>
      </c>
    </row>
    <row r="1280">
      <c r="A1280" s="2" t="s">
        <v>4214</v>
      </c>
      <c r="B1280" s="3" t="str">
        <f>IFERROR(__xludf.DUMMYFUNCTION("GOOGLETRANSLATE(A1280, ""ar"", ""bn"")"),"দুর্নীতি")</f>
        <v>দুর্নীতি</v>
      </c>
    </row>
    <row r="1281">
      <c r="A1281" s="2" t="s">
        <v>4215</v>
      </c>
      <c r="B1281" s="3" t="str">
        <f>IFERROR(__xludf.DUMMYFUNCTION("GOOGLETRANSLATE(A1281, ""ar"", ""bn"")"),"দুর্নীতি")</f>
        <v>দুর্নীতি</v>
      </c>
    </row>
    <row r="1282">
      <c r="A1282" s="2" t="s">
        <v>4217</v>
      </c>
      <c r="B1282" s="3" t="str">
        <f>IFERROR(__xludf.DUMMYFUNCTION("GOOGLETRANSLATE(A1282, ""ar"", ""bn"")"),"মহার্ঘতা")</f>
        <v>মহার্ঘতা</v>
      </c>
    </row>
    <row r="1283">
      <c r="A1283" s="2" t="s">
        <v>4218</v>
      </c>
      <c r="B1283" s="3" t="str">
        <f>IFERROR(__xludf.DUMMYFUNCTION("GOOGLETRANSLATE(A1283, ""ar"", ""bn"")"),"ব্যয়বহুল")</f>
        <v>ব্যয়বহুল</v>
      </c>
    </row>
    <row r="1284">
      <c r="A1284" s="2" t="s">
        <v>4148</v>
      </c>
      <c r="B1284" s="3" t="str">
        <f>IFERROR(__xludf.DUMMYFUNCTION("GOOGLETRANSLATE(A1284, ""ar"", ""bn"")"),"মুকাবিলা")</f>
        <v>মুকাবিলা</v>
      </c>
    </row>
    <row r="1285">
      <c r="A1285" s="2" t="s">
        <v>4219</v>
      </c>
      <c r="B1285" s="3" t="str">
        <f>IFERROR(__xludf.DUMMYFUNCTION("GOOGLETRANSLATE(A1285, ""ar"", ""bn"")"),"অবরুদ্ধ করা হয়েছে")</f>
        <v>অবরুদ্ধ করা হয়েছে</v>
      </c>
    </row>
    <row r="1286">
      <c r="A1286" s="2" t="s">
        <v>4220</v>
      </c>
      <c r="B1286" s="3" t="str">
        <f>IFERROR(__xludf.DUMMYFUNCTION("GOOGLETRANSLATE(A1286, ""ar"", ""bn"")"),"সেকেলে")</f>
        <v>সেকেলে</v>
      </c>
    </row>
    <row r="1287">
      <c r="A1287" s="2" t="s">
        <v>4221</v>
      </c>
      <c r="B1287" s="3" t="str">
        <f>IFERROR(__xludf.DUMMYFUNCTION("GOOGLETRANSLATE(A1287, ""ar"", ""bn"")"),"counteracts")</f>
        <v>counteracts</v>
      </c>
    </row>
    <row r="1288">
      <c r="A1288" s="2" t="s">
        <v>4222</v>
      </c>
      <c r="B1288" s="3" t="str">
        <f>IFERROR(__xludf.DUMMYFUNCTION("GOOGLETRANSLATE(A1288, ""ar"", ""bn"")"),"জালিয়াতি")</f>
        <v>জালিয়াতি</v>
      </c>
    </row>
    <row r="1289">
      <c r="A1289" s="2" t="s">
        <v>4223</v>
      </c>
      <c r="B1289" s="3" t="str">
        <f>IFERROR(__xludf.DUMMYFUNCTION("GOOGLETRANSLATE(A1289, ""ar"", ""bn"")"),"অবিকল প্রতিরুপ")</f>
        <v>অবিকল প্রতিরুপ</v>
      </c>
    </row>
    <row r="1290">
      <c r="A1290" s="2" t="s">
        <v>4224</v>
      </c>
      <c r="B1290" s="3" t="str">
        <f>IFERROR(__xludf.DUMMYFUNCTION("GOOGLETRANSLATE(A1290, ""ar"", ""bn"")"),"জাল")</f>
        <v>জাল</v>
      </c>
    </row>
    <row r="1291">
      <c r="A1291" s="2" t="s">
        <v>4225</v>
      </c>
      <c r="B1291" s="3" t="str">
        <f>IFERROR(__xludf.DUMMYFUNCTION("GOOGLETRANSLATE(A1291, ""ar"", ""bn"")"),"জালিয়াতি")</f>
        <v>জালিয়াতি</v>
      </c>
    </row>
    <row r="1292">
      <c r="A1292" s="2" t="s">
        <v>4226</v>
      </c>
      <c r="B1292" s="3" t="str">
        <f>IFERROR(__xludf.DUMMYFUNCTION("GOOGLETRANSLATE(A1292, ""ar"", ""bn"")"),"নকল")</f>
        <v>নকল</v>
      </c>
    </row>
    <row r="1293">
      <c r="A1293" s="2" t="s">
        <v>4227</v>
      </c>
      <c r="B1293" s="3" t="str">
        <f>IFERROR(__xludf.DUMMYFUNCTION("GOOGLETRANSLATE(A1293, ""ar"", ""bn"")"),"গোপন")</f>
        <v>গোপন</v>
      </c>
    </row>
    <row r="1294">
      <c r="A1294" s="2" t="s">
        <v>4228</v>
      </c>
      <c r="B1294" s="3" t="str">
        <f>IFERROR(__xludf.DUMMYFUNCTION("GOOGLETRANSLATE(A1294, ""ar"", ""bn"")"),"গোপনে")</f>
        <v>গোপনে</v>
      </c>
    </row>
    <row r="1295">
      <c r="A1295" s="2" t="s">
        <v>4229</v>
      </c>
      <c r="B1295" s="3" t="str">
        <f>IFERROR(__xludf.DUMMYFUNCTION("GOOGLETRANSLATE(A1295, ""ar"", ""bn"")"),"পালকাবরণ")</f>
        <v>পালকাবরণ</v>
      </c>
    </row>
    <row r="1296">
      <c r="A1296" s="2" t="s">
        <v>4230</v>
      </c>
      <c r="B1296" s="3" t="str">
        <f>IFERROR(__xludf.DUMMYFUNCTION("GOOGLETRANSLATE(A1296, ""ar"", ""bn"")"),"লোভ করা")</f>
        <v>লোভ করা</v>
      </c>
    </row>
    <row r="1297">
      <c r="A1297" s="2" t="s">
        <v>4231</v>
      </c>
      <c r="B1297" s="3" t="str">
        <f>IFERROR(__xludf.DUMMYFUNCTION("GOOGLETRANSLATE(A1297, ""ar"", ""bn"")"),"আকাঙ্ক্ষিত")</f>
        <v>আকাঙ্ক্ষিত</v>
      </c>
    </row>
    <row r="1298">
      <c r="A1298" s="2" t="s">
        <v>4232</v>
      </c>
      <c r="B1298" s="3" t="str">
        <f>IFERROR(__xludf.DUMMYFUNCTION("GOOGLETRANSLATE(A1298, ""ar"", ""bn"")"),"প্রতি লোভ")</f>
        <v>প্রতি লোভ</v>
      </c>
    </row>
    <row r="1299">
      <c r="A1299" s="2" t="s">
        <v>4233</v>
      </c>
      <c r="B1299" s="3" t="str">
        <f>IFERROR(__xludf.DUMMYFUNCTION("GOOGLETRANSLATE(A1299, ""ar"", ""bn"")"),"লোভী")</f>
        <v>লোভী</v>
      </c>
    </row>
    <row r="1300">
      <c r="A1300" s="2" t="s">
        <v>4234</v>
      </c>
      <c r="B1300" s="3" t="str">
        <f>IFERROR(__xludf.DUMMYFUNCTION("GOOGLETRANSLATE(A1300, ""ar"", ""bn"")"),"ক্ষুধা")</f>
        <v>ক্ষুধা</v>
      </c>
    </row>
    <row r="1301">
      <c r="A1301" s="2" t="s">
        <v>4235</v>
      </c>
      <c r="B1301" s="3" t="str">
        <f>IFERROR(__xludf.DUMMYFUNCTION("GOOGLETRANSLATE(A1301, ""ar"", ""bn"")"),"কাঁদে")</f>
        <v>কাঁদে</v>
      </c>
    </row>
    <row r="1302">
      <c r="A1302" s="2" t="s">
        <v>4236</v>
      </c>
      <c r="B1302" s="3" t="str">
        <f>IFERROR(__xludf.DUMMYFUNCTION("GOOGLETRANSLATE(A1302, ""ar"", ""bn"")"),"ভীরু")</f>
        <v>ভীরু</v>
      </c>
    </row>
    <row r="1303">
      <c r="A1303" s="2" t="s">
        <v>4237</v>
      </c>
      <c r="B1303" s="3" t="str">
        <f>IFERROR(__xludf.DUMMYFUNCTION("GOOGLETRANSLATE(A1303, ""ar"", ""bn"")"),"কবরস্থান")</f>
        <v>কবরস্থান</v>
      </c>
    </row>
    <row r="1304">
      <c r="A1304" s="2" t="s">
        <v>4236</v>
      </c>
      <c r="B1304" s="3" t="str">
        <f>IFERROR(__xludf.DUMMYFUNCTION("GOOGLETRANSLATE(A1304, ""ar"", ""bn"")"),"ভীরু")</f>
        <v>ভীরু</v>
      </c>
    </row>
    <row r="1305">
      <c r="A1305" s="2" t="s">
        <v>4238</v>
      </c>
      <c r="B1305" s="3" t="str">
        <f>IFERROR(__xludf.DUMMYFUNCTION("GOOGLETRANSLATE(A1305, ""ar"", ""bn"")"),"কাপুরুষ")</f>
        <v>কাপুরুষ</v>
      </c>
    </row>
    <row r="1306">
      <c r="A1306" s="2" t="s">
        <v>4239</v>
      </c>
      <c r="B1306" s="3" t="str">
        <f>IFERROR(__xludf.DUMMYFUNCTION("GOOGLETRANSLATE(A1306, ""ar"", ""bn"")"),"ধূর্ত")</f>
        <v>ধূর্ত</v>
      </c>
    </row>
    <row r="1307">
      <c r="A1307" s="2" t="s">
        <v>4240</v>
      </c>
      <c r="B1307" s="3" t="str">
        <f>IFERROR(__xludf.DUMMYFUNCTION("GOOGLETRANSLATE(A1307, ""ar"", ""bn"")"),"ঠুসা")</f>
        <v>ঠুসা</v>
      </c>
    </row>
    <row r="1308">
      <c r="A1308" s="2" t="s">
        <v>4240</v>
      </c>
      <c r="B1308" s="3" t="str">
        <f>IFERROR(__xludf.DUMMYFUNCTION("GOOGLETRANSLATE(A1308, ""ar"", ""bn"")"),"ঠুসা")</f>
        <v>ঠুসা</v>
      </c>
    </row>
    <row r="1309">
      <c r="A1309" s="2" t="s">
        <v>4241</v>
      </c>
      <c r="B1309" s="3" t="str">
        <f>IFERROR(__xludf.DUMMYFUNCTION("GOOGLETRANSLATE(A1309, ""ar"", ""bn"")"),"যে ব্যক্তি হাঁসমুরগির পালকে খাত্তয়ায়")</f>
        <v>যে ব্যক্তি হাঁসমুরগির পালকে খাত্তয়ায়</v>
      </c>
    </row>
    <row r="1310">
      <c r="A1310" s="2" t="s">
        <v>4242</v>
      </c>
      <c r="B1310" s="3" t="str">
        <f>IFERROR(__xludf.DUMMYFUNCTION("GOOGLETRANSLATE(A1310, ""ar"", ""bn"")"),"তাদের লক্ষ্য")</f>
        <v>তাদের লক্ষ্য</v>
      </c>
    </row>
    <row r="1311">
      <c r="A1311" s="2" t="s">
        <v>4243</v>
      </c>
      <c r="B1311" s="3" t="str">
        <f>IFERROR(__xludf.DUMMYFUNCTION("GOOGLETRANSLATE(A1311, ""ar"", ""bn"")"),"খিঁচুনি")</f>
        <v>খিঁচুনি</v>
      </c>
    </row>
    <row r="1312">
      <c r="A1312" s="2" t="s">
        <v>4244</v>
      </c>
      <c r="B1312" s="3" t="str">
        <f>IFERROR(__xludf.DUMMYFUNCTION("GOOGLETRANSLATE(A1312, ""ar"", ""bn"")"),"আঁট")</f>
        <v>আঁট</v>
      </c>
    </row>
    <row r="1313">
      <c r="A1313" s="2" t="s">
        <v>4245</v>
      </c>
      <c r="B1313" s="3" t="str">
        <f>IFERROR(__xludf.DUMMYFUNCTION("GOOGLETRANSLATE(A1313, ""ar"", ""bn"")"),"cramping")</f>
        <v>cramping</v>
      </c>
    </row>
    <row r="1314">
      <c r="A1314" s="2" t="s">
        <v>4246</v>
      </c>
      <c r="B1314" s="3" t="str">
        <f>IFERROR(__xludf.DUMMYFUNCTION("GOOGLETRANSLATE(A1314, ""ar"", ""bn"")"),"স্ক্রুত্তয়ালা লৌহসাঁড়াশি")</f>
        <v>স্ক্রুত্তয়ালা লৌহসাঁড়াশি</v>
      </c>
    </row>
    <row r="1315">
      <c r="A1315" s="2" t="s">
        <v>4247</v>
      </c>
      <c r="B1315" s="3" t="str">
        <f>IFERROR(__xludf.DUMMYFUNCTION("GOOGLETRANSLATE(A1315, ""ar"", ""bn"")"),"টেপ")</f>
        <v>টেপ</v>
      </c>
    </row>
    <row r="1316">
      <c r="A1316" s="2" t="s">
        <v>4248</v>
      </c>
      <c r="B1316" s="3" t="str">
        <f>IFERROR(__xludf.DUMMYFUNCTION("GOOGLETRANSLATE(A1316, ""ar"", ""bn"")"),"বাধা")</f>
        <v>বাধা</v>
      </c>
    </row>
    <row r="1317">
      <c r="A1317" s="2" t="s">
        <v>4249</v>
      </c>
      <c r="B1317" s="3" t="str">
        <f>IFERROR(__xludf.DUMMYFUNCTION("GOOGLETRANSLATE(A1317, ""ar"", ""bn"")"),"Crams")</f>
        <v>Crams</v>
      </c>
    </row>
    <row r="1318">
      <c r="A1318" s="2" t="s">
        <v>4243</v>
      </c>
      <c r="B1318" s="3" t="str">
        <f>IFERROR(__xludf.DUMMYFUNCTION("GOOGLETRANSLATE(A1318, ""ar"", ""bn"")"),"খিঁচুনি")</f>
        <v>খিঁচুনি</v>
      </c>
    </row>
    <row r="1319">
      <c r="A1319" s="2" t="s">
        <v>4244</v>
      </c>
      <c r="B1319" s="3" t="str">
        <f>IFERROR(__xludf.DUMMYFUNCTION("GOOGLETRANSLATE(A1319, ""ar"", ""bn"")"),"আঁট")</f>
        <v>আঁট</v>
      </c>
    </row>
    <row r="1320">
      <c r="A1320" s="2" t="s">
        <v>4245</v>
      </c>
      <c r="B1320" s="3" t="str">
        <f>IFERROR(__xludf.DUMMYFUNCTION("GOOGLETRANSLATE(A1320, ""ar"", ""bn"")"),"cramping")</f>
        <v>cramping</v>
      </c>
    </row>
    <row r="1321">
      <c r="A1321" s="2" t="s">
        <v>4246</v>
      </c>
      <c r="B1321" s="3" t="str">
        <f>IFERROR(__xludf.DUMMYFUNCTION("GOOGLETRANSLATE(A1321, ""ar"", ""bn"")"),"স্ক্রুত্তয়ালা লৌহসাঁড়াশি")</f>
        <v>স্ক্রুত্তয়ালা লৌহসাঁড়াশি</v>
      </c>
    </row>
    <row r="1322">
      <c r="A1322" s="2" t="s">
        <v>4247</v>
      </c>
      <c r="B1322" s="3" t="str">
        <f>IFERROR(__xludf.DUMMYFUNCTION("GOOGLETRANSLATE(A1322, ""ar"", ""bn"")"),"টেপ")</f>
        <v>টেপ</v>
      </c>
    </row>
    <row r="1323">
      <c r="A1323" s="2" t="s">
        <v>4248</v>
      </c>
      <c r="B1323" s="3" t="str">
        <f>IFERROR(__xludf.DUMMYFUNCTION("GOOGLETRANSLATE(A1323, ""ar"", ""bn"")"),"বাধা")</f>
        <v>বাধা</v>
      </c>
    </row>
    <row r="1324">
      <c r="A1324" s="2" t="s">
        <v>4250</v>
      </c>
      <c r="B1324" s="3" t="str">
        <f>IFERROR(__xludf.DUMMYFUNCTION("GOOGLETRANSLATE(A1324, ""ar"", ""bn"")"),"অদ্ভুত")</f>
        <v>অদ্ভুত</v>
      </c>
    </row>
    <row r="1325">
      <c r="A1325" s="2" t="s">
        <v>3823</v>
      </c>
      <c r="B1325" s="3" t="str">
        <f>IFERROR(__xludf.DUMMYFUNCTION("GOOGLETRANSLATE(A1325, ""ar"", ""bn"")"),"বিষ্ঠা")</f>
        <v>বিষ্ঠা</v>
      </c>
    </row>
    <row r="1326">
      <c r="A1326" s="2" t="s">
        <v>4251</v>
      </c>
      <c r="B1326" s="3" t="str">
        <f>IFERROR(__xludf.DUMMYFUNCTION("GOOGLETRANSLATE(A1326, ""ar"", ""bn"")"),"সম্পূর্ণ")</f>
        <v>সম্পূর্ণ</v>
      </c>
    </row>
    <row r="1327">
      <c r="A1327" s="2" t="s">
        <v>4252</v>
      </c>
      <c r="B1327" s="3" t="str">
        <f>IFERROR(__xludf.DUMMYFUNCTION("GOOGLETRANSLATE(A1327, ""ar"", ""bn"")"),"কোসাইন্")</f>
        <v>কোসাইন্</v>
      </c>
    </row>
    <row r="1328">
      <c r="A1328" s="2" t="s">
        <v>4253</v>
      </c>
      <c r="B1328" s="3" t="str">
        <f>IFERROR(__xludf.DUMMYFUNCTION("GOOGLETRANSLATE(A1328, ""ar"", ""bn"")"),"প্রার্থনা করা")</f>
        <v>প্রার্থনা করা</v>
      </c>
    </row>
    <row r="1329">
      <c r="A1329" s="2" t="s">
        <v>4254</v>
      </c>
      <c r="B1329" s="3" t="str">
        <f>IFERROR(__xludf.DUMMYFUNCTION("GOOGLETRANSLATE(A1329, ""ar"", ""bn"")"),"Lusted")</f>
        <v>Lusted</v>
      </c>
    </row>
    <row r="1330">
      <c r="A1330" s="2" t="s">
        <v>4255</v>
      </c>
      <c r="B1330" s="3" t="str">
        <f>IFERROR(__xludf.DUMMYFUNCTION("GOOGLETRANSLATE(A1330, ""ar"", ""bn"")"),"কোঅর্দ ব্যক্তি")</f>
        <v>কোঅর্দ ব্যক্তি</v>
      </c>
    </row>
    <row r="1331">
      <c r="A1331" s="2" t="s">
        <v>4256</v>
      </c>
      <c r="B1331" s="3" t="str">
        <f>IFERROR(__xludf.DUMMYFUNCTION("GOOGLETRANSLATE(A1331, ""ar"", ""bn"")"),"ভীরু অকপটে")</f>
        <v>ভীরু অকপটে</v>
      </c>
    </row>
    <row r="1332">
      <c r="A1332" s="2" t="s">
        <v>4257</v>
      </c>
      <c r="B1332" s="3" t="str">
        <f>IFERROR(__xludf.DUMMYFUNCTION("GOOGLETRANSLATE(A1332, ""ar"", ""bn"")"),"craves")</f>
        <v>craves</v>
      </c>
    </row>
    <row r="1333">
      <c r="A1333" s="2" t="s">
        <v>4258</v>
      </c>
      <c r="B1333" s="3" t="str">
        <f>IFERROR(__xludf.DUMMYFUNCTION("GOOGLETRANSLATE(A1333, ""ar"", ""bn"")"),"হামাগুড়ি দিয়া")</f>
        <v>হামাগুড়ি দিয়া</v>
      </c>
    </row>
    <row r="1334">
      <c r="A1334" s="2" t="s">
        <v>4259</v>
      </c>
      <c r="B1334" s="3" t="str">
        <f>IFERROR(__xludf.DUMMYFUNCTION("GOOGLETRANSLATE(A1334, ""ar"", ""bn"")"),"আমি ক্রল")</f>
        <v>আমি ক্রল</v>
      </c>
    </row>
    <row r="1335">
      <c r="A1335" s="2" t="s">
        <v>4260</v>
      </c>
      <c r="B1335" s="3" t="str">
        <f>IFERROR(__xludf.DUMMYFUNCTION("GOOGLETRANSLATE(A1335, ""ar"", ""bn"")"),"লতানে")</f>
        <v>লতানে</v>
      </c>
    </row>
    <row r="1336">
      <c r="A1336" s="2" t="s">
        <v>4261</v>
      </c>
      <c r="B1336" s="3" t="str">
        <f>IFERROR(__xludf.DUMMYFUNCTION("GOOGLETRANSLATE(A1336, ""ar"", ""bn"")"),"সরীসৃপ")</f>
        <v>সরীসৃপ</v>
      </c>
    </row>
    <row r="1337">
      <c r="A1337" s="2" t="s">
        <v>4258</v>
      </c>
      <c r="B1337" s="3" t="str">
        <f>IFERROR(__xludf.DUMMYFUNCTION("GOOGLETRANSLATE(A1337, ""ar"", ""bn"")"),"হামাগুড়ি দিয়া")</f>
        <v>হামাগুড়ি দিয়া</v>
      </c>
    </row>
    <row r="1338">
      <c r="A1338" s="2" t="s">
        <v>4262</v>
      </c>
      <c r="B1338" s="3" t="str">
        <f>IFERROR(__xludf.DUMMYFUNCTION("GOOGLETRANSLATE(A1338, ""ar"", ""bn"")"),"লিঙ্ক অনুসরণ")</f>
        <v>লিঙ্ক অনুসরণ</v>
      </c>
    </row>
    <row r="1339">
      <c r="A1339" s="2" t="s">
        <v>4263</v>
      </c>
      <c r="B1339" s="3" t="str">
        <f>IFERROR(__xludf.DUMMYFUNCTION("GOOGLETRANSLATE(A1339, ""ar"", ""bn"")"),"বাতুলতা")</f>
        <v>বাতুলতা</v>
      </c>
    </row>
    <row r="1340">
      <c r="A1340" s="2" t="s">
        <v>4264</v>
      </c>
      <c r="B1340" s="3" t="str">
        <f>IFERROR(__xludf.DUMMYFUNCTION("GOOGLETRANSLATE(A1340, ""ar"", ""bn"")"),"মাথা-পাগলা")</f>
        <v>মাথা-পাগলা</v>
      </c>
    </row>
    <row r="1341">
      <c r="A1341" s="2" t="s">
        <v>4265</v>
      </c>
      <c r="B1341" s="3" t="str">
        <f>IFERROR(__xludf.DUMMYFUNCTION("GOOGLETRANSLATE(A1341, ""ar"", ""bn"")"),"Crazes")</f>
        <v>Crazes</v>
      </c>
    </row>
    <row r="1342">
      <c r="A1342" s="2" t="s">
        <v>4266</v>
      </c>
      <c r="B1342" s="3" t="str">
        <f>IFERROR(__xludf.DUMMYFUNCTION("GOOGLETRANSLATE(A1342, ""ar"", ""bn"")"),"craziest")</f>
        <v>craziest</v>
      </c>
    </row>
    <row r="1343">
      <c r="A1343" s="2" t="s">
        <v>4266</v>
      </c>
      <c r="B1343" s="3" t="str">
        <f>IFERROR(__xludf.DUMMYFUNCTION("GOOGLETRANSLATE(A1343, ""ar"", ""bn"")"),"craziest")</f>
        <v>craziest</v>
      </c>
    </row>
    <row r="1344">
      <c r="A1344" s="2" t="s">
        <v>4267</v>
      </c>
      <c r="B1344" s="3" t="str">
        <f>IFERROR(__xludf.DUMMYFUNCTION("GOOGLETRANSLATE(A1344, ""ar"", ""bn"")"),"উন্মাদ")</f>
        <v>উন্মাদ</v>
      </c>
    </row>
    <row r="1345">
      <c r="A1345" s="2" t="s">
        <v>4263</v>
      </c>
      <c r="B1345" s="3" t="str">
        <f>IFERROR(__xludf.DUMMYFUNCTION("GOOGLETRANSLATE(A1345, ""ar"", ""bn"")"),"বাতুলতা")</f>
        <v>বাতুলতা</v>
      </c>
    </row>
    <row r="1346">
      <c r="A1346" s="2" t="s">
        <v>4268</v>
      </c>
      <c r="B1346" s="3" t="str">
        <f>IFERROR(__xludf.DUMMYFUNCTION("GOOGLETRANSLATE(A1346, ""ar"", ""bn"")"),"পাগল")</f>
        <v>পাগল</v>
      </c>
    </row>
    <row r="1347">
      <c r="A1347" s="2" t="s">
        <v>4263</v>
      </c>
      <c r="B1347" s="3" t="str">
        <f>IFERROR(__xludf.DUMMYFUNCTION("GOOGLETRANSLATE(A1347, ""ar"", ""bn"")"),"বাতুলতা")</f>
        <v>বাতুলতা</v>
      </c>
    </row>
    <row r="1348">
      <c r="A1348" s="2" t="s">
        <v>4264</v>
      </c>
      <c r="B1348" s="3" t="str">
        <f>IFERROR(__xludf.DUMMYFUNCTION("GOOGLETRANSLATE(A1348, ""ar"", ""bn"")"),"মাথা-পাগলা")</f>
        <v>মাথা-পাগলা</v>
      </c>
    </row>
    <row r="1349">
      <c r="A1349" s="2" t="s">
        <v>4265</v>
      </c>
      <c r="B1349" s="3" t="str">
        <f>IFERROR(__xludf.DUMMYFUNCTION("GOOGLETRANSLATE(A1349, ""ar"", ""bn"")"),"Crazes")</f>
        <v>Crazes</v>
      </c>
    </row>
    <row r="1350">
      <c r="A1350" s="2" t="s">
        <v>4263</v>
      </c>
      <c r="B1350" s="3" t="str">
        <f>IFERROR(__xludf.DUMMYFUNCTION("GOOGLETRANSLATE(A1350, ""ar"", ""bn"")"),"বাতুলতা")</f>
        <v>বাতুলতা</v>
      </c>
    </row>
    <row r="1351">
      <c r="A1351" s="2" t="s">
        <v>4268</v>
      </c>
      <c r="B1351" s="3" t="str">
        <f>IFERROR(__xludf.DUMMYFUNCTION("GOOGLETRANSLATE(A1351, ""ar"", ""bn"")"),"পাগল")</f>
        <v>পাগল</v>
      </c>
    </row>
    <row r="1352">
      <c r="A1352" s="2" t="s">
        <v>4269</v>
      </c>
      <c r="B1352" s="3" t="str">
        <f>IFERROR(__xludf.DUMMYFUNCTION("GOOGLETRANSLATE(A1352, ""ar"", ""bn"")"),"সাদাসিধা")</f>
        <v>সাদাসিধা</v>
      </c>
    </row>
    <row r="1353">
      <c r="A1353" s="2" t="s">
        <v>4270</v>
      </c>
      <c r="B1353" s="3" t="str">
        <f>IFERROR(__xludf.DUMMYFUNCTION("GOOGLETRANSLATE(A1353, ""ar"", ""bn"")"),"জ্বালাতন")</f>
        <v>জ্বালাতন</v>
      </c>
    </row>
    <row r="1354">
      <c r="A1354" s="2" t="s">
        <v>4271</v>
      </c>
      <c r="B1354" s="3" t="str">
        <f>IFERROR(__xludf.DUMMYFUNCTION("GOOGLETRANSLATE(A1354, ""ar"", ""bn"")"),"চিৎকার")</f>
        <v>চিৎকার</v>
      </c>
    </row>
    <row r="1355">
      <c r="A1355" s="2" t="s">
        <v>4272</v>
      </c>
      <c r="B1355" s="3" t="str">
        <f>IFERROR(__xludf.DUMMYFUNCTION("GOOGLETRANSLATE(A1355, ""ar"", ""bn"")"),"একটি অপরাধ")</f>
        <v>একটি অপরাধ</v>
      </c>
    </row>
    <row r="1356">
      <c r="A1356" s="2" t="s">
        <v>4273</v>
      </c>
      <c r="B1356" s="3" t="str">
        <f>IFERROR(__xludf.DUMMYFUNCTION("GOOGLETRANSLATE(A1356, ""ar"", ""bn"")"),"ক্রাইমিয়া")</f>
        <v>ক্রাইমিয়া</v>
      </c>
    </row>
    <row r="1357">
      <c r="A1357" s="2" t="s">
        <v>4274</v>
      </c>
      <c r="B1357" s="3" t="str">
        <f>IFERROR(__xludf.DUMMYFUNCTION("GOOGLETRANSLATE(A1357, ""ar"", ""bn"")"),"অপরাধের")</f>
        <v>অপরাধের</v>
      </c>
    </row>
    <row r="1358">
      <c r="A1358" s="2" t="s">
        <v>4275</v>
      </c>
      <c r="B1358" s="3" t="str">
        <f>IFERROR(__xludf.DUMMYFUNCTION("GOOGLETRANSLATE(A1358, ""ar"", ""bn"")"),"অপরাধী")</f>
        <v>অপরাধী</v>
      </c>
    </row>
    <row r="1359">
      <c r="A1359" s="2" t="s">
        <v>4276</v>
      </c>
      <c r="B1359" s="3" t="str">
        <f>IFERROR(__xludf.DUMMYFUNCTION("GOOGLETRANSLATE(A1359, ""ar"", ""bn"")"),"দুর্বৃত্তায়ন")</f>
        <v>দুর্বৃত্তায়ন</v>
      </c>
    </row>
    <row r="1360">
      <c r="A1360" s="2" t="s">
        <v>4276</v>
      </c>
      <c r="B1360" s="3" t="str">
        <f>IFERROR(__xludf.DUMMYFUNCTION("GOOGLETRANSLATE(A1360, ""ar"", ""bn"")"),"দুর্বৃত্তায়ন")</f>
        <v>দুর্বৃত্তায়ন</v>
      </c>
    </row>
    <row r="1361">
      <c r="A1361" s="2" t="s">
        <v>4276</v>
      </c>
      <c r="B1361" s="3" t="str">
        <f>IFERROR(__xludf.DUMMYFUNCTION("GOOGLETRANSLATE(A1361, ""ar"", ""bn"")"),"দুর্বৃত্তায়ন")</f>
        <v>দুর্বৃত্তায়ন</v>
      </c>
    </row>
    <row r="1362">
      <c r="A1362" s="2" t="s">
        <v>4277</v>
      </c>
      <c r="B1362" s="3" t="str">
        <f>IFERROR(__xludf.DUMMYFUNCTION("GOOGLETRANSLATE(A1362, ""ar"", ""bn"")"),"Criminalizes")</f>
        <v>Criminalizes</v>
      </c>
    </row>
    <row r="1363">
      <c r="A1363" s="2" t="s">
        <v>4272</v>
      </c>
      <c r="B1363" s="3" t="str">
        <f>IFERROR(__xludf.DUMMYFUNCTION("GOOGLETRANSLATE(A1363, ""ar"", ""bn"")"),"একটি অপরাধ")</f>
        <v>একটি অপরাধ</v>
      </c>
    </row>
    <row r="1364">
      <c r="A1364" s="2" t="s">
        <v>4278</v>
      </c>
      <c r="B1364" s="3" t="str">
        <f>IFERROR(__xludf.DUMMYFUNCTION("GOOGLETRANSLATE(A1364, ""ar"", ""bn"")"),"অপরাধভাবে")</f>
        <v>অপরাধভাবে</v>
      </c>
    </row>
    <row r="1365">
      <c r="A1365" s="2" t="s">
        <v>946</v>
      </c>
      <c r="B1365" s="3" t="str">
        <f>IFERROR(__xludf.DUMMYFUNCTION("GOOGLETRANSLATE(A1365, ""ar"", ""bn"")"),"যুদ্ধাপরাধীদের")</f>
        <v>যুদ্ধাপরাধীদের</v>
      </c>
    </row>
    <row r="1366">
      <c r="A1366" s="2" t="s">
        <v>4279</v>
      </c>
      <c r="B1366" s="3" t="str">
        <f>IFERROR(__xludf.DUMMYFUNCTION("GOOGLETRANSLATE(A1366, ""ar"", ""bn"")"),"ধামা ধরা")</f>
        <v>ধামা ধরা</v>
      </c>
    </row>
    <row r="1367">
      <c r="A1367" s="2" t="s">
        <v>4280</v>
      </c>
      <c r="B1367" s="3" t="str">
        <f>IFERROR(__xludf.DUMMYFUNCTION("GOOGLETRANSLATE(A1367, ""ar"", ""bn"")"),"তোয়াজ")</f>
        <v>তোয়াজ</v>
      </c>
    </row>
    <row r="1368">
      <c r="A1368" s="2" t="s">
        <v>4281</v>
      </c>
      <c r="B1368" s="3" t="str">
        <f>IFERROR(__xludf.DUMMYFUNCTION("GOOGLETRANSLATE(A1368, ""ar"", ""bn"")"),"ঘৃনা করেন")</f>
        <v>ঘৃনা করেন</v>
      </c>
    </row>
    <row r="1369">
      <c r="A1369" s="2" t="s">
        <v>4282</v>
      </c>
      <c r="B1369" s="3" t="str">
        <f>IFERROR(__xludf.DUMMYFUNCTION("GOOGLETRANSLATE(A1369, ""ar"", ""bn"")"),"পক্ষাঘাতগ্রস্ত করা")</f>
        <v>পক্ষাঘাতগ্রস্ত করা</v>
      </c>
    </row>
    <row r="1370">
      <c r="A1370" s="2" t="s">
        <v>4283</v>
      </c>
      <c r="B1370" s="3" t="str">
        <f>IFERROR(__xludf.DUMMYFUNCTION("GOOGLETRANSLATE(A1370, ""ar"", ""bn"")"),"পঙ্গু")</f>
        <v>পঙ্গু</v>
      </c>
    </row>
    <row r="1371">
      <c r="A1371" s="2" t="s">
        <v>4284</v>
      </c>
      <c r="B1371" s="3" t="str">
        <f>IFERROR(__xludf.DUMMYFUNCTION("GOOGLETRANSLATE(A1371, ""ar"", ""bn"")"),"অচল")</f>
        <v>অচল</v>
      </c>
    </row>
    <row r="1372">
      <c r="A1372" s="2" t="s">
        <v>4285</v>
      </c>
      <c r="B1372" s="3" t="str">
        <f>IFERROR(__xludf.DUMMYFUNCTION("GOOGLETRANSLATE(A1372, ""ar"", ""bn"")"),"সঙ্কট")</f>
        <v>সঙ্কট</v>
      </c>
    </row>
    <row r="1373">
      <c r="A1373" s="2" t="s">
        <v>4286</v>
      </c>
      <c r="B1373" s="3" t="str">
        <f>IFERROR(__xludf.DUMMYFUNCTION("GOOGLETRANSLATE(A1373, ""ar"", ""bn"")"),"সমালোচক")</f>
        <v>সমালোচক</v>
      </c>
    </row>
    <row r="1374">
      <c r="A1374" s="2" t="s">
        <v>3474</v>
      </c>
      <c r="B1374" s="3" t="str">
        <f>IFERROR(__xludf.DUMMYFUNCTION("GOOGLETRANSLATE(A1374, ""ar"", ""bn"")"),"সংকটপূর্ণ")</f>
        <v>সংকটপূর্ণ</v>
      </c>
    </row>
    <row r="1375">
      <c r="A1375" s="2" t="s">
        <v>4287</v>
      </c>
      <c r="B1375" s="3" t="str">
        <f>IFERROR(__xludf.DUMMYFUNCTION("GOOGLETRANSLATE(A1375, ""ar"", ""bn"")"),"গুরুতর")</f>
        <v>গুরুতর</v>
      </c>
    </row>
    <row r="1376">
      <c r="A1376" s="2" t="s">
        <v>4288</v>
      </c>
      <c r="B1376" s="3" t="str">
        <f>IFERROR(__xludf.DUMMYFUNCTION("GOOGLETRANSLATE(A1376, ""ar"", ""bn"")"),"নগদ")</f>
        <v>নগদ</v>
      </c>
    </row>
    <row r="1377">
      <c r="A1377" s="2" t="s">
        <v>3965</v>
      </c>
      <c r="B1377" s="3" t="str">
        <f>IFERROR(__xludf.DUMMYFUNCTION("GOOGLETRANSLATE(A1377, ""ar"", ""bn"")"),"সমালোচনা করা")</f>
        <v>সমালোচনা করা</v>
      </c>
    </row>
    <row r="1378">
      <c r="A1378" s="2" t="s">
        <v>4289</v>
      </c>
      <c r="B1378" s="3" t="str">
        <f>IFERROR(__xludf.DUMMYFUNCTION("GOOGLETRANSLATE(A1378, ""ar"", ""bn"")"),"সমালোচনা করা")</f>
        <v>সমালোচনা করা</v>
      </c>
    </row>
    <row r="1379">
      <c r="A1379" s="2" t="s">
        <v>4290</v>
      </c>
      <c r="B1379" s="3" t="str">
        <f>IFERROR(__xludf.DUMMYFUNCTION("GOOGLETRANSLATE(A1379, ""ar"", ""bn"")"),"সমালোচনা")</f>
        <v>সমালোচনা</v>
      </c>
    </row>
    <row r="1380">
      <c r="A1380" s="2" t="s">
        <v>4288</v>
      </c>
      <c r="B1380" s="3" t="str">
        <f>IFERROR(__xludf.DUMMYFUNCTION("GOOGLETRANSLATE(A1380, ""ar"", ""bn"")"),"নগদ")</f>
        <v>নগদ</v>
      </c>
    </row>
    <row r="1381">
      <c r="A1381" s="2" t="s">
        <v>4291</v>
      </c>
      <c r="B1381" s="3" t="str">
        <f>IFERROR(__xludf.DUMMYFUNCTION("GOOGLETRANSLATE(A1381, ""ar"", ""bn"")"),"সমালোচনা")</f>
        <v>সমালোচনা</v>
      </c>
    </row>
    <row r="1382">
      <c r="A1382" s="2" t="s">
        <v>4292</v>
      </c>
      <c r="B1382" s="3" t="str">
        <f>IFERROR(__xludf.DUMMYFUNCTION("GOOGLETRANSLATE(A1382, ""ar"", ""bn"")"),"সমালোচকরা")</f>
        <v>সমালোচকরা</v>
      </c>
    </row>
    <row r="1383">
      <c r="A1383" s="2" t="s">
        <v>3474</v>
      </c>
      <c r="B1383" s="3" t="str">
        <f>IFERROR(__xludf.DUMMYFUNCTION("GOOGLETRANSLATE(A1383, ""ar"", ""bn"")"),"সংকটপূর্ণ")</f>
        <v>সংকটপূর্ণ</v>
      </c>
    </row>
    <row r="1384">
      <c r="A1384" s="2" t="s">
        <v>4287</v>
      </c>
      <c r="B1384" s="3" t="str">
        <f>IFERROR(__xludf.DUMMYFUNCTION("GOOGLETRANSLATE(A1384, ""ar"", ""bn"")"),"গুরুতর")</f>
        <v>গুরুতর</v>
      </c>
    </row>
    <row r="1385">
      <c r="A1385" s="2" t="s">
        <v>4288</v>
      </c>
      <c r="B1385" s="3" t="str">
        <f>IFERROR(__xludf.DUMMYFUNCTION("GOOGLETRANSLATE(A1385, ""ar"", ""bn"")"),"নগদ")</f>
        <v>নগদ</v>
      </c>
    </row>
    <row r="1386">
      <c r="A1386" s="2" t="s">
        <v>3965</v>
      </c>
      <c r="B1386" s="3" t="str">
        <f>IFERROR(__xludf.DUMMYFUNCTION("GOOGLETRANSLATE(A1386, ""ar"", ""bn"")"),"সমালোচনা করা")</f>
        <v>সমালোচনা করা</v>
      </c>
    </row>
    <row r="1387">
      <c r="A1387" s="2" t="s">
        <v>4289</v>
      </c>
      <c r="B1387" s="3" t="str">
        <f>IFERROR(__xludf.DUMMYFUNCTION("GOOGLETRANSLATE(A1387, ""ar"", ""bn"")"),"সমালোচনা করা")</f>
        <v>সমালোচনা করা</v>
      </c>
    </row>
    <row r="1388">
      <c r="A1388" s="2" t="s">
        <v>4290</v>
      </c>
      <c r="B1388" s="3" t="str">
        <f>IFERROR(__xludf.DUMMYFUNCTION("GOOGLETRANSLATE(A1388, ""ar"", ""bn"")"),"সমালোচনা")</f>
        <v>সমালোচনা</v>
      </c>
    </row>
    <row r="1389">
      <c r="A1389" s="2" t="s">
        <v>4288</v>
      </c>
      <c r="B1389" s="3" t="str">
        <f>IFERROR(__xludf.DUMMYFUNCTION("GOOGLETRANSLATE(A1389, ""ar"", ""bn"")"),"নগদ")</f>
        <v>নগদ</v>
      </c>
    </row>
    <row r="1390">
      <c r="A1390" s="2" t="s">
        <v>4291</v>
      </c>
      <c r="B1390" s="3" t="str">
        <f>IFERROR(__xludf.DUMMYFUNCTION("GOOGLETRANSLATE(A1390, ""ar"", ""bn"")"),"সমালোচনা")</f>
        <v>সমালোচনা</v>
      </c>
    </row>
    <row r="1391">
      <c r="A1391" s="2" t="s">
        <v>4293</v>
      </c>
      <c r="B1391" s="3" t="str">
        <f>IFERROR(__xludf.DUMMYFUNCTION("GOOGLETRANSLATE(A1391, ""ar"", ""bn"")"),"অসন্তোষ প্রকাশ করা")</f>
        <v>অসন্তোষ প্রকাশ করা</v>
      </c>
    </row>
    <row r="1392">
      <c r="A1392" s="2" t="s">
        <v>4294</v>
      </c>
      <c r="B1392" s="3" t="str">
        <f>IFERROR(__xludf.DUMMYFUNCTION("GOOGLETRANSLATE(A1392, ""ar"", ""bn"")"),"Croaked")</f>
        <v>Croaked</v>
      </c>
    </row>
    <row r="1393">
      <c r="A1393" s="2" t="s">
        <v>4295</v>
      </c>
      <c r="B1393" s="3" t="str">
        <f>IFERROR(__xludf.DUMMYFUNCTION("GOOGLETRANSLATE(A1393, ""ar"", ""bn"")"),"আগুনে জ্বলছে")</f>
        <v>আগুনে জ্বলছে</v>
      </c>
    </row>
    <row r="1394">
      <c r="A1394" s="2" t="s">
        <v>4296</v>
      </c>
      <c r="B1394" s="3" t="str">
        <f>IFERROR(__xludf.DUMMYFUNCTION("GOOGLETRANSLATE(A1394, ""ar"", ""bn"")"),"Caws")</f>
        <v>Caws</v>
      </c>
    </row>
    <row r="1395">
      <c r="A1395" s="2" t="s">
        <v>4297</v>
      </c>
      <c r="B1395" s="3" t="str">
        <f>IFERROR(__xludf.DUMMYFUNCTION("GOOGLETRANSLATE(A1395, ""ar"", ""bn"")"),"বাঁক")</f>
        <v>বাঁক</v>
      </c>
    </row>
    <row r="1396">
      <c r="A1396" s="2" t="s">
        <v>4298</v>
      </c>
      <c r="B1396" s="3" t="str">
        <f>IFERROR(__xludf.DUMMYFUNCTION("GOOGLETRANSLATE(A1396, ""ar"", ""bn"")"),"কুটিল")</f>
        <v>কুটিল</v>
      </c>
    </row>
    <row r="1397">
      <c r="A1397" s="2" t="s">
        <v>4299</v>
      </c>
      <c r="B1397" s="3" t="str">
        <f>IFERROR(__xludf.DUMMYFUNCTION("GOOGLETRANSLATE(A1397, ""ar"", ""bn"")"),"Crockeddle")</f>
        <v>Crockeddle</v>
      </c>
    </row>
    <row r="1398">
      <c r="A1398" s="2" t="s">
        <v>4300</v>
      </c>
      <c r="B1398" s="3" t="str">
        <f>IFERROR(__xludf.DUMMYFUNCTION("GOOGLETRANSLATE(A1398, ""ar"", ""bn"")"),"ওগ")</f>
        <v>ওগ</v>
      </c>
    </row>
    <row r="1399">
      <c r="A1399" s="2" t="s">
        <v>4301</v>
      </c>
      <c r="B1399" s="3" t="str">
        <f>IFERROR(__xludf.DUMMYFUNCTION("GOOGLETRANSLATE(A1399, ""ar"", ""bn"")"),"কথা বলবেন সে ধোঁকাবাজ")</f>
        <v>কথা বলবেন সে ধোঁকাবাজ</v>
      </c>
    </row>
    <row r="1400">
      <c r="A1400" s="2" t="s">
        <v>4298</v>
      </c>
      <c r="B1400" s="3" t="str">
        <f>IFERROR(__xludf.DUMMYFUNCTION("GOOGLETRANSLATE(A1400, ""ar"", ""bn"")"),"কুটিল")</f>
        <v>কুটিল</v>
      </c>
    </row>
    <row r="1401">
      <c r="A1401" s="2" t="s">
        <v>4299</v>
      </c>
      <c r="B1401" s="3" t="str">
        <f>IFERROR(__xludf.DUMMYFUNCTION("GOOGLETRANSLATE(A1401, ""ar"", ""bn"")"),"Crockeddle")</f>
        <v>Crockeddle</v>
      </c>
    </row>
    <row r="1402">
      <c r="A1402" s="2" t="s">
        <v>4300</v>
      </c>
      <c r="B1402" s="3" t="str">
        <f>IFERROR(__xludf.DUMMYFUNCTION("GOOGLETRANSLATE(A1402, ""ar"", ""bn"")"),"ওগ")</f>
        <v>ওগ</v>
      </c>
    </row>
    <row r="1403">
      <c r="A1403" s="2" t="s">
        <v>4302</v>
      </c>
      <c r="B1403" s="3" t="str">
        <f>IFERROR(__xludf.DUMMYFUNCTION("GOOGLETRANSLATE(A1403, ""ar"", ""bn"")"),"মাধ্যম")</f>
        <v>মাধ্যম</v>
      </c>
    </row>
    <row r="1404">
      <c r="A1404" s="2" t="s">
        <v>4303</v>
      </c>
      <c r="B1404" s="3" t="str">
        <f>IFERROR(__xludf.DUMMYFUNCTION("GOOGLETRANSLATE(A1404, ""ar"", ""bn"")"),"ক্রস-পিষ্টক")</f>
        <v>ক্রস-পিষ্টক</v>
      </c>
    </row>
    <row r="1405">
      <c r="A1405" s="2" t="s">
        <v>4304</v>
      </c>
      <c r="B1405" s="3" t="str">
        <f>IFERROR(__xludf.DUMMYFUNCTION("GOOGLETRANSLATE(A1405, ""ar"", ""bn"")"),"বার")</f>
        <v>বার</v>
      </c>
    </row>
    <row r="1406">
      <c r="A1406" s="2" t="s">
        <v>4305</v>
      </c>
      <c r="B1406" s="3" t="str">
        <f>IFERROR(__xludf.DUMMYFUNCTION("GOOGLETRANSLATE(A1406, ""ar"", ""bn"")"),"Crossbars")</f>
        <v>Crossbars</v>
      </c>
    </row>
    <row r="1407">
      <c r="A1407" s="2" t="s">
        <v>4306</v>
      </c>
      <c r="B1407" s="3" t="str">
        <f>IFERROR(__xludf.DUMMYFUNCTION("GOOGLETRANSLATE(A1407, ""ar"", ""bn"")"),"Crossbones")</f>
        <v>Crossbones</v>
      </c>
    </row>
    <row r="1408">
      <c r="A1408" s="2" t="s">
        <v>4307</v>
      </c>
      <c r="B1408" s="3" t="str">
        <f>IFERROR(__xludf.DUMMYFUNCTION("GOOGLETRANSLATE(A1408, ""ar"", ""bn"")"),"ক্রুস")</f>
        <v>ক্রুস</v>
      </c>
    </row>
    <row r="1409">
      <c r="A1409" s="2" t="s">
        <v>4308</v>
      </c>
      <c r="B1409" s="3" t="str">
        <f>IFERROR(__xludf.DUMMYFUNCTION("GOOGLETRANSLATE(A1409, ""ar"", ""bn"")"),"ক্রুস")</f>
        <v>ক্রুস</v>
      </c>
    </row>
    <row r="1410">
      <c r="A1410" s="2" t="s">
        <v>4309</v>
      </c>
      <c r="B1410" s="3" t="str">
        <f>IFERROR(__xludf.DUMMYFUNCTION("GOOGLETRANSLATE(A1410, ""ar"", ""bn"")"),"অকুলীন")</f>
        <v>অকুলীন</v>
      </c>
    </row>
    <row r="1411">
      <c r="A1411" s="2" t="s">
        <v>4310</v>
      </c>
      <c r="B1411" s="3" t="str">
        <f>IFERROR(__xludf.DUMMYFUNCTION("GOOGLETRANSLATE(A1411, ""ar"", ""bn"")"),"বিভিন্ন উপায়ের দ্বারা হিসাবের শুদ্ধতাপরীক্ষা")</f>
        <v>বিভিন্ন উপায়ের দ্বারা হিসাবের শুদ্ধতাপরীক্ষা</v>
      </c>
    </row>
    <row r="1412">
      <c r="A1412" s="2" t="s">
        <v>4311</v>
      </c>
      <c r="B1412" s="3" t="str">
        <f>IFERROR(__xludf.DUMMYFUNCTION("GOOGLETRANSLATE(A1412, ""ar"", ""bn"")"),"আমি পূরণ")</f>
        <v>আমি পূরণ</v>
      </c>
    </row>
    <row r="1413">
      <c r="A1413" s="2" t="s">
        <v>4312</v>
      </c>
      <c r="B1413" s="3" t="str">
        <f>IFERROR(__xludf.DUMMYFUNCTION("GOOGLETRANSLATE(A1413, ""ar"", ""bn"")"),"উদ্ধৃতি পরীক্ষণ")</f>
        <v>উদ্ধৃতি পরীক্ষণ</v>
      </c>
    </row>
    <row r="1414">
      <c r="A1414" s="2" t="s">
        <v>4313</v>
      </c>
      <c r="B1414" s="3" t="str">
        <f>IFERROR(__xludf.DUMMYFUNCTION("GOOGLETRANSLATE(A1414, ""ar"", ""bn"")"),"এবং তথ্য ছেদ")</f>
        <v>এবং তথ্য ছেদ</v>
      </c>
    </row>
    <row r="1415">
      <c r="A1415" s="2" t="s">
        <v>4314</v>
      </c>
      <c r="B1415" s="3" t="str">
        <f>IFERROR(__xludf.DUMMYFUNCTION("GOOGLETRANSLATE(A1415, ""ar"", ""bn"")"),"Croscontra")</f>
        <v>Croscontra</v>
      </c>
    </row>
    <row r="1416">
      <c r="A1416" s="2" t="s">
        <v>4315</v>
      </c>
      <c r="B1416" s="3" t="str">
        <f>IFERROR(__xludf.DUMMYFUNCTION("GOOGLETRANSLATE(A1416, ""ar"", ""bn"")"),"অতিক্রান্ত")</f>
        <v>অতিক্রান্ত</v>
      </c>
    </row>
    <row r="1417">
      <c r="A1417" s="2" t="s">
        <v>4316</v>
      </c>
      <c r="B1417" s="3" t="str">
        <f>IFERROR(__xludf.DUMMYFUNCTION("GOOGLETRANSLATE(A1417, ""ar"", ""bn"")"),"নব")</f>
        <v>নব</v>
      </c>
    </row>
    <row r="1418">
      <c r="A1418" s="2" t="s">
        <v>4317</v>
      </c>
      <c r="B1418" s="3" t="str">
        <f>IFERROR(__xludf.DUMMYFUNCTION("GOOGLETRANSLATE(A1418, ""ar"", ""bn"")"),"ক্রস")</f>
        <v>ক্রস</v>
      </c>
    </row>
    <row r="1419">
      <c r="A1419" s="2" t="s">
        <v>4318</v>
      </c>
      <c r="B1419" s="3" t="str">
        <f>IFERROR(__xludf.DUMMYFUNCTION("GOOGLETRANSLATE(A1419, ""ar"", ""bn"")"),"গোলাগুলিবিনিময়")</f>
        <v>গোলাগুলিবিনিময়</v>
      </c>
    </row>
    <row r="1420">
      <c r="A1420" s="2" t="s">
        <v>4319</v>
      </c>
      <c r="B1420" s="3" t="str">
        <f>IFERROR(__xludf.DUMMYFUNCTION("GOOGLETRANSLATE(A1420, ""ar"", ""bn"")"),"উত্তরণ")</f>
        <v>উত্তরণ</v>
      </c>
    </row>
    <row r="1421">
      <c r="A1421" s="2" t="s">
        <v>4320</v>
      </c>
      <c r="B1421" s="3" t="str">
        <f>IFERROR(__xludf.DUMMYFUNCTION("GOOGLETRANSLATE(A1421, ""ar"", ""bn"")"),"পারাপার")</f>
        <v>পারাপার</v>
      </c>
    </row>
    <row r="1422">
      <c r="A1422" s="2" t="s">
        <v>4321</v>
      </c>
      <c r="B1422" s="3" t="str">
        <f>IFERROR(__xludf.DUMMYFUNCTION("GOOGLETRANSLATE(A1422, ""ar"", ""bn"")"),"ভাঁড়ামি")</f>
        <v>ভাঁড়ামি</v>
      </c>
    </row>
    <row r="1423">
      <c r="A1423" s="2" t="s">
        <v>4322</v>
      </c>
      <c r="B1423" s="3" t="str">
        <f>IFERROR(__xludf.DUMMYFUNCTION("GOOGLETRANSLATE(A1423, ""ar"", ""bn"")"),"ক্রস")</f>
        <v>ক্রস</v>
      </c>
    </row>
    <row r="1424">
      <c r="A1424" s="2" t="s">
        <v>4323</v>
      </c>
      <c r="B1424" s="3" t="str">
        <f>IFERROR(__xludf.DUMMYFUNCTION("GOOGLETRANSLATE(A1424, ""ar"", ""bn"")"),"স্থানান্তর")</f>
        <v>স্থানান্তর</v>
      </c>
    </row>
    <row r="1425">
      <c r="A1425" s="2" t="s">
        <v>4324</v>
      </c>
      <c r="B1425" s="3" t="str">
        <f>IFERROR(__xludf.DUMMYFUNCTION("GOOGLETRANSLATE(A1425, ""ar"", ""bn"")"),"নিয়োগ")</f>
        <v>নিয়োগ</v>
      </c>
    </row>
    <row r="1426">
      <c r="A1426" s="2" t="s">
        <v>4325</v>
      </c>
      <c r="B1426" s="3" t="str">
        <f>IFERROR(__xludf.DUMMYFUNCTION("GOOGLETRANSLATE(A1426, ""ar"", ""bn"")"),"রাস্তা পারাপার")</f>
        <v>রাস্তা পারাপার</v>
      </c>
    </row>
    <row r="1427">
      <c r="A1427" s="2" t="s">
        <v>4326</v>
      </c>
      <c r="B1427" s="3" t="str">
        <f>IFERROR(__xludf.DUMMYFUNCTION("GOOGLETRANSLATE(A1427, ""ar"", ""bn"")"),"সিটি")</f>
        <v>সিটি</v>
      </c>
    </row>
    <row r="1428">
      <c r="A1428" s="2" t="s">
        <v>4327</v>
      </c>
      <c r="B1428" s="3" t="str">
        <f>IFERROR(__xludf.DUMMYFUNCTION("GOOGLETRANSLATE(A1428, ""ar"", ""bn"")"),"Crosstalk")</f>
        <v>Crosstalk</v>
      </c>
    </row>
    <row r="1429">
      <c r="A1429" s="2" t="s">
        <v>4328</v>
      </c>
      <c r="B1429" s="3" t="str">
        <f>IFERROR(__xludf.DUMMYFUNCTION("GOOGLETRANSLATE(A1429, ""ar"", ""bn"")"),"রাস্তা পারাপার")</f>
        <v>রাস্তা পারাপার</v>
      </c>
    </row>
    <row r="1430">
      <c r="A1430" s="2" t="s">
        <v>4329</v>
      </c>
      <c r="B1430" s="3" t="str">
        <f>IFERROR(__xludf.DUMMYFUNCTION("GOOGLETRANSLATE(A1430, ""ar"", ""bn"")"),"ক্রস")</f>
        <v>ক্রস</v>
      </c>
    </row>
    <row r="1431">
      <c r="A1431" s="2" t="s">
        <v>4330</v>
      </c>
      <c r="B1431" s="3" t="str">
        <f>IFERROR(__xludf.DUMMYFUNCTION("GOOGLETRANSLATE(A1431, ""ar"", ""bn"")"),"Crosswinds")</f>
        <v>Crosswinds</v>
      </c>
    </row>
    <row r="1432">
      <c r="A1432" s="2" t="s">
        <v>4331</v>
      </c>
      <c r="B1432" s="3" t="str">
        <f>IFERROR(__xludf.DUMMYFUNCTION("GOOGLETRANSLATE(A1432, ""ar"", ""bn"")"),"শব্দের ধাঁধা")</f>
        <v>শব্দের ধাঁধা</v>
      </c>
    </row>
    <row r="1433">
      <c r="A1433" s="2" t="s">
        <v>4331</v>
      </c>
      <c r="B1433" s="3" t="str">
        <f>IFERROR(__xludf.DUMMYFUNCTION("GOOGLETRANSLATE(A1433, ""ar"", ""bn"")"),"শব্দের ধাঁধা")</f>
        <v>শব্দের ধাঁধা</v>
      </c>
    </row>
    <row r="1434">
      <c r="A1434" s="2" t="s">
        <v>4332</v>
      </c>
      <c r="B1434" s="3" t="str">
        <f>IFERROR(__xludf.DUMMYFUNCTION("GOOGLETRANSLATE(A1434, ""ar"", ""bn"")"),"কাঁচা")</f>
        <v>কাঁচা</v>
      </c>
    </row>
    <row r="1435">
      <c r="A1435" s="2" t="s">
        <v>4333</v>
      </c>
      <c r="B1435" s="3" t="str">
        <f>IFERROR(__xludf.DUMMYFUNCTION("GOOGLETRANSLATE(A1435, ""ar"", ""bn"")"),"Crudely")</f>
        <v>Crudely</v>
      </c>
    </row>
    <row r="1436">
      <c r="A1436" s="2" t="s">
        <v>4023</v>
      </c>
      <c r="B1436" s="3" t="str">
        <f>IFERROR(__xludf.DUMMYFUNCTION("GOOGLETRANSLATE(A1436, ""ar"", ""bn"")"),"বন্ধুরতা")</f>
        <v>বন্ধুরতা</v>
      </c>
    </row>
    <row r="1437">
      <c r="A1437" s="2" t="s">
        <v>4334</v>
      </c>
      <c r="B1437" s="3" t="str">
        <f>IFERROR(__xludf.DUMMYFUNCTION("GOOGLETRANSLATE(A1437, ""ar"", ""bn"")"),"Crudest")</f>
        <v>Crudest</v>
      </c>
    </row>
    <row r="1438">
      <c r="A1438" s="2" t="s">
        <v>4334</v>
      </c>
      <c r="B1438" s="3" t="str">
        <f>IFERROR(__xludf.DUMMYFUNCTION("GOOGLETRANSLATE(A1438, ""ar"", ""bn"")"),"Crudest")</f>
        <v>Crudest</v>
      </c>
    </row>
    <row r="1439">
      <c r="A1439" s="2" t="s">
        <v>4335</v>
      </c>
      <c r="B1439" s="3" t="str">
        <f>IFERROR(__xludf.DUMMYFUNCTION("GOOGLETRANSLATE(A1439, ""ar"", ""bn"")"),"কঠোর")</f>
        <v>কঠোর</v>
      </c>
    </row>
    <row r="1440">
      <c r="A1440" s="2" t="s">
        <v>3901</v>
      </c>
      <c r="B1440" s="3" t="str">
        <f>IFERROR(__xludf.DUMMYFUNCTION("GOOGLETRANSLATE(A1440, ""ar"", ""bn"")"),"কঠোরতা")</f>
        <v>কঠোরতা</v>
      </c>
    </row>
    <row r="1441">
      <c r="A1441" s="2" t="s">
        <v>4336</v>
      </c>
      <c r="B1441" s="3" t="str">
        <f>IFERROR(__xludf.DUMMYFUNCTION("GOOGLETRANSLATE(A1441, ""ar"", ""bn"")"),"কঠোর")</f>
        <v>কঠোর</v>
      </c>
    </row>
    <row r="1442">
      <c r="A1442" s="2" t="s">
        <v>3901</v>
      </c>
      <c r="B1442" s="3" t="str">
        <f>IFERROR(__xludf.DUMMYFUNCTION("GOOGLETRANSLATE(A1442, ""ar"", ""bn"")"),"কঠোরতা")</f>
        <v>কঠোরতা</v>
      </c>
    </row>
    <row r="1443">
      <c r="A1443" s="2" t="s">
        <v>4336</v>
      </c>
      <c r="B1443" s="3" t="str">
        <f>IFERROR(__xludf.DUMMYFUNCTION("GOOGLETRANSLATE(A1443, ""ar"", ""bn"")"),"কঠোর")</f>
        <v>কঠোর</v>
      </c>
    </row>
    <row r="1444">
      <c r="A1444" s="2" t="s">
        <v>3820</v>
      </c>
      <c r="B1444" s="3" t="str">
        <f>IFERROR(__xludf.DUMMYFUNCTION("GOOGLETRANSLATE(A1444, ""ar"", ""bn"")"),"নিষ্ঠুরভাবে")</f>
        <v>নিষ্ঠুরভাবে</v>
      </c>
    </row>
    <row r="1445">
      <c r="A1445" s="2" t="s">
        <v>4337</v>
      </c>
      <c r="B1445" s="3" t="str">
        <f>IFERROR(__xludf.DUMMYFUNCTION("GOOGLETRANSLATE(A1445, ""ar"", ""bn"")"),"নিষ্ঠুরতা")</f>
        <v>নিষ্ঠুরতা</v>
      </c>
    </row>
    <row r="1446">
      <c r="A1446" s="2" t="s">
        <v>4337</v>
      </c>
      <c r="B1446" s="3" t="str">
        <f>IFERROR(__xludf.DUMMYFUNCTION("GOOGLETRANSLATE(A1446, ""ar"", ""bn"")"),"নিষ্ঠুরতা")</f>
        <v>নিষ্ঠুরতা</v>
      </c>
    </row>
    <row r="1447">
      <c r="A1447" s="2" t="s">
        <v>3901</v>
      </c>
      <c r="B1447" s="3" t="str">
        <f>IFERROR(__xludf.DUMMYFUNCTION("GOOGLETRANSLATE(A1447, ""ar"", ""bn"")"),"কঠোরতা")</f>
        <v>কঠোরতা</v>
      </c>
    </row>
    <row r="1448">
      <c r="A1448" s="2" t="s">
        <v>4338</v>
      </c>
      <c r="B1448" s="3" t="str">
        <f>IFERROR(__xludf.DUMMYFUNCTION("GOOGLETRANSLATE(A1448, ""ar"", ""bn"")"),"টুকরা টুকরা করা")</f>
        <v>টুকরা টুকরা করা</v>
      </c>
    </row>
    <row r="1449">
      <c r="A1449" s="2" t="s">
        <v>4339</v>
      </c>
      <c r="B1449" s="3" t="str">
        <f>IFERROR(__xludf.DUMMYFUNCTION("GOOGLETRANSLATE(A1449, ""ar"", ""bn"")"),"crumbled")</f>
        <v>crumbled</v>
      </c>
    </row>
    <row r="1450">
      <c r="A1450" s="2" t="s">
        <v>4340</v>
      </c>
      <c r="B1450" s="3" t="str">
        <f>IFERROR(__xludf.DUMMYFUNCTION("GOOGLETRANSLATE(A1450, ""ar"", ""bn"")"),"crumbles")</f>
        <v>crumbles</v>
      </c>
    </row>
    <row r="1451">
      <c r="A1451" s="2" t="s">
        <v>4341</v>
      </c>
      <c r="B1451" s="3" t="str">
        <f>IFERROR(__xludf.DUMMYFUNCTION("GOOGLETRANSLATE(A1451, ""ar"", ""bn"")"),"ভাঁজ করা")</f>
        <v>ভাঁজ করা</v>
      </c>
    </row>
    <row r="1452">
      <c r="A1452" s="2" t="s">
        <v>4342</v>
      </c>
      <c r="B1452" s="3" t="str">
        <f>IFERROR(__xludf.DUMMYFUNCTION("GOOGLETRANSLATE(A1452, ""ar"", ""bn"")"),"স্কোয়াশ")</f>
        <v>স্কোয়াশ</v>
      </c>
    </row>
    <row r="1453">
      <c r="A1453" s="2" t="s">
        <v>4343</v>
      </c>
      <c r="B1453" s="3" t="str">
        <f>IFERROR(__xludf.DUMMYFUNCTION("GOOGLETRANSLATE(A1453, ""ar"", ""bn"")"),"Crumples")</f>
        <v>Crumples</v>
      </c>
    </row>
    <row r="1454">
      <c r="A1454" s="2" t="s">
        <v>4344</v>
      </c>
      <c r="B1454" s="3" t="str">
        <f>IFERROR(__xludf.DUMMYFUNCTION("GOOGLETRANSLATE(A1454, ""ar"", ""bn"")"),"পিষা")</f>
        <v>পিষা</v>
      </c>
    </row>
    <row r="1455">
      <c r="A1455" s="2" t="s">
        <v>4345</v>
      </c>
      <c r="B1455" s="3" t="str">
        <f>IFERROR(__xludf.DUMMYFUNCTION("GOOGLETRANSLATE(A1455, ""ar"", ""bn"")"),"ভর্তা করা")</f>
        <v>ভর্তা করা</v>
      </c>
    </row>
    <row r="1456">
      <c r="A1456" s="2" t="s">
        <v>4346</v>
      </c>
      <c r="B1456" s="3" t="str">
        <f>IFERROR(__xludf.DUMMYFUNCTION("GOOGLETRANSLATE(A1456, ""ar"", ""bn"")"),"পেষণকারী")</f>
        <v>পেষণকারী</v>
      </c>
    </row>
    <row r="1457">
      <c r="A1457" s="2" t="s">
        <v>4347</v>
      </c>
      <c r="B1457" s="3" t="str">
        <f>IFERROR(__xludf.DUMMYFUNCTION("GOOGLETRANSLATE(A1457, ""ar"", ""bn"")"),"crushers")</f>
        <v>crushers</v>
      </c>
    </row>
    <row r="1458">
      <c r="A1458" s="2" t="s">
        <v>4348</v>
      </c>
      <c r="B1458" s="3" t="str">
        <f>IFERROR(__xludf.DUMMYFUNCTION("GOOGLETRANSLATE(A1458, ""ar"", ""bn"")"),"চূর্ণ")</f>
        <v>চূর্ণ</v>
      </c>
    </row>
    <row r="1459">
      <c r="A1459" s="2" t="s">
        <v>4349</v>
      </c>
      <c r="B1459" s="3" t="str">
        <f>IFERROR(__xludf.DUMMYFUNCTION("GOOGLETRANSLATE(A1459, ""ar"", ""bn"")"),"নিষ্পেষণ")</f>
        <v>নিষ্পেষণ</v>
      </c>
    </row>
    <row r="1460">
      <c r="A1460" s="2" t="s">
        <v>4350</v>
      </c>
      <c r="B1460" s="3" t="str">
        <f>IFERROR(__xludf.DUMMYFUNCTION("GOOGLETRANSLATE(A1460, ""ar"", ""bn"")"),"অপ্রতিরোধ্য")</f>
        <v>অপ্রতিরোধ্য</v>
      </c>
    </row>
    <row r="1461">
      <c r="A1461" s="2" t="s">
        <v>4345</v>
      </c>
      <c r="B1461" s="3" t="str">
        <f>IFERROR(__xludf.DUMMYFUNCTION("GOOGLETRANSLATE(A1461, ""ar"", ""bn"")"),"ভর্তা করা")</f>
        <v>ভর্তা করা</v>
      </c>
    </row>
    <row r="1462">
      <c r="A1462" s="2" t="s">
        <v>4349</v>
      </c>
      <c r="B1462" s="3" t="str">
        <f>IFERROR(__xludf.DUMMYFUNCTION("GOOGLETRANSLATE(A1462, ""ar"", ""bn"")"),"নিষ্পেষণ")</f>
        <v>নিষ্পেষণ</v>
      </c>
    </row>
    <row r="1463">
      <c r="A1463" s="2" t="s">
        <v>4350</v>
      </c>
      <c r="B1463" s="3" t="str">
        <f>IFERROR(__xludf.DUMMYFUNCTION("GOOGLETRANSLATE(A1463, ""ar"", ""bn"")"),"অপ্রতিরোধ্য")</f>
        <v>অপ্রতিরোধ্য</v>
      </c>
    </row>
    <row r="1464">
      <c r="A1464" s="2" t="s">
        <v>4351</v>
      </c>
      <c r="B1464" s="3" t="str">
        <f>IFERROR(__xludf.DUMMYFUNCTION("GOOGLETRANSLATE(A1464, ""ar"", ""bn"")"),"কান্না")</f>
        <v>কান্না</v>
      </c>
    </row>
    <row r="1465">
      <c r="A1465" s="2" t="s">
        <v>4352</v>
      </c>
      <c r="B1465" s="3" t="str">
        <f>IFERROR(__xludf.DUMMYFUNCTION("GOOGLETRANSLATE(A1465, ""ar"", ""bn"")"),"ক্রন্দিত")</f>
        <v>ক্রন্দিত</v>
      </c>
    </row>
    <row r="1466">
      <c r="A1466" s="2" t="s">
        <v>4353</v>
      </c>
      <c r="B1466" s="3" t="str">
        <f>IFERROR(__xludf.DUMMYFUNCTION("GOOGLETRANSLATE(A1466, ""ar"", ""bn"")"),"ফ্রিজে")</f>
        <v>ফ্রিজে</v>
      </c>
    </row>
    <row r="1467">
      <c r="A1467" s="2" t="s">
        <v>4354</v>
      </c>
      <c r="B1467" s="3" t="str">
        <f>IFERROR(__xludf.DUMMYFUNCTION("GOOGLETRANSLATE(A1467, ""ar"", ""bn"")"),"কম তাপমাত্রা পদার্থবিদ্যা")</f>
        <v>কম তাপমাত্রা পদার্থবিদ্যা</v>
      </c>
    </row>
    <row r="1468">
      <c r="A1468" s="2" t="s">
        <v>4355</v>
      </c>
      <c r="B1468" s="3" t="str">
        <f>IFERROR(__xludf.DUMMYFUNCTION("GOOGLETRANSLATE(A1468, ""ar"", ""bn"")"),"Cryostat")</f>
        <v>Cryostat</v>
      </c>
    </row>
    <row r="1469">
      <c r="A1469" s="2" t="s">
        <v>4356</v>
      </c>
      <c r="B1469" s="3" t="str">
        <f>IFERROR(__xludf.DUMMYFUNCTION("GOOGLETRANSLATE(A1469, ""ar"", ""bn"")"),"সমাধিগৃহ")</f>
        <v>সমাধিগৃহ</v>
      </c>
    </row>
    <row r="1470">
      <c r="A1470" s="2" t="s">
        <v>4357</v>
      </c>
      <c r="B1470" s="3" t="str">
        <f>IFERROR(__xludf.DUMMYFUNCTION("GOOGLETRANSLATE(A1470, ""ar"", ""bn"")"),"Cryptanalysis")</f>
        <v>Cryptanalysis</v>
      </c>
    </row>
    <row r="1471">
      <c r="A1471" s="2" t="s">
        <v>4227</v>
      </c>
      <c r="B1471" s="3" t="str">
        <f>IFERROR(__xludf.DUMMYFUNCTION("GOOGLETRANSLATE(A1471, ""ar"", ""bn"")"),"গোপন")</f>
        <v>গোপন</v>
      </c>
    </row>
    <row r="1472">
      <c r="A1472" s="2" t="s">
        <v>4358</v>
      </c>
      <c r="B1472" s="3" t="str">
        <f>IFERROR(__xludf.DUMMYFUNCTION("GOOGLETRANSLATE(A1472, ""ar"", ""bn"")"),"cryptically")</f>
        <v>cryptically</v>
      </c>
    </row>
    <row r="1473">
      <c r="A1473" s="2" t="s">
        <v>4359</v>
      </c>
      <c r="B1473" s="3" t="str">
        <f>IFERROR(__xludf.DUMMYFUNCTION("GOOGLETRANSLATE(A1473, ""ar"", ""bn"")"),"সাংকেতিক লিপি")</f>
        <v>সাংকেতিক লিপি</v>
      </c>
    </row>
    <row r="1474">
      <c r="A1474" s="2" t="s">
        <v>4360</v>
      </c>
      <c r="B1474" s="3" t="str">
        <f>IFERROR(__xludf.DUMMYFUNCTION("GOOGLETRANSLATE(A1474, ""ar"", ""bn"")"),"সাংকেতিক লিপিকর")</f>
        <v>সাংকেতিক লিপিকর</v>
      </c>
    </row>
    <row r="1475">
      <c r="A1475" s="2" t="s">
        <v>4361</v>
      </c>
      <c r="B1475" s="3" t="str">
        <f>IFERROR(__xludf.DUMMYFUNCTION("GOOGLETRANSLATE(A1475, ""ar"", ""bn"")"),"জোড়া লাগানো")</f>
        <v>জোড়া লাগানো</v>
      </c>
    </row>
    <row r="1476">
      <c r="A1476" s="2" t="s">
        <v>4362</v>
      </c>
      <c r="B1476" s="3" t="str">
        <f>IFERROR(__xludf.DUMMYFUNCTION("GOOGLETRANSLATE(A1476, ""ar"", ""bn"")"),"এনক্রিপ্ট")</f>
        <v>এনক্রিপ্ট</v>
      </c>
    </row>
    <row r="1477">
      <c r="A1477" s="2" t="s">
        <v>4361</v>
      </c>
      <c r="B1477" s="3" t="str">
        <f>IFERROR(__xludf.DUMMYFUNCTION("GOOGLETRANSLATE(A1477, ""ar"", ""bn"")"),"জোড়া লাগানো")</f>
        <v>জোড়া লাগানো</v>
      </c>
    </row>
    <row r="1478">
      <c r="A1478" s="2" t="s">
        <v>4361</v>
      </c>
      <c r="B1478" s="3" t="str">
        <f>IFERROR(__xludf.DUMMYFUNCTION("GOOGLETRANSLATE(A1478, ""ar"", ""bn"")"),"জোড়া লাগানো")</f>
        <v>জোড়া লাগানো</v>
      </c>
    </row>
    <row r="1479">
      <c r="A1479" s="2" t="s">
        <v>4363</v>
      </c>
      <c r="B1479" s="3" t="str">
        <f>IFERROR(__xludf.DUMMYFUNCTION("GOOGLETRANSLATE(A1479, ""ar"", ""bn"")"),"recesses")</f>
        <v>recesses</v>
      </c>
    </row>
    <row r="1480">
      <c r="A1480" s="2" t="s">
        <v>4364</v>
      </c>
      <c r="B1480" s="3" t="str">
        <f>IFERROR(__xludf.DUMMYFUNCTION("GOOGLETRANSLATE(A1480, ""ar"", ""bn"")"),"স্ফটিক")</f>
        <v>স্ফটিক</v>
      </c>
    </row>
    <row r="1481">
      <c r="A1481" s="2" t="s">
        <v>4365</v>
      </c>
      <c r="B1481" s="3" t="str">
        <f>IFERROR(__xludf.DUMMYFUNCTION("GOOGLETRANSLATE(A1481, ""ar"", ""bn"")"),"অচ্ছ")</f>
        <v>অচ্ছ</v>
      </c>
    </row>
    <row r="1482">
      <c r="A1482" s="2" t="s">
        <v>4366</v>
      </c>
      <c r="B1482" s="3" t="str">
        <f>IFERROR(__xludf.DUMMYFUNCTION("GOOGLETRANSLATE(A1482, ""ar"", ""bn"")"),"Gelling")</f>
        <v>Gelling</v>
      </c>
    </row>
    <row r="1483">
      <c r="A1483" s="2" t="s">
        <v>4367</v>
      </c>
      <c r="B1483" s="3" t="str">
        <f>IFERROR(__xludf.DUMMYFUNCTION("GOOGLETRANSLATE(A1483, ""ar"", ""bn"")"),"দানা বাঁধা")</f>
        <v>দানা বাঁধা</v>
      </c>
    </row>
    <row r="1484">
      <c r="A1484" s="2" t="s">
        <v>4368</v>
      </c>
      <c r="B1484" s="3" t="str">
        <f>IFERROR(__xludf.DUMMYFUNCTION("GOOGLETRANSLATE(A1484, ""ar"", ""bn"")"),"স্বচ্ছ")</f>
        <v>স্বচ্ছ</v>
      </c>
    </row>
    <row r="1485">
      <c r="A1485" s="2" t="s">
        <v>4369</v>
      </c>
      <c r="B1485" s="3" t="str">
        <f>IFERROR(__xludf.DUMMYFUNCTION("GOOGLETRANSLATE(A1485, ""ar"", ""bn"")"),"Crystallizes")</f>
        <v>Crystallizes</v>
      </c>
    </row>
    <row r="1486">
      <c r="A1486" s="2" t="s">
        <v>4370</v>
      </c>
      <c r="B1486" s="3" t="str">
        <f>IFERROR(__xludf.DUMMYFUNCTION("GOOGLETRANSLATE(A1486, ""ar"", ""bn"")"),"দানা বাঁধা")</f>
        <v>দানা বাঁধা</v>
      </c>
    </row>
    <row r="1487">
      <c r="A1487" s="2" t="s">
        <v>4371</v>
      </c>
      <c r="B1487" s="3" t="str">
        <f>IFERROR(__xludf.DUMMYFUNCTION("GOOGLETRANSLATE(A1487, ""ar"", ""bn"")"),"স্ফটিক")</f>
        <v>স্ফটিক</v>
      </c>
    </row>
    <row r="1488">
      <c r="A1488" s="2" t="s">
        <v>4371</v>
      </c>
      <c r="B1488" s="3" t="str">
        <f>IFERROR(__xludf.DUMMYFUNCTION("GOOGLETRANSLATE(A1488, ""ar"", ""bn"")"),"স্ফটিক")</f>
        <v>স্ফটিক</v>
      </c>
    </row>
    <row r="1489">
      <c r="A1489" s="2" t="s">
        <v>4371</v>
      </c>
      <c r="B1489" s="3" t="str">
        <f>IFERROR(__xludf.DUMMYFUNCTION("GOOGLETRANSLATE(A1489, ""ar"", ""bn"")"),"স্ফটিক")</f>
        <v>স্ফটিক</v>
      </c>
    </row>
    <row r="1490">
      <c r="A1490" s="2" t="s">
        <v>4372</v>
      </c>
      <c r="B1490" s="3" t="str">
        <f>IFERROR(__xludf.DUMMYFUNCTION("GOOGLETRANSLATE(A1490, ""ar"", ""bn"")"),"কেলাসবিদ্যা")</f>
        <v>কেলাসবিদ্যা</v>
      </c>
    </row>
    <row r="1491">
      <c r="A1491" s="2" t="s">
        <v>4373</v>
      </c>
      <c r="B1491" s="3" t="str">
        <f>IFERROR(__xludf.DUMMYFUNCTION("GOOGLETRANSLATE(A1491, ""ar"", ""bn"")"),"স্ফটিক")</f>
        <v>স্ফটিক</v>
      </c>
    </row>
    <row r="1492">
      <c r="A1492" s="2" t="s">
        <v>4352</v>
      </c>
      <c r="B1492" s="3" t="str">
        <f>IFERROR(__xludf.DUMMYFUNCTION("GOOGLETRANSLATE(A1492, ""ar"", ""bn"")"),"ক্রন্দিত")</f>
        <v>ক্রন্দিত</v>
      </c>
    </row>
    <row r="1493">
      <c r="A1493" s="2" t="s">
        <v>4374</v>
      </c>
      <c r="B1493" s="3" t="str">
        <f>IFERROR(__xludf.DUMMYFUNCTION("GOOGLETRANSLATE(A1493, ""ar"", ""bn"")"),"দোষী")</f>
        <v>দোষী</v>
      </c>
    </row>
    <row r="1494">
      <c r="A1494" s="2" t="s">
        <v>4375</v>
      </c>
      <c r="B1494" s="3" t="str">
        <f>IFERROR(__xludf.DUMMYFUNCTION("GOOGLETRANSLATE(A1494, ""ar"", ""bn"")"),"অপরাধী")</f>
        <v>অপরাধী</v>
      </c>
    </row>
    <row r="1495">
      <c r="A1495" s="2" t="s">
        <v>4376</v>
      </c>
      <c r="B1495" s="3" t="str">
        <f>IFERROR(__xludf.DUMMYFUNCTION("GOOGLETRANSLATE(A1495, ""ar"", ""bn"")"),"অপরাধীদের")</f>
        <v>অপরাধীদের</v>
      </c>
    </row>
    <row r="1496">
      <c r="A1496" s="2" t="s">
        <v>4377</v>
      </c>
      <c r="B1496" s="3" t="str">
        <f>IFERROR(__xludf.DUMMYFUNCTION("GOOGLETRANSLATE(A1496, ""ar"", ""bn"")"),"ভারী")</f>
        <v>ভারী</v>
      </c>
    </row>
    <row r="1497">
      <c r="A1497" s="2" t="s">
        <v>4378</v>
      </c>
      <c r="B1497" s="3" t="str">
        <f>IFERROR(__xludf.DUMMYFUNCTION("GOOGLETRANSLATE(A1497, ""ar"", ""bn"")"),"একটি অভিশাপ")</f>
        <v>একটি অভিশাপ</v>
      </c>
    </row>
    <row r="1498">
      <c r="A1498" s="2" t="s">
        <v>4379</v>
      </c>
      <c r="B1498" s="3" t="str">
        <f>IFERROR(__xludf.DUMMYFUNCTION("GOOGLETRANSLATE(A1498, ""ar"", ""bn"")"),"অভিশপ্ত")</f>
        <v>অভিশপ্ত</v>
      </c>
    </row>
    <row r="1499">
      <c r="A1499" s="2" t="s">
        <v>4380</v>
      </c>
      <c r="B1499" s="3" t="str">
        <f>IFERROR(__xludf.DUMMYFUNCTION("GOOGLETRANSLATE(A1499, ""ar"", ""bn"")"),"অপমান")</f>
        <v>অপমান</v>
      </c>
    </row>
    <row r="1500">
      <c r="A1500" s="2" t="s">
        <v>4381</v>
      </c>
      <c r="B1500" s="3" t="str">
        <f>IFERROR(__xludf.DUMMYFUNCTION("GOOGLETRANSLATE(A1500, ""ar"", ""bn"")"),"হাইজ্যেকের")</f>
        <v>হাইজ্যেকের</v>
      </c>
    </row>
    <row r="1501">
      <c r="A1501" s="2" t="s">
        <v>4382</v>
      </c>
      <c r="B1501" s="3" t="str">
        <f>IFERROR(__xludf.DUMMYFUNCTION("GOOGLETRANSLATE(A1501, ""ar"", ""bn"")"),"শুষ্ক")</f>
        <v>শুষ্ক</v>
      </c>
    </row>
    <row r="1502">
      <c r="A1502" s="2" t="s">
        <v>3364</v>
      </c>
      <c r="B1502" s="3" t="str">
        <f>IFERROR(__xludf.DUMMYFUNCTION("GOOGLETRANSLATE(A1502, ""ar"", ""bn"")"),"অঙ্গচ্ছেদ")</f>
        <v>অঙ্গচ্ছেদ</v>
      </c>
    </row>
    <row r="1503">
      <c r="A1503" s="2" t="s">
        <v>4383</v>
      </c>
      <c r="B1503" s="3" t="str">
        <f>IFERROR(__xludf.DUMMYFUNCTION("GOOGLETRANSLATE(A1503, ""ar"", ""bn"")"),"ছাঁটা")</f>
        <v>ছাঁটা</v>
      </c>
    </row>
    <row r="1504">
      <c r="A1504" s="2" t="s">
        <v>4384</v>
      </c>
      <c r="B1504" s="3" t="str">
        <f>IFERROR(__xludf.DUMMYFUNCTION("GOOGLETRANSLATE(A1504, ""ar"", ""bn"")"),"বিধিনিষেধ")</f>
        <v>বিধিনিষেধ</v>
      </c>
    </row>
    <row r="1505">
      <c r="A1505" s="2" t="s">
        <v>4385</v>
      </c>
      <c r="B1505" s="3" t="str">
        <f>IFERROR(__xludf.DUMMYFUNCTION("GOOGLETRANSLATE(A1505, ""ar"", ""bn"")"),"হ্রাস")</f>
        <v>হ্রাস</v>
      </c>
    </row>
    <row r="1506">
      <c r="A1506" s="2" t="s">
        <v>4386</v>
      </c>
      <c r="B1506" s="3" t="str">
        <f>IFERROR(__xludf.DUMMYFUNCTION("GOOGLETRANSLATE(A1506, ""ar"", ""bn"")"),"কমানো")</f>
        <v>কমানো</v>
      </c>
    </row>
    <row r="1507">
      <c r="A1507" s="2" t="s">
        <v>4387</v>
      </c>
      <c r="B1507" s="3" t="str">
        <f>IFERROR(__xludf.DUMMYFUNCTION("GOOGLETRANSLATE(A1507, ""ar"", ""bn"")"),"খর্ব করা")</f>
        <v>খর্ব করা</v>
      </c>
    </row>
    <row r="1508">
      <c r="A1508" s="2" t="s">
        <v>4388</v>
      </c>
      <c r="B1508" s="3" t="str">
        <f>IFERROR(__xludf.DUMMYFUNCTION("GOOGLETRANSLATE(A1508, ""ar"", ""bn"")"),"পরদা")</f>
        <v>পরদা</v>
      </c>
    </row>
    <row r="1509">
      <c r="A1509" s="2" t="s">
        <v>4389</v>
      </c>
      <c r="B1509" s="3" t="str">
        <f>IFERROR(__xludf.DUMMYFUNCTION("GOOGLETRANSLATE(A1509, ""ar"", ""bn"")"),"Curtained")</f>
        <v>Curtained</v>
      </c>
    </row>
    <row r="1510">
      <c r="A1510" s="2" t="s">
        <v>4390</v>
      </c>
      <c r="B1510" s="3" t="str">
        <f>IFERROR(__xludf.DUMMYFUNCTION("GOOGLETRANSLATE(A1510, ""ar"", ""bn"")"),"পর্দা")</f>
        <v>পর্দা</v>
      </c>
    </row>
    <row r="1511">
      <c r="A1511" s="2" t="s">
        <v>3689</v>
      </c>
      <c r="B1511" s="3" t="str">
        <f>IFERROR(__xludf.DUMMYFUNCTION("GOOGLETRANSLATE(A1511, ""ar"", ""bn"")"),"পর্দা")</f>
        <v>পর্দা</v>
      </c>
    </row>
    <row r="1512">
      <c r="A1512" s="2" t="s">
        <v>4391</v>
      </c>
      <c r="B1512" s="3" t="str">
        <f>IFERROR(__xludf.DUMMYFUNCTION("GOOGLETRANSLATE(A1512, ""ar"", ""bn"")"),"আঙ্গিনা")</f>
        <v>আঙ্গিনা</v>
      </c>
    </row>
    <row r="1513">
      <c r="A1513" s="2" t="s">
        <v>4392</v>
      </c>
      <c r="B1513" s="3" t="str">
        <f>IFERROR(__xludf.DUMMYFUNCTION("GOOGLETRANSLATE(A1513, ""ar"", ""bn"")"),"কার্টলি")</f>
        <v>কার্টলি</v>
      </c>
    </row>
    <row r="1514">
      <c r="A1514" s="2" t="s">
        <v>4393</v>
      </c>
      <c r="B1514" s="3" t="str">
        <f>IFERROR(__xludf.DUMMYFUNCTION("GOOGLETRANSLATE(A1514, ""ar"", ""bn"")"),"curtness")</f>
        <v>curtness</v>
      </c>
    </row>
    <row r="1515">
      <c r="A1515" s="2" t="s">
        <v>4394</v>
      </c>
      <c r="B1515" s="3" t="str">
        <f>IFERROR(__xludf.DUMMYFUNCTION("GOOGLETRANSLATE(A1515, ""ar"", ""bn"")"),"নতজানু হইয়া নমস্কার করা")</f>
        <v>নতজানু হইয়া নমস্কার করা</v>
      </c>
    </row>
    <row r="1516">
      <c r="A1516" s="2" t="s">
        <v>4395</v>
      </c>
      <c r="B1516" s="3" t="str">
        <f>IFERROR(__xludf.DUMMYFUNCTION("GOOGLETRANSLATE(A1516, ""ar"", ""bn"")"),"আপনি নম")</f>
        <v>আপনি নম</v>
      </c>
    </row>
    <row r="1517">
      <c r="A1517" s="2" t="s">
        <v>3364</v>
      </c>
      <c r="B1517" s="3" t="str">
        <f>IFERROR(__xludf.DUMMYFUNCTION("GOOGLETRANSLATE(A1517, ""ar"", ""bn"")"),"অঙ্গচ্ছেদ")</f>
        <v>অঙ্গচ্ছেদ</v>
      </c>
    </row>
    <row r="1518">
      <c r="A1518" s="2" t="s">
        <v>4383</v>
      </c>
      <c r="B1518" s="3" t="str">
        <f>IFERROR(__xludf.DUMMYFUNCTION("GOOGLETRANSLATE(A1518, ""ar"", ""bn"")"),"ছাঁটা")</f>
        <v>ছাঁটা</v>
      </c>
    </row>
    <row r="1519">
      <c r="A1519" s="2" t="s">
        <v>4384</v>
      </c>
      <c r="B1519" s="3" t="str">
        <f>IFERROR(__xludf.DUMMYFUNCTION("GOOGLETRANSLATE(A1519, ""ar"", ""bn"")"),"বিধিনিষেধ")</f>
        <v>বিধিনিষেধ</v>
      </c>
    </row>
    <row r="1520">
      <c r="A1520" s="2" t="s">
        <v>4385</v>
      </c>
      <c r="B1520" s="3" t="str">
        <f>IFERROR(__xludf.DUMMYFUNCTION("GOOGLETRANSLATE(A1520, ""ar"", ""bn"")"),"হ্রাস")</f>
        <v>হ্রাস</v>
      </c>
    </row>
    <row r="1521">
      <c r="A1521" s="2" t="s">
        <v>4386</v>
      </c>
      <c r="B1521" s="3" t="str">
        <f>IFERROR(__xludf.DUMMYFUNCTION("GOOGLETRANSLATE(A1521, ""ar"", ""bn"")"),"কমানো")</f>
        <v>কমানো</v>
      </c>
    </row>
    <row r="1522">
      <c r="A1522" s="2" t="s">
        <v>4387</v>
      </c>
      <c r="B1522" s="3" t="str">
        <f>IFERROR(__xludf.DUMMYFUNCTION("GOOGLETRANSLATE(A1522, ""ar"", ""bn"")"),"খর্ব করা")</f>
        <v>খর্ব করা</v>
      </c>
    </row>
    <row r="1523">
      <c r="A1523" s="2" t="s">
        <v>4396</v>
      </c>
      <c r="B1523" s="3" t="str">
        <f>IFERROR(__xludf.DUMMYFUNCTION("GOOGLETRANSLATE(A1523, ""ar"", ""bn"")"),"তীব্র ব্যঙ্গপূর্ণ")</f>
        <v>তীব্র ব্যঙ্গপূর্ণ</v>
      </c>
    </row>
    <row r="1524">
      <c r="A1524" s="2" t="s">
        <v>4396</v>
      </c>
      <c r="B1524" s="3" t="str">
        <f>IFERROR(__xludf.DUMMYFUNCTION("GOOGLETRANSLATE(A1524, ""ar"", ""bn"")"),"তীব্র ব্যঙ্গপূর্ণ")</f>
        <v>তীব্র ব্যঙ্গপূর্ণ</v>
      </c>
    </row>
    <row r="1525">
      <c r="A1525" s="2" t="s">
        <v>4397</v>
      </c>
      <c r="B1525" s="3" t="str">
        <f>IFERROR(__xludf.DUMMYFUNCTION("GOOGLETRANSLATE(A1525, ""ar"", ""bn"")"),"ব্যঙ্গ করে")</f>
        <v>ব্যঙ্গ করে</v>
      </c>
    </row>
    <row r="1526">
      <c r="A1526" s="2" t="s">
        <v>4398</v>
      </c>
      <c r="B1526" s="3" t="str">
        <f>IFERROR(__xludf.DUMMYFUNCTION("GOOGLETRANSLATE(A1526, ""ar"", ""bn"")"),"অসূয়া")</f>
        <v>অসূয়া</v>
      </c>
    </row>
    <row r="1527">
      <c r="A1527" s="2" t="s">
        <v>4399</v>
      </c>
      <c r="B1527" s="3" t="str">
        <f>IFERROR(__xludf.DUMMYFUNCTION("GOOGLETRANSLATE(A1527, ""ar"", ""bn"")"),"Cynics")</f>
        <v>Cynics</v>
      </c>
    </row>
    <row r="1528">
      <c r="A1528" s="2" t="s">
        <v>4400</v>
      </c>
      <c r="B1528" s="3" t="str">
        <f>IFERROR(__xludf.DUMMYFUNCTION("GOOGLETRANSLATE(A1528, ""ar"", ""bn"")"),"ক্ষতি")</f>
        <v>ক্ষতি</v>
      </c>
    </row>
    <row r="1529">
      <c r="A1529" s="2" t="s">
        <v>4401</v>
      </c>
      <c r="B1529" s="3" t="str">
        <f>IFERROR(__xludf.DUMMYFUNCTION("GOOGLETRANSLATE(A1529, ""ar"", ""bn"")"),"ক্ষতিগ্রস্ত")</f>
        <v>ক্ষতিগ্রস্ত</v>
      </c>
    </row>
    <row r="1530">
      <c r="A1530" s="2" t="s">
        <v>4402</v>
      </c>
      <c r="B1530" s="3" t="str">
        <f>IFERROR(__xludf.DUMMYFUNCTION("GOOGLETRANSLATE(A1530, ""ar"", ""bn"")"),"লোকসান")</f>
        <v>লোকসান</v>
      </c>
    </row>
    <row r="1531">
      <c r="A1531" s="2" t="s">
        <v>4403</v>
      </c>
      <c r="B1531" s="3" t="str">
        <f>IFERROR(__xludf.DUMMYFUNCTION("GOOGLETRANSLATE(A1531, ""ar"", ""bn"")"),"ক্ষতিকর")</f>
        <v>ক্ষতিকর</v>
      </c>
    </row>
    <row r="1532">
      <c r="A1532" s="2" t="s">
        <v>4404</v>
      </c>
      <c r="B1532" s="3" t="str">
        <f>IFERROR(__xludf.DUMMYFUNCTION("GOOGLETRANSLATE(A1532, ""ar"", ""bn"")"),"Damagingly ব্যর্থতা")</f>
        <v>Damagingly ব্যর্থতা</v>
      </c>
    </row>
    <row r="1533">
      <c r="A1533" s="2" t="s">
        <v>4378</v>
      </c>
      <c r="B1533" s="3" t="str">
        <f>IFERROR(__xludf.DUMMYFUNCTION("GOOGLETRANSLATE(A1533, ""ar"", ""bn"")"),"একটি অভিশাপ")</f>
        <v>একটি অভিশাপ</v>
      </c>
    </row>
    <row r="1534">
      <c r="A1534" s="2" t="s">
        <v>3443</v>
      </c>
      <c r="B1534" s="3" t="str">
        <f>IFERROR(__xludf.DUMMYFUNCTION("GOOGLETRANSLATE(A1534, ""ar"", ""bn"")"),"ভয়ঙ্কর")</f>
        <v>ভয়ঙ্কর</v>
      </c>
    </row>
    <row r="1535">
      <c r="A1535" s="2" t="s">
        <v>4405</v>
      </c>
      <c r="B1535" s="3" t="str">
        <f>IFERROR(__xludf.DUMMYFUNCTION("GOOGLETRANSLATE(A1535, ""ar"", ""bn"")"),"নরকযন্ত্রণায়")</f>
        <v>নরকযন্ত্রণায়</v>
      </c>
    </row>
    <row r="1536">
      <c r="A1536" s="2" t="s">
        <v>4406</v>
      </c>
      <c r="B1536" s="3" t="str">
        <f>IFERROR(__xludf.DUMMYFUNCTION("GOOGLETRANSLATE(A1536, ""ar"", ""bn"")"),"অভিশাপ")</f>
        <v>অভিশাপ</v>
      </c>
    </row>
    <row r="1537">
      <c r="A1537" s="2" t="s">
        <v>4379</v>
      </c>
      <c r="B1537" s="3" t="str">
        <f>IFERROR(__xludf.DUMMYFUNCTION("GOOGLETRANSLATE(A1537, ""ar"", ""bn"")"),"অভিশপ্ত")</f>
        <v>অভিশপ্ত</v>
      </c>
    </row>
    <row r="1538">
      <c r="A1538" s="2" t="s">
        <v>4111</v>
      </c>
      <c r="B1538" s="3" t="str">
        <f>IFERROR(__xludf.DUMMYFUNCTION("GOOGLETRANSLATE(A1538, ""ar"", ""bn"")"),"নিন্দা")</f>
        <v>নিন্দা</v>
      </c>
    </row>
    <row r="1539">
      <c r="A1539" s="2" t="s">
        <v>4407</v>
      </c>
      <c r="B1539" s="3" t="str">
        <f>IFERROR(__xludf.DUMMYFUNCTION("GOOGLETRANSLATE(A1539, ""ar"", ""bn"")"),"অভিশাপ")</f>
        <v>অভিশাপ</v>
      </c>
    </row>
    <row r="1540">
      <c r="A1540" s="2" t="s">
        <v>4408</v>
      </c>
      <c r="B1540" s="3" t="str">
        <f>IFERROR(__xludf.DUMMYFUNCTION("GOOGLETRANSLATE(A1540, ""ar"", ""bn"")"),"ঝুঁকি")</f>
        <v>ঝুঁকি</v>
      </c>
    </row>
    <row r="1541">
      <c r="A1541" s="2" t="s">
        <v>4409</v>
      </c>
      <c r="B1541" s="3" t="str">
        <f>IFERROR(__xludf.DUMMYFUNCTION("GOOGLETRANSLATE(A1541, ""ar"", ""bn"")"),"বিপজ্জনক")</f>
        <v>বিপজ্জনক</v>
      </c>
    </row>
    <row r="1542">
      <c r="A1542" s="2" t="s">
        <v>4409</v>
      </c>
      <c r="B1542" s="3" t="str">
        <f>IFERROR(__xludf.DUMMYFUNCTION("GOOGLETRANSLATE(A1542, ""ar"", ""bn"")"),"বিপজ্জনক")</f>
        <v>বিপজ্জনক</v>
      </c>
    </row>
    <row r="1543">
      <c r="A1543" s="2" t="s">
        <v>4410</v>
      </c>
      <c r="B1543" s="3" t="str">
        <f>IFERROR(__xludf.DUMMYFUNCTION("GOOGLETRANSLATE(A1543, ""ar"", ""bn"")"),"নির্দয়তা")</f>
        <v>নির্দয়তা</v>
      </c>
    </row>
    <row r="1544">
      <c r="A1544" s="2" t="s">
        <v>4411</v>
      </c>
      <c r="B1544" s="3" t="str">
        <f>IFERROR(__xludf.DUMMYFUNCTION("GOOGLETRANSLATE(A1544, ""ar"", ""bn"")"),"হ্যাজার্ডস")</f>
        <v>হ্যাজার্ডস</v>
      </c>
    </row>
    <row r="1545">
      <c r="A1545" s="2" t="s">
        <v>4412</v>
      </c>
      <c r="B1545" s="3" t="str">
        <f>IFERROR(__xludf.DUMMYFUNCTION("GOOGLETRANSLATE(A1545, ""ar"", ""bn"")"),"অন্ধকার")</f>
        <v>অন্ধকার</v>
      </c>
    </row>
    <row r="1546">
      <c r="A1546" s="2" t="s">
        <v>4413</v>
      </c>
      <c r="B1546" s="3" t="str">
        <f>IFERROR(__xludf.DUMMYFUNCTION("GOOGLETRANSLATE(A1546, ""ar"", ""bn"")"),"গাঢ় করা")</f>
        <v>গাঢ় করা</v>
      </c>
    </row>
    <row r="1547">
      <c r="A1547" s="2" t="s">
        <v>4414</v>
      </c>
      <c r="B1547" s="3" t="str">
        <f>IFERROR(__xludf.DUMMYFUNCTION("GOOGLETRANSLATE(A1547, ""ar"", ""bn"")"),"Kahil")</f>
        <v>Kahil</v>
      </c>
    </row>
    <row r="1548">
      <c r="A1548" s="2" t="s">
        <v>4415</v>
      </c>
      <c r="B1548" s="3" t="str">
        <f>IFERROR(__xludf.DUMMYFUNCTION("GOOGLETRANSLATE(A1548, ""ar"", ""bn"")"),"কালিমা")</f>
        <v>কালিমা</v>
      </c>
    </row>
    <row r="1549">
      <c r="A1549" s="2" t="s">
        <v>4416</v>
      </c>
      <c r="B1549" s="3" t="str">
        <f>IFERROR(__xludf.DUMMYFUNCTION("GOOGLETRANSLATE(A1549, ""ar"", ""bn"")"),"জুলুম করা")</f>
        <v>জুলুম করা</v>
      </c>
    </row>
    <row r="1550">
      <c r="A1550" s="2" t="s">
        <v>4417</v>
      </c>
      <c r="B1550" s="3" t="str">
        <f>IFERROR(__xludf.DUMMYFUNCTION("GOOGLETRANSLATE(A1550, ""ar"", ""bn"")"),"গাঢ়")</f>
        <v>গাঢ়</v>
      </c>
    </row>
    <row r="1551">
      <c r="A1551" s="2" t="s">
        <v>4418</v>
      </c>
      <c r="B1551" s="3" t="str">
        <f>IFERROR(__xludf.DUMMYFUNCTION("GOOGLETRANSLATE(A1551, ""ar"", ""bn"")"),"অন্ধতম")</f>
        <v>অন্ধতম</v>
      </c>
    </row>
    <row r="1552">
      <c r="A1552" s="2" t="s">
        <v>4412</v>
      </c>
      <c r="B1552" s="3" t="str">
        <f>IFERROR(__xludf.DUMMYFUNCTION("GOOGLETRANSLATE(A1552, ""ar"", ""bn"")"),"অন্ধকার")</f>
        <v>অন্ধকার</v>
      </c>
    </row>
    <row r="1553">
      <c r="A1553" s="2" t="s">
        <v>4419</v>
      </c>
      <c r="B1553" s="3" t="str">
        <f>IFERROR(__xludf.DUMMYFUNCTION("GOOGLETRANSLATE(A1553, ""ar"", ""bn"")"),"রহস্যময়ভাবে")</f>
        <v>রহস্যময়ভাবে</v>
      </c>
    </row>
    <row r="1554">
      <c r="A1554" s="2" t="s">
        <v>4420</v>
      </c>
      <c r="B1554" s="3" t="str">
        <f>IFERROR(__xludf.DUMMYFUNCTION("GOOGLETRANSLATE(A1554, ""ar"", ""bn"")"),"অন্ধকার")</f>
        <v>অন্ধকার</v>
      </c>
    </row>
    <row r="1555">
      <c r="A1555" s="2" t="s">
        <v>4421</v>
      </c>
      <c r="B1555" s="3" t="str">
        <f>IFERROR(__xludf.DUMMYFUNCTION("GOOGLETRANSLATE(A1555, ""ar"", ""bn"")"),"অন্ধকার ঘর")</f>
        <v>অন্ধকার ঘর</v>
      </c>
    </row>
    <row r="1556">
      <c r="A1556" s="2" t="s">
        <v>4422</v>
      </c>
      <c r="B1556" s="3" t="str">
        <f>IFERROR(__xludf.DUMMYFUNCTION("GOOGLETRANSLATE(A1556, ""ar"", ""bn"")"),"অন্ধকার কক্ষ")</f>
        <v>অন্ধকার কক্ষ</v>
      </c>
    </row>
    <row r="1557">
      <c r="A1557" s="2" t="s">
        <v>4413</v>
      </c>
      <c r="B1557" s="3" t="str">
        <f>IFERROR(__xludf.DUMMYFUNCTION("GOOGLETRANSLATE(A1557, ""ar"", ""bn"")"),"গাঢ় করা")</f>
        <v>গাঢ় করা</v>
      </c>
    </row>
    <row r="1558">
      <c r="A1558" s="2" t="s">
        <v>4414</v>
      </c>
      <c r="B1558" s="3" t="str">
        <f>IFERROR(__xludf.DUMMYFUNCTION("GOOGLETRANSLATE(A1558, ""ar"", ""bn"")"),"Kahil")</f>
        <v>Kahil</v>
      </c>
    </row>
    <row r="1559">
      <c r="A1559" s="2" t="s">
        <v>4415</v>
      </c>
      <c r="B1559" s="3" t="str">
        <f>IFERROR(__xludf.DUMMYFUNCTION("GOOGLETRANSLATE(A1559, ""ar"", ""bn"")"),"কালিমা")</f>
        <v>কালিমা</v>
      </c>
    </row>
    <row r="1560">
      <c r="A1560" s="2" t="s">
        <v>4416</v>
      </c>
      <c r="B1560" s="3" t="str">
        <f>IFERROR(__xludf.DUMMYFUNCTION("GOOGLETRANSLATE(A1560, ""ar"", ""bn"")"),"জুলুম করা")</f>
        <v>জুলুম করা</v>
      </c>
    </row>
    <row r="1561">
      <c r="A1561" s="2" t="s">
        <v>4420</v>
      </c>
      <c r="B1561" s="3" t="str">
        <f>IFERROR(__xludf.DUMMYFUNCTION("GOOGLETRANSLATE(A1561, ""ar"", ""bn"")"),"অন্ধকার")</f>
        <v>অন্ধকার</v>
      </c>
    </row>
    <row r="1562">
      <c r="A1562" s="2" t="s">
        <v>4423</v>
      </c>
      <c r="B1562" s="3" t="str">
        <f>IFERROR(__xludf.DUMMYFUNCTION("GOOGLETRANSLATE(A1562, ""ar"", ""bn"")"),"অভিশাপ")</f>
        <v>অভিশাপ</v>
      </c>
    </row>
    <row r="1563">
      <c r="A1563" s="2" t="s">
        <v>4424</v>
      </c>
      <c r="B1563" s="3" t="str">
        <f>IFERROR(__xludf.DUMMYFUNCTION("GOOGLETRANSLATE(A1563, ""ar"", ""bn"")"),"সংস্কৃত")</f>
        <v>সংস্কৃত</v>
      </c>
    </row>
    <row r="1564">
      <c r="A1564" s="2" t="s">
        <v>4425</v>
      </c>
      <c r="B1564" s="3" t="str">
        <f>IFERROR(__xludf.DUMMYFUNCTION("GOOGLETRANSLATE(A1564, ""ar"", ""bn"")"),"রিফুকর্ম")</f>
        <v>রিফুকর্ম</v>
      </c>
    </row>
    <row r="1565">
      <c r="A1565" s="2" t="s">
        <v>4426</v>
      </c>
      <c r="B1565" s="3" t="str">
        <f>IFERROR(__xludf.DUMMYFUNCTION("GOOGLETRANSLATE(A1565, ""ar"", ""bn"")"),"Darns")</f>
        <v>Darns</v>
      </c>
    </row>
    <row r="1566">
      <c r="A1566" s="2" t="s">
        <v>4427</v>
      </c>
      <c r="B1566" s="3" t="str">
        <f>IFERROR(__xludf.DUMMYFUNCTION("GOOGLETRANSLATE(A1566, ""ar"", ""bn"")"),"কঠিন")</f>
        <v>কঠিন</v>
      </c>
    </row>
    <row r="1567">
      <c r="A1567" s="2" t="s">
        <v>3402</v>
      </c>
      <c r="B1567" s="3" t="str">
        <f>IFERROR(__xludf.DUMMYFUNCTION("GOOGLETRANSLATE(A1567, ""ar"", ""bn"")"),"জঘন্য")</f>
        <v>জঘন্য</v>
      </c>
    </row>
    <row r="1568">
      <c r="A1568" s="2" t="s">
        <v>4428</v>
      </c>
      <c r="B1568" s="3" t="str">
        <f>IFERROR(__xludf.DUMMYFUNCTION("GOOGLETRANSLATE(A1568, ""ar"", ""bn"")"),"আলস্যে কাটান")</f>
        <v>আলস্যে কাটান</v>
      </c>
    </row>
    <row r="1569">
      <c r="A1569" s="2" t="s">
        <v>4429</v>
      </c>
      <c r="B1569" s="3" t="str">
        <f>IFERROR(__xludf.DUMMYFUNCTION("GOOGLETRANSLATE(A1569, ""ar"", ""bn"")"),"ধাঁধা")</f>
        <v>ধাঁধা</v>
      </c>
    </row>
    <row r="1570">
      <c r="A1570" s="2" t="s">
        <v>4430</v>
      </c>
      <c r="B1570" s="3" t="str">
        <f>IFERROR(__xludf.DUMMYFUNCTION("GOOGLETRANSLATE(A1570, ""ar"", ""bn"")"),"হতবুদ্ধি")</f>
        <v>হতবুদ্ধি</v>
      </c>
    </row>
    <row r="1571">
      <c r="A1571" s="2" t="s">
        <v>4431</v>
      </c>
      <c r="B1571" s="3" t="str">
        <f>IFERROR(__xludf.DUMMYFUNCTION("GOOGLETRANSLATE(A1571, ""ar"", ""bn"")"),"মৃত")</f>
        <v>মৃত</v>
      </c>
    </row>
    <row r="1572">
      <c r="A1572" s="2" t="s">
        <v>4432</v>
      </c>
      <c r="B1572" s="3" t="str">
        <f>IFERROR(__xludf.DUMMYFUNCTION("GOOGLETRANSLATE(A1572, ""ar"", ""bn"")"),"অবসন্ন")</f>
        <v>অবসন্ন</v>
      </c>
    </row>
    <row r="1573">
      <c r="A1573" s="2" t="s">
        <v>4433</v>
      </c>
      <c r="B1573" s="3" t="str">
        <f>IFERROR(__xludf.DUMMYFUNCTION("GOOGLETRANSLATE(A1573, ""ar"", ""bn"")"),"ব্যর্থ করা")</f>
        <v>ব্যর্থ করা</v>
      </c>
    </row>
    <row r="1574">
      <c r="A1574" s="2" t="s">
        <v>4434</v>
      </c>
      <c r="B1574" s="3" t="str">
        <f>IFERROR(__xludf.DUMMYFUNCTION("GOOGLETRANSLATE(A1574, ""ar"", ""bn"")"),"অবশেষে অবরুদ্ধ")</f>
        <v>অবশেষে অবরুদ্ধ</v>
      </c>
    </row>
    <row r="1575">
      <c r="A1575" s="2" t="s">
        <v>4435</v>
      </c>
      <c r="B1575" s="3" t="str">
        <f>IFERROR(__xludf.DUMMYFUNCTION("GOOGLETRANSLATE(A1575, ""ar"", ""bn"")"),"মৃত্যুসাৎ")</f>
        <v>মৃত্যুসাৎ</v>
      </c>
    </row>
    <row r="1576">
      <c r="A1576" s="2" t="s">
        <v>4436</v>
      </c>
      <c r="B1576" s="3" t="str">
        <f>IFERROR(__xludf.DUMMYFUNCTION("GOOGLETRANSLATE(A1576, ""ar"", ""bn"")"),"Deadens")</f>
        <v>Deadens</v>
      </c>
    </row>
    <row r="1577">
      <c r="A1577" s="2" t="s">
        <v>4437</v>
      </c>
      <c r="B1577" s="3" t="str">
        <f>IFERROR(__xludf.DUMMYFUNCTION("GOOGLETRANSLATE(A1577, ""ar"", ""bn"")"),"উপন্যাস")</f>
        <v>উপন্যাস</v>
      </c>
    </row>
    <row r="1578">
      <c r="A1578" s="2" t="s">
        <v>4438</v>
      </c>
      <c r="B1578" s="3" t="str">
        <f>IFERROR(__xludf.DUMMYFUNCTION("GOOGLETRANSLATE(A1578, ""ar"", ""bn"")"),"প্রানঘাতী")</f>
        <v>প্রানঘাতী</v>
      </c>
    </row>
    <row r="1579">
      <c r="A1579" s="2" t="s">
        <v>4439</v>
      </c>
      <c r="B1579" s="3" t="str">
        <f>IFERROR(__xludf.DUMMYFUNCTION("GOOGLETRANSLATE(A1579, ""ar"", ""bn"")"),"রক্তাক্ত")</f>
        <v>রক্তাক্ত</v>
      </c>
    </row>
    <row r="1580">
      <c r="A1580" s="2" t="s">
        <v>4440</v>
      </c>
      <c r="B1580" s="3" t="str">
        <f>IFERROR(__xludf.DUMMYFUNCTION("GOOGLETRANSLATE(A1580, ""ar"", ""bn"")"),"শেষ তারিখ")</f>
        <v>শেষ তারিখ</v>
      </c>
    </row>
    <row r="1581">
      <c r="A1581" s="2" t="s">
        <v>4441</v>
      </c>
      <c r="B1581" s="3" t="str">
        <f>IFERROR(__xludf.DUMMYFUNCTION("GOOGLETRANSLATE(A1581, ""ar"", ""bn"")"),"সময়সীমা")</f>
        <v>সময়সীমা</v>
      </c>
    </row>
    <row r="1582">
      <c r="A1582" s="2" t="s">
        <v>4442</v>
      </c>
      <c r="B1582" s="3" t="str">
        <f>IFERROR(__xludf.DUMMYFUNCTION("GOOGLETRANSLATE(A1582, ""ar"", ""bn"")"),"কানাগলি")</f>
        <v>কানাগলি</v>
      </c>
    </row>
    <row r="1583">
      <c r="A1583" s="2" t="s">
        <v>4443</v>
      </c>
      <c r="B1583" s="3" t="str">
        <f>IFERROR(__xludf.DUMMYFUNCTION("GOOGLETRANSLATE(A1583, ""ar"", ""bn"")"),"কানাগলি")</f>
        <v>কানাগলি</v>
      </c>
    </row>
    <row r="1584">
      <c r="A1584" s="2" t="s">
        <v>4444</v>
      </c>
      <c r="B1584" s="3" t="str">
        <f>IFERROR(__xludf.DUMMYFUNCTION("GOOGLETRANSLATE(A1584, ""ar"", ""bn"")"),"স্থবির হিট")</f>
        <v>স্থবির হিট</v>
      </c>
    </row>
    <row r="1585">
      <c r="A1585" s="2" t="s">
        <v>4445</v>
      </c>
      <c r="B1585" s="3" t="str">
        <f>IFERROR(__xludf.DUMMYFUNCTION("GOOGLETRANSLATE(A1585, ""ar"", ""bn"")"),"সংশোধন")</f>
        <v>সংশোধন</v>
      </c>
    </row>
    <row r="1586">
      <c r="A1586" s="2" t="s">
        <v>3434</v>
      </c>
      <c r="B1586" s="3" t="str">
        <f>IFERROR(__xludf.DUMMYFUNCTION("GOOGLETRANSLATE(A1586, ""ar"", ""bn"")"),"হত্যাকারী")</f>
        <v>হত্যাকারী</v>
      </c>
    </row>
    <row r="1587">
      <c r="A1587" s="2" t="s">
        <v>4446</v>
      </c>
      <c r="B1587" s="3" t="str">
        <f>IFERROR(__xludf.DUMMYFUNCTION("GOOGLETRANSLATE(A1587, ""ar"", ""bn"")"),"ভাবলেশহীন")</f>
        <v>ভাবলেশহীন</v>
      </c>
    </row>
    <row r="1588">
      <c r="A1588" s="2" t="s">
        <v>4447</v>
      </c>
      <c r="B1588" s="3" t="str">
        <f>IFERROR(__xludf.DUMMYFUNCTION("GOOGLETRANSLATE(A1588, ""ar"", ""bn"")"),"মৃত সাগর")</f>
        <v>মৃত সাগর</v>
      </c>
    </row>
    <row r="1589">
      <c r="A1589" s="2" t="s">
        <v>4442</v>
      </c>
      <c r="B1589" s="3" t="str">
        <f>IFERROR(__xludf.DUMMYFUNCTION("GOOGLETRANSLATE(A1589, ""ar"", ""bn"")"),"কানাগলি")</f>
        <v>কানাগলি</v>
      </c>
    </row>
    <row r="1590">
      <c r="A1590" s="2" t="s">
        <v>4443</v>
      </c>
      <c r="B1590" s="3" t="str">
        <f>IFERROR(__xludf.DUMMYFUNCTION("GOOGLETRANSLATE(A1590, ""ar"", ""bn"")"),"কানাগলি")</f>
        <v>কানাগলি</v>
      </c>
    </row>
    <row r="1591">
      <c r="A1591" s="2" t="s">
        <v>4444</v>
      </c>
      <c r="B1591" s="3" t="str">
        <f>IFERROR(__xludf.DUMMYFUNCTION("GOOGLETRANSLATE(A1591, ""ar"", ""bn"")"),"স্থবির হিট")</f>
        <v>স্থবির হিট</v>
      </c>
    </row>
    <row r="1592">
      <c r="A1592" s="2" t="s">
        <v>4445</v>
      </c>
      <c r="B1592" s="3" t="str">
        <f>IFERROR(__xludf.DUMMYFUNCTION("GOOGLETRANSLATE(A1592, ""ar"", ""bn"")"),"সংশোধন")</f>
        <v>সংশোধন</v>
      </c>
    </row>
    <row r="1593">
      <c r="A1593" s="2" t="s">
        <v>3434</v>
      </c>
      <c r="B1593" s="3" t="str">
        <f>IFERROR(__xludf.DUMMYFUNCTION("GOOGLETRANSLATE(A1593, ""ar"", ""bn"")"),"হত্যাকারী")</f>
        <v>হত্যাকারী</v>
      </c>
    </row>
    <row r="1594">
      <c r="A1594" s="2" t="s">
        <v>4448</v>
      </c>
      <c r="B1594" s="3" t="str">
        <f>IFERROR(__xludf.DUMMYFUNCTION("GOOGLETRANSLATE(A1594, ""ar"", ""bn"")"),"বধির")</f>
        <v>বধির</v>
      </c>
    </row>
    <row r="1595">
      <c r="A1595" s="2" t="s">
        <v>4449</v>
      </c>
      <c r="B1595" s="3" t="str">
        <f>IFERROR(__xludf.DUMMYFUNCTION("GOOGLETRANSLATE(A1595, ""ar"", ""bn"")"),"মূক")</f>
        <v>মূক</v>
      </c>
    </row>
    <row r="1596">
      <c r="A1596" s="2" t="s">
        <v>4450</v>
      </c>
      <c r="B1596" s="3" t="str">
        <f>IFERROR(__xludf.DUMMYFUNCTION("GOOGLETRANSLATE(A1596, ""ar"", ""bn"")"),"চুপ কর")</f>
        <v>চুপ কর</v>
      </c>
    </row>
    <row r="1597">
      <c r="A1597" s="2" t="s">
        <v>4448</v>
      </c>
      <c r="B1597" s="3" t="str">
        <f>IFERROR(__xludf.DUMMYFUNCTION("GOOGLETRANSLATE(A1597, ""ar"", ""bn"")"),"বধির")</f>
        <v>বধির</v>
      </c>
    </row>
    <row r="1598">
      <c r="A1598" s="2" t="s">
        <v>4451</v>
      </c>
      <c r="B1598" s="3" t="str">
        <f>IFERROR(__xludf.DUMMYFUNCTION("GOOGLETRANSLATE(A1598, ""ar"", ""bn"")"),"বধির")</f>
        <v>বধির</v>
      </c>
    </row>
    <row r="1599">
      <c r="A1599" s="2" t="s">
        <v>4452</v>
      </c>
      <c r="B1599" s="3" t="str">
        <f>IFERROR(__xludf.DUMMYFUNCTION("GOOGLETRANSLATE(A1599, ""ar"", ""bn"")"),"বধিরতা")</f>
        <v>বধিরতা</v>
      </c>
    </row>
    <row r="1600">
      <c r="A1600" s="2" t="s">
        <v>4453</v>
      </c>
      <c r="B1600" s="3" t="str">
        <f>IFERROR(__xludf.DUMMYFUNCTION("GOOGLETRANSLATE(A1600, ""ar"", ""bn"")"),"অভাব")</f>
        <v>অভাব</v>
      </c>
    </row>
    <row r="1601">
      <c r="A1601" s="2" t="s">
        <v>4454</v>
      </c>
      <c r="B1601" s="3" t="str">
        <f>IFERROR(__xludf.DUMMYFUNCTION("GOOGLETRANSLATE(A1601, ""ar"", ""bn"")"),"মৃত্যু")</f>
        <v>মৃত্যু</v>
      </c>
    </row>
    <row r="1602">
      <c r="A1602" s="2" t="s">
        <v>4455</v>
      </c>
      <c r="B1602" s="3" t="str">
        <f>IFERROR(__xludf.DUMMYFUNCTION("GOOGLETRANSLATE(A1602, ""ar"", ""bn"")"),"মৃত্যুশয্য")</f>
        <v>মৃত্যুশয্য</v>
      </c>
    </row>
    <row r="1603">
      <c r="A1603" s="2" t="s">
        <v>4456</v>
      </c>
      <c r="B1603" s="3" t="str">
        <f>IFERROR(__xludf.DUMMYFUNCTION("GOOGLETRANSLATE(A1603, ""ar"", ""bn"")"),"অমর")</f>
        <v>অমর</v>
      </c>
    </row>
    <row r="1604">
      <c r="A1604" s="2" t="s">
        <v>4457</v>
      </c>
      <c r="B1604" s="3" t="str">
        <f>IFERROR(__xludf.DUMMYFUNCTION("GOOGLETRANSLATE(A1604, ""ar"", ""bn"")"),"মারাত্মক")</f>
        <v>মারাত্মক</v>
      </c>
    </row>
    <row r="1605">
      <c r="A1605" s="2" t="s">
        <v>4458</v>
      </c>
      <c r="B1605" s="3" t="str">
        <f>IFERROR(__xludf.DUMMYFUNCTION("GOOGLETRANSLATE(A1605, ""ar"", ""bn"")"),"মৃত্যু")</f>
        <v>মৃত্যু</v>
      </c>
    </row>
    <row r="1606">
      <c r="A1606" s="2" t="s">
        <v>4459</v>
      </c>
      <c r="B1606" s="3" t="str">
        <f>IFERROR(__xludf.DUMMYFUNCTION("GOOGLETRANSLATE(A1606, ""ar"", ""bn"")"),"discussable")</f>
        <v>discussable</v>
      </c>
    </row>
    <row r="1607">
      <c r="A1607" s="2" t="s">
        <v>4460</v>
      </c>
      <c r="B1607" s="3" t="str">
        <f>IFERROR(__xludf.DUMMYFUNCTION("GOOGLETRANSLATE(A1607, ""ar"", ""bn"")"),"খাতক")</f>
        <v>খাতক</v>
      </c>
    </row>
    <row r="1608">
      <c r="A1608" s="2" t="s">
        <v>4461</v>
      </c>
      <c r="B1608" s="3" t="str">
        <f>IFERROR(__xludf.DUMMYFUNCTION("GOOGLETRANSLATE(A1608, ""ar"", ""bn"")"),"ঋণ গ্রহিতা")</f>
        <v>ঋণ গ্রহিতা</v>
      </c>
    </row>
    <row r="1609">
      <c r="A1609" s="2" t="s">
        <v>4462</v>
      </c>
      <c r="B1609" s="3" t="str">
        <f>IFERROR(__xludf.DUMMYFUNCTION("GOOGLETRANSLATE(A1609, ""ar"", ""bn"")"),"ক্ষয়")</f>
        <v>ক্ষয়</v>
      </c>
    </row>
    <row r="1610">
      <c r="A1610" s="2" t="s">
        <v>4463</v>
      </c>
      <c r="B1610" s="3" t="str">
        <f>IFERROR(__xludf.DUMMYFUNCTION("GOOGLETRANSLATE(A1610, ""ar"", ""bn"")"),"অধ: পতিত")</f>
        <v>অধ: পতিত</v>
      </c>
    </row>
    <row r="1611">
      <c r="A1611" s="2" t="s">
        <v>4464</v>
      </c>
      <c r="B1611" s="3" t="str">
        <f>IFERROR(__xludf.DUMMYFUNCTION("GOOGLETRANSLATE(A1611, ""ar"", ""bn"")"),"ক্ষয়")</f>
        <v>ক্ষয়</v>
      </c>
    </row>
    <row r="1612">
      <c r="A1612" s="2" t="s">
        <v>4210</v>
      </c>
      <c r="B1612" s="3" t="str">
        <f>IFERROR(__xludf.DUMMYFUNCTION("GOOGLETRANSLATE(A1612, ""ar"", ""bn"")"),"দূষিত")</f>
        <v>দূষিত</v>
      </c>
    </row>
    <row r="1613">
      <c r="A1613" s="2" t="s">
        <v>4465</v>
      </c>
      <c r="B1613" s="3" t="str">
        <f>IFERROR(__xludf.DUMMYFUNCTION("GOOGLETRANSLATE(A1613, ""ar"", ""bn"")"),"decomposing")</f>
        <v>decomposing</v>
      </c>
    </row>
    <row r="1614">
      <c r="A1614" s="2" t="s">
        <v>4466</v>
      </c>
      <c r="B1614" s="3" t="str">
        <f>IFERROR(__xludf.DUMMYFUNCTION("GOOGLETRANSLATE(A1614, ""ar"", ""bn"")"),"decays")</f>
        <v>decays</v>
      </c>
    </row>
    <row r="1615">
      <c r="A1615" s="2" t="s">
        <v>4467</v>
      </c>
      <c r="B1615" s="3" t="str">
        <f>IFERROR(__xludf.DUMMYFUNCTION("GOOGLETRANSLATE(A1615, ""ar"", ""bn"")"),"মরণ")</f>
        <v>মরণ</v>
      </c>
    </row>
    <row r="1616">
      <c r="A1616" s="2" t="s">
        <v>4468</v>
      </c>
      <c r="B1616" s="3" t="str">
        <f>IFERROR(__xludf.DUMMYFUNCTION("GOOGLETRANSLATE(A1616, ""ar"", ""bn"")"),"মৃত")</f>
        <v>মৃত</v>
      </c>
    </row>
    <row r="1617">
      <c r="A1617" s="2" t="s">
        <v>4469</v>
      </c>
      <c r="B1617" s="3" t="str">
        <f>IFERROR(__xludf.DUMMYFUNCTION("GOOGLETRANSLATE(A1617, ""ar"", ""bn"")"),"মারা")</f>
        <v>মারা</v>
      </c>
    </row>
    <row r="1618">
      <c r="A1618" s="2" t="s">
        <v>3587</v>
      </c>
      <c r="B1618" s="3" t="str">
        <f>IFERROR(__xludf.DUMMYFUNCTION("GOOGLETRANSLATE(A1618, ""ar"", ""bn"")"),"প্রতারিত")</f>
        <v>প্রতারিত</v>
      </c>
    </row>
    <row r="1619">
      <c r="A1619" s="2" t="s">
        <v>4470</v>
      </c>
      <c r="B1619" s="3" t="str">
        <f>IFERROR(__xludf.DUMMYFUNCTION("GOOGLETRANSLATE(A1619, ""ar"", ""bn"")"),"শঠ")</f>
        <v>শঠ</v>
      </c>
    </row>
    <row r="1620">
      <c r="A1620" s="2" t="s">
        <v>3587</v>
      </c>
      <c r="B1620" s="3" t="str">
        <f>IFERROR(__xludf.DUMMYFUNCTION("GOOGLETRANSLATE(A1620, ""ar"", ""bn"")"),"প্রতারিত")</f>
        <v>প্রতারিত</v>
      </c>
    </row>
    <row r="1621">
      <c r="A1621" s="2" t="s">
        <v>3587</v>
      </c>
      <c r="B1621" s="3" t="str">
        <f>IFERROR(__xludf.DUMMYFUNCTION("GOOGLETRANSLATE(A1621, ""ar"", ""bn"")"),"প্রতারিত")</f>
        <v>প্রতারিত</v>
      </c>
    </row>
    <row r="1622">
      <c r="A1622" s="2" t="s">
        <v>4470</v>
      </c>
      <c r="B1622" s="3" t="str">
        <f>IFERROR(__xludf.DUMMYFUNCTION("GOOGLETRANSLATE(A1622, ""ar"", ""bn"")"),"শঠ")</f>
        <v>শঠ</v>
      </c>
    </row>
    <row r="1623">
      <c r="A1623" s="2" t="s">
        <v>3587</v>
      </c>
      <c r="B1623" s="3" t="str">
        <f>IFERROR(__xludf.DUMMYFUNCTION("GOOGLETRANSLATE(A1623, ""ar"", ""bn"")"),"প্রতারিত")</f>
        <v>প্রতারিত</v>
      </c>
    </row>
    <row r="1624">
      <c r="A1624" s="2" t="s">
        <v>3976</v>
      </c>
      <c r="B1624" s="3" t="str">
        <f>IFERROR(__xludf.DUMMYFUNCTION("GOOGLETRANSLATE(A1624, ""ar"", ""bn"")"),"কৌতুক")</f>
        <v>কৌতুক</v>
      </c>
    </row>
    <row r="1625">
      <c r="A1625" s="2" t="s">
        <v>3976</v>
      </c>
      <c r="B1625" s="3" t="str">
        <f>IFERROR(__xludf.DUMMYFUNCTION("GOOGLETRANSLATE(A1625, ""ar"", ""bn"")"),"কৌতুক")</f>
        <v>কৌতুক</v>
      </c>
    </row>
    <row r="1626">
      <c r="A1626" s="2" t="s">
        <v>3587</v>
      </c>
      <c r="B1626" s="3" t="str">
        <f>IFERROR(__xludf.DUMMYFUNCTION("GOOGLETRANSLATE(A1626, ""ar"", ""bn"")"),"প্রতারিত")</f>
        <v>প্রতারিত</v>
      </c>
    </row>
    <row r="1627">
      <c r="A1627" s="2" t="s">
        <v>4471</v>
      </c>
      <c r="B1627" s="3" t="str">
        <f>IFERROR(__xludf.DUMMYFUNCTION("GOOGLETRANSLATE(A1627, ""ar"", ""bn"")"),"প্রতারণা করা")</f>
        <v>প্রতারণা করা</v>
      </c>
    </row>
    <row r="1628">
      <c r="A1628" s="2" t="s">
        <v>3587</v>
      </c>
      <c r="B1628" s="3" t="str">
        <f>IFERROR(__xludf.DUMMYFUNCTION("GOOGLETRANSLATE(A1628, ""ar"", ""bn"")"),"প্রতারিত")</f>
        <v>প্রতারিত</v>
      </c>
    </row>
    <row r="1629">
      <c r="A1629" s="2" t="s">
        <v>4472</v>
      </c>
      <c r="B1629" s="3" t="str">
        <f>IFERROR(__xludf.DUMMYFUNCTION("GOOGLETRANSLATE(A1629, ""ar"", ""bn"")"),"প্রতারণা")</f>
        <v>প্রতারণা</v>
      </c>
    </row>
    <row r="1630">
      <c r="A1630" s="2" t="s">
        <v>4473</v>
      </c>
      <c r="B1630" s="3" t="str">
        <f>IFERROR(__xludf.DUMMYFUNCTION("GOOGLETRANSLATE(A1630, ""ar"", ""bn"")"),"বিভ্রান্তিকর")</f>
        <v>বিভ্রান্তিকর</v>
      </c>
    </row>
    <row r="1631">
      <c r="A1631" s="2" t="s">
        <v>4474</v>
      </c>
      <c r="B1631" s="3" t="str">
        <f>IFERROR(__xludf.DUMMYFUNCTION("GOOGLETRANSLATE(A1631, ""ar"", ""bn"")"),"প্রতারণা")</f>
        <v>প্রতারণা</v>
      </c>
    </row>
    <row r="1632">
      <c r="A1632" s="2" t="s">
        <v>4475</v>
      </c>
      <c r="B1632" s="3" t="str">
        <f>IFERROR(__xludf.DUMMYFUNCTION("GOOGLETRANSLATE(A1632, ""ar"", ""bn"")"),"ঝরা")</f>
        <v>ঝরা</v>
      </c>
    </row>
    <row r="1633">
      <c r="A1633" s="2" t="s">
        <v>4476</v>
      </c>
      <c r="B1633" s="3" t="str">
        <f>IFERROR(__xludf.DUMMYFUNCTION("GOOGLETRANSLATE(A1633, ""ar"", ""bn"")"),"অস্বীকার")</f>
        <v>অস্বীকার</v>
      </c>
    </row>
    <row r="1634">
      <c r="A1634" s="2" t="s">
        <v>4477</v>
      </c>
      <c r="B1634" s="3" t="str">
        <f>IFERROR(__xludf.DUMMYFUNCTION("GOOGLETRANSLATE(A1634, ""ar"", ""bn"")"),"ঝরা")</f>
        <v>ঝরা</v>
      </c>
    </row>
    <row r="1635">
      <c r="A1635" s="2" t="s">
        <v>4478</v>
      </c>
      <c r="B1635" s="3" t="str">
        <f>IFERROR(__xludf.DUMMYFUNCTION("GOOGLETRANSLATE(A1635, ""ar"", ""bn"")"),"অধ: পতিত")</f>
        <v>অধ: পতিত</v>
      </c>
    </row>
    <row r="1636">
      <c r="A1636" s="2" t="s">
        <v>4479</v>
      </c>
      <c r="B1636" s="3" t="str">
        <f>IFERROR(__xludf.DUMMYFUNCTION("GOOGLETRANSLATE(A1636, ""ar"", ""bn"")"),"পচা")</f>
        <v>পচা</v>
      </c>
    </row>
    <row r="1637">
      <c r="A1637" s="2" t="s">
        <v>4210</v>
      </c>
      <c r="B1637" s="3" t="str">
        <f>IFERROR(__xludf.DUMMYFUNCTION("GOOGLETRANSLATE(A1637, ""ar"", ""bn"")"),"দূষিত")</f>
        <v>দূষিত</v>
      </c>
    </row>
    <row r="1638">
      <c r="A1638" s="2" t="s">
        <v>4479</v>
      </c>
      <c r="B1638" s="3" t="str">
        <f>IFERROR(__xludf.DUMMYFUNCTION("GOOGLETRANSLATE(A1638, ""ar"", ""bn"")"),"পচা")</f>
        <v>পচা</v>
      </c>
    </row>
    <row r="1639">
      <c r="A1639" s="2" t="s">
        <v>4480</v>
      </c>
      <c r="B1639" s="3" t="str">
        <f>IFERROR(__xludf.DUMMYFUNCTION("GOOGLETRANSLATE(A1639, ""ar"", ""bn"")"),"decomposing")</f>
        <v>decomposing</v>
      </c>
    </row>
    <row r="1640">
      <c r="A1640" s="2" t="s">
        <v>4481</v>
      </c>
      <c r="B1640" s="3" t="str">
        <f>IFERROR(__xludf.DUMMYFUNCTION("GOOGLETRANSLATE(A1640, ""ar"", ""bn"")"),"পচানি")</f>
        <v>পচানি</v>
      </c>
    </row>
    <row r="1641">
      <c r="A1641" s="2" t="s">
        <v>4482</v>
      </c>
      <c r="B1641" s="3" t="str">
        <f>IFERROR(__xludf.DUMMYFUNCTION("GOOGLETRANSLATE(A1641, ""ar"", ""bn"")"),"বিশ্লেষণ")</f>
        <v>বিশ্লেষণ</v>
      </c>
    </row>
    <row r="1642">
      <c r="A1642" s="2" t="s">
        <v>4483</v>
      </c>
      <c r="B1642" s="3" t="str">
        <f>IFERROR(__xludf.DUMMYFUNCTION("GOOGLETRANSLATE(A1642, ""ar"", ""bn"")"),"হ্রাস")</f>
        <v>হ্রাস</v>
      </c>
    </row>
    <row r="1643">
      <c r="A1643" s="2" t="s">
        <v>4484</v>
      </c>
      <c r="B1643" s="3" t="str">
        <f>IFERROR(__xludf.DUMMYFUNCTION("GOOGLETRANSLATE(A1643, ""ar"", ""bn"")"),"কমান")</f>
        <v>কমান</v>
      </c>
    </row>
    <row r="1644">
      <c r="A1644" s="2" t="s">
        <v>4485</v>
      </c>
      <c r="B1644" s="3" t="str">
        <f>IFERROR(__xludf.DUMMYFUNCTION("GOOGLETRANSLATE(A1644, ""ar"", ""bn"")"),"কমান")</f>
        <v>কমান</v>
      </c>
    </row>
    <row r="1645">
      <c r="A1645" s="2" t="s">
        <v>4486</v>
      </c>
      <c r="B1645" s="3" t="str">
        <f>IFERROR(__xludf.DUMMYFUNCTION("GOOGLETRANSLATE(A1645, ""ar"", ""bn"")"),"অঙ্কুর")</f>
        <v>অঙ্কুর</v>
      </c>
    </row>
    <row r="1646">
      <c r="A1646" s="2" t="s">
        <v>4487</v>
      </c>
      <c r="B1646" s="3" t="str">
        <f>IFERROR(__xludf.DUMMYFUNCTION("GOOGLETRANSLATE(A1646, ""ar"", ""bn"")"),"মানহানিকর")</f>
        <v>মানহানিকর</v>
      </c>
    </row>
    <row r="1647">
      <c r="A1647" s="2" t="s">
        <v>4486</v>
      </c>
      <c r="B1647" s="3" t="str">
        <f>IFERROR(__xludf.DUMMYFUNCTION("GOOGLETRANSLATE(A1647, ""ar"", ""bn"")"),"অঙ্কুর")</f>
        <v>অঙ্কুর</v>
      </c>
    </row>
    <row r="1648">
      <c r="A1648" s="2" t="s">
        <v>4488</v>
      </c>
      <c r="B1648" s="3" t="str">
        <f>IFERROR(__xludf.DUMMYFUNCTION("GOOGLETRANSLATE(A1648, ""ar"", ""bn"")"),"জুগুপ্সিতি")</f>
        <v>জুগুপ্সিতি</v>
      </c>
    </row>
    <row r="1649">
      <c r="A1649" s="2" t="s">
        <v>4489</v>
      </c>
      <c r="B1649" s="3" t="str">
        <f>IFERROR(__xludf.DUMMYFUNCTION("GOOGLETRANSLATE(A1649, ""ar"", ""bn"")"),"অকীর্তিত")</f>
        <v>অকীর্তিত</v>
      </c>
    </row>
    <row r="1650">
      <c r="A1650" s="2" t="s">
        <v>4490</v>
      </c>
      <c r="B1650" s="3" t="str">
        <f>IFERROR(__xludf.DUMMYFUNCTION("GOOGLETRANSLATE(A1650, ""ar"", ""bn"")"),"মানহানি")</f>
        <v>মানহানি</v>
      </c>
    </row>
    <row r="1651">
      <c r="A1651" s="2" t="s">
        <v>4491</v>
      </c>
      <c r="B1651" s="3" t="str">
        <f>IFERROR(__xludf.DUMMYFUNCTION("GOOGLETRANSLATE(A1651, ""ar"", ""bn"")"),"মানহানি")</f>
        <v>মানহানি</v>
      </c>
    </row>
    <row r="1652">
      <c r="A1652" s="2" t="s">
        <v>4492</v>
      </c>
      <c r="B1652" s="3" t="str">
        <f>IFERROR(__xludf.DUMMYFUNCTION("GOOGLETRANSLATE(A1652, ""ar"", ""bn"")"),"ডিফল্ট")</f>
        <v>ডিফল্ট</v>
      </c>
    </row>
    <row r="1653">
      <c r="A1653" s="2" t="s">
        <v>4493</v>
      </c>
      <c r="B1653" s="3" t="str">
        <f>IFERROR(__xludf.DUMMYFUNCTION("GOOGLETRANSLATE(A1653, ""ar"", ""bn"")"),"পিছিয়ে থাকা")</f>
        <v>পিছিয়ে থাকা</v>
      </c>
    </row>
    <row r="1654">
      <c r="A1654" s="2" t="s">
        <v>4494</v>
      </c>
      <c r="B1654" s="3" t="str">
        <f>IFERROR(__xludf.DUMMYFUNCTION("GOOGLETRANSLATE(A1654, ""ar"", ""bn"")"),"খেলাপকারী")</f>
        <v>খেলাপকারী</v>
      </c>
    </row>
    <row r="1655">
      <c r="A1655" s="2" t="s">
        <v>4495</v>
      </c>
      <c r="B1655" s="3" t="str">
        <f>IFERROR(__xludf.DUMMYFUNCTION("GOOGLETRANSLATE(A1655, ""ar"", ""bn"")"),"খেলাপিদের")</f>
        <v>খেলাপিদের</v>
      </c>
    </row>
    <row r="1656">
      <c r="A1656" s="2" t="s">
        <v>4495</v>
      </c>
      <c r="B1656" s="3" t="str">
        <f>IFERROR(__xludf.DUMMYFUNCTION("GOOGLETRANSLATE(A1656, ""ar"", ""bn"")"),"খেলাপিদের")</f>
        <v>খেলাপিদের</v>
      </c>
    </row>
    <row r="1657">
      <c r="A1657" s="2" t="s">
        <v>4496</v>
      </c>
      <c r="B1657" s="3" t="str">
        <f>IFERROR(__xludf.DUMMYFUNCTION("GOOGLETRANSLATE(A1657, ""ar"", ""bn"")"),"অনুমিতি")</f>
        <v>অনুমিতি</v>
      </c>
    </row>
    <row r="1658">
      <c r="A1658" s="2" t="s">
        <v>647</v>
      </c>
      <c r="B1658" s="3" t="str">
        <f>IFERROR(__xludf.DUMMYFUNCTION("GOOGLETRANSLATE(A1658, ""ar"", ""bn"")"),"পরাজয়")</f>
        <v>পরাজয়</v>
      </c>
    </row>
    <row r="1659">
      <c r="A1659" s="2" t="s">
        <v>4497</v>
      </c>
      <c r="B1659" s="3" t="str">
        <f>IFERROR(__xludf.DUMMYFUNCTION("GOOGLETRANSLATE(A1659, ""ar"", ""bn"")"),"পরাজিত")</f>
        <v>পরাজিত</v>
      </c>
    </row>
    <row r="1660">
      <c r="A1660" s="2" t="s">
        <v>4498</v>
      </c>
      <c r="B1660" s="3" t="str">
        <f>IFERROR(__xludf.DUMMYFUNCTION("GOOGLETRANSLATE(A1660, ""ar"", ""bn"")"),"জয় করো")</f>
        <v>জয় করো</v>
      </c>
    </row>
    <row r="1661">
      <c r="A1661" s="2" t="s">
        <v>4499</v>
      </c>
      <c r="B1661" s="3" t="str">
        <f>IFERROR(__xludf.DUMMYFUNCTION("GOOGLETRANSLATE(A1661, ""ar"", ""bn"")"),"পরাজিত মনোভাব")</f>
        <v>পরাজিত মনোভাব</v>
      </c>
    </row>
    <row r="1662">
      <c r="A1662" s="2" t="s">
        <v>4500</v>
      </c>
      <c r="B1662" s="3" t="str">
        <f>IFERROR(__xludf.DUMMYFUNCTION("GOOGLETRANSLATE(A1662, ""ar"", ""bn"")"),"পরাজিত মনোভাবসম্পন্ন ব্যক্তি")</f>
        <v>পরাজিত মনোভাবসম্পন্ন ব্যক্তি</v>
      </c>
    </row>
    <row r="1663">
      <c r="A1663" s="2" t="s">
        <v>4501</v>
      </c>
      <c r="B1663" s="3" t="str">
        <f>IFERROR(__xludf.DUMMYFUNCTION("GOOGLETRANSLATE(A1663, ""ar"", ""bn"")"),"নষ্ট")</f>
        <v>নষ্ট</v>
      </c>
    </row>
    <row r="1664">
      <c r="A1664" s="2" t="s">
        <v>4499</v>
      </c>
      <c r="B1664" s="3" t="str">
        <f>IFERROR(__xludf.DUMMYFUNCTION("GOOGLETRANSLATE(A1664, ""ar"", ""bn"")"),"পরাজিত মনোভাব")</f>
        <v>পরাজিত মনোভাব</v>
      </c>
    </row>
    <row r="1665">
      <c r="A1665" s="2" t="s">
        <v>4500</v>
      </c>
      <c r="B1665" s="3" t="str">
        <f>IFERROR(__xludf.DUMMYFUNCTION("GOOGLETRANSLATE(A1665, ""ar"", ""bn"")"),"পরাজিত মনোভাবসম্পন্ন ব্যক্তি")</f>
        <v>পরাজিত মনোভাবসম্পন্ন ব্যক্তি</v>
      </c>
    </row>
    <row r="1666">
      <c r="A1666" s="2" t="s">
        <v>4502</v>
      </c>
      <c r="B1666" s="3" t="str">
        <f>IFERROR(__xludf.DUMMYFUNCTION("GOOGLETRANSLATE(A1666, ""ar"", ""bn"")"),"খুঁত")</f>
        <v>খুঁত</v>
      </c>
    </row>
    <row r="1667">
      <c r="A1667" s="2" t="s">
        <v>4503</v>
      </c>
      <c r="B1667" s="3" t="str">
        <f>IFERROR(__xludf.DUMMYFUNCTION("GOOGLETRANSLATE(A1667, ""ar"", ""bn"")"),"বিভক্ত করা")</f>
        <v>বিভক্ত করা</v>
      </c>
    </row>
    <row r="1668">
      <c r="A1668" s="2" t="s">
        <v>4504</v>
      </c>
      <c r="B1668" s="3" t="str">
        <f>IFERROR(__xludf.DUMMYFUNCTION("GOOGLETRANSLATE(A1668, ""ar"", ""bn"")"),"ঝাড়াই করা")</f>
        <v>ঝাড়াই করা</v>
      </c>
    </row>
    <row r="1669">
      <c r="A1669" s="2" t="s">
        <v>4505</v>
      </c>
      <c r="B1669" s="3" t="str">
        <f>IFERROR(__xludf.DUMMYFUNCTION("GOOGLETRANSLATE(A1669, ""ar"", ""bn"")"),"প্রতিক্ষেপ")</f>
        <v>প্রতিক্ষেপ</v>
      </c>
    </row>
    <row r="1670">
      <c r="A1670" s="2" t="s">
        <v>4506</v>
      </c>
      <c r="B1670" s="3" t="str">
        <f>IFERROR(__xludf.DUMMYFUNCTION("GOOGLETRANSLATE(A1670, ""ar"", ""bn"")"),"splits")</f>
        <v>splits</v>
      </c>
    </row>
    <row r="1671">
      <c r="A1671" s="2" t="s">
        <v>4507</v>
      </c>
      <c r="B1671" s="3" t="str">
        <f>IFERROR(__xludf.DUMMYFUNCTION("GOOGLETRANSLATE(A1671, ""ar"", ""bn"")"),"ত্রুটিপূর্ণ")</f>
        <v>ত্রুটিপূর্ণ</v>
      </c>
    </row>
    <row r="1672">
      <c r="A1672" s="2" t="s">
        <v>4502</v>
      </c>
      <c r="B1672" s="3" t="str">
        <f>IFERROR(__xludf.DUMMYFUNCTION("GOOGLETRANSLATE(A1672, ""ar"", ""bn"")"),"খুঁত")</f>
        <v>খুঁত</v>
      </c>
    </row>
    <row r="1673">
      <c r="A1673" s="2" t="s">
        <v>4508</v>
      </c>
      <c r="B1673" s="3" t="str">
        <f>IFERROR(__xludf.DUMMYFUNCTION("GOOGLETRANSLATE(A1673, ""ar"", ""bn"")"),"Devikhiawls")</f>
        <v>Devikhiawls</v>
      </c>
    </row>
    <row r="1674">
      <c r="A1674" s="2" t="s">
        <v>4509</v>
      </c>
      <c r="B1674" s="3" t="str">
        <f>IFERROR(__xludf.DUMMYFUNCTION("GOOGLETRANSLATE(A1674, ""ar"", ""bn"")"),"মাউস")</f>
        <v>মাউস</v>
      </c>
    </row>
    <row r="1675">
      <c r="A1675" s="2" t="s">
        <v>4510</v>
      </c>
      <c r="B1675" s="3" t="str">
        <f>IFERROR(__xludf.DUMMYFUNCTION("GOOGLETRANSLATE(A1675, ""ar"", ""bn"")"),"বিদ্রোহীদের")</f>
        <v>বিদ্রোহীদের</v>
      </c>
    </row>
    <row r="1676">
      <c r="A1676" s="2" t="s">
        <v>3679</v>
      </c>
      <c r="B1676" s="3" t="str">
        <f>IFERROR(__xludf.DUMMYFUNCTION("GOOGLETRANSLATE(A1676, ""ar"", ""bn"")"),"অপূর্ণতা")</f>
        <v>অপূর্ণতা</v>
      </c>
    </row>
    <row r="1677">
      <c r="A1677" s="2" t="s">
        <v>4507</v>
      </c>
      <c r="B1677" s="3" t="str">
        <f>IFERROR(__xludf.DUMMYFUNCTION("GOOGLETRANSLATE(A1677, ""ar"", ""bn"")"),"ত্রুটিপূর্ণ")</f>
        <v>ত্রুটিপূর্ণ</v>
      </c>
    </row>
    <row r="1678">
      <c r="A1678" s="2" t="s">
        <v>4502</v>
      </c>
      <c r="B1678" s="3" t="str">
        <f>IFERROR(__xludf.DUMMYFUNCTION("GOOGLETRANSLATE(A1678, ""ar"", ""bn"")"),"খুঁত")</f>
        <v>খুঁত</v>
      </c>
    </row>
    <row r="1679">
      <c r="A1679" s="2" t="s">
        <v>4508</v>
      </c>
      <c r="B1679" s="3" t="str">
        <f>IFERROR(__xludf.DUMMYFUNCTION("GOOGLETRANSLATE(A1679, ""ar"", ""bn"")"),"Devikhiawls")</f>
        <v>Devikhiawls</v>
      </c>
    </row>
    <row r="1680">
      <c r="A1680" s="2" t="s">
        <v>4511</v>
      </c>
      <c r="B1680" s="3" t="str">
        <f>IFERROR(__xludf.DUMMYFUNCTION("GOOGLETRANSLATE(A1680, ""ar"", ""bn"")"),"প্রতিরক্ষা")</f>
        <v>প্রতিরক্ষা</v>
      </c>
    </row>
    <row r="1681">
      <c r="A1681" s="2" t="s">
        <v>4512</v>
      </c>
      <c r="B1681" s="3" t="str">
        <f>IFERROR(__xludf.DUMMYFUNCTION("GOOGLETRANSLATE(A1681, ""ar"", ""bn"")"),"অন্তরণ")</f>
        <v>অন্তরণ</v>
      </c>
    </row>
    <row r="1682">
      <c r="A1682" s="2" t="s">
        <v>4513</v>
      </c>
      <c r="B1682" s="3" t="str">
        <f>IFERROR(__xludf.DUMMYFUNCTION("GOOGLETRANSLATE(A1682, ""ar"", ""bn"")"),"প্রতিরক্ষা")</f>
        <v>প্রতিরক্ষা</v>
      </c>
    </row>
    <row r="1683">
      <c r="A1683" s="2" t="s">
        <v>4514</v>
      </c>
      <c r="B1683" s="3" t="str">
        <f>IFERROR(__xludf.DUMMYFUNCTION("GOOGLETRANSLATE(A1683, ""ar"", ""bn"")"),"প্রতিবন্ধক")</f>
        <v>প্রতিবন্ধক</v>
      </c>
    </row>
    <row r="1684">
      <c r="A1684" s="2" t="s">
        <v>4515</v>
      </c>
      <c r="B1684" s="3" t="str">
        <f>IFERROR(__xludf.DUMMYFUNCTION("GOOGLETRANSLATE(A1684, ""ar"", ""bn"")"),"প্রতিবাদী")</f>
        <v>প্রতিবাদী</v>
      </c>
    </row>
    <row r="1685">
      <c r="A1685" s="2" t="s">
        <v>4516</v>
      </c>
      <c r="B1685" s="3" t="str">
        <f>IFERROR(__xludf.DUMMYFUNCTION("GOOGLETRANSLATE(A1685, ""ar"", ""bn"")"),"অভিযুক্ত")</f>
        <v>অভিযুক্ত</v>
      </c>
    </row>
    <row r="1686">
      <c r="A1686" s="2" t="s">
        <v>4517</v>
      </c>
      <c r="B1686" s="3" t="str">
        <f>IFERROR(__xludf.DUMMYFUNCTION("GOOGLETRANSLATE(A1686, ""ar"", ""bn"")"),"আত্মরক্ষামূলক")</f>
        <v>আত্মরক্ষামূলক</v>
      </c>
    </row>
    <row r="1687">
      <c r="A1687" s="2" t="s">
        <v>4518</v>
      </c>
      <c r="B1687" s="3" t="str">
        <f>IFERROR(__xludf.DUMMYFUNCTION("GOOGLETRANSLATE(A1687, ""ar"", ""bn"")"),"প্রতিরক্ষা")</f>
        <v>প্রতিরক্ষা</v>
      </c>
    </row>
    <row r="1688">
      <c r="A1688" s="2" t="s">
        <v>4519</v>
      </c>
      <c r="B1688" s="3" t="str">
        <f>IFERROR(__xludf.DUMMYFUNCTION("GOOGLETRANSLATE(A1688, ""ar"", ""bn"")"),"প্রতিরক্ষা")</f>
        <v>প্রতিরক্ষা</v>
      </c>
    </row>
    <row r="1689">
      <c r="A1689" s="2" t="s">
        <v>3947</v>
      </c>
      <c r="B1689" s="3" t="str">
        <f>IFERROR(__xludf.DUMMYFUNCTION("GOOGLETRANSLATE(A1689, ""ar"", ""bn"")"),"চ্যালেঞ্জ")</f>
        <v>চ্যালেঞ্জ</v>
      </c>
    </row>
    <row r="1690">
      <c r="A1690" s="2" t="s">
        <v>4520</v>
      </c>
      <c r="B1690" s="3" t="str">
        <f>IFERROR(__xludf.DUMMYFUNCTION("GOOGLETRANSLATE(A1690, ""ar"", ""bn"")"),"সাহসী")</f>
        <v>সাহসী</v>
      </c>
    </row>
    <row r="1691">
      <c r="A1691" s="2" t="s">
        <v>4521</v>
      </c>
      <c r="B1691" s="3" t="str">
        <f>IFERROR(__xludf.DUMMYFUNCTION("GOOGLETRANSLATE(A1691, ""ar"", ""bn"")"),"ক্ষোভের সঙ্গে")</f>
        <v>ক্ষোভের সঙ্গে</v>
      </c>
    </row>
    <row r="1692">
      <c r="A1692" s="2" t="s">
        <v>4522</v>
      </c>
      <c r="B1692" s="3" t="str">
        <f>IFERROR(__xludf.DUMMYFUNCTION("GOOGLETRANSLATE(A1692, ""ar"", ""bn"")"),"স্বল্পতা")</f>
        <v>স্বল্পতা</v>
      </c>
    </row>
    <row r="1693">
      <c r="A1693" s="2" t="s">
        <v>4523</v>
      </c>
      <c r="B1693" s="3" t="str">
        <f>IFERROR(__xludf.DUMMYFUNCTION("GOOGLETRANSLATE(A1693, ""ar"", ""bn"")"),"ঋণচিহ্ন")</f>
        <v>ঋণচিহ্ন</v>
      </c>
    </row>
    <row r="1694">
      <c r="A1694" s="2" t="s">
        <v>4524</v>
      </c>
      <c r="B1694" s="3" t="str">
        <f>IFERROR(__xludf.DUMMYFUNCTION("GOOGLETRANSLATE(A1694, ""ar"", ""bn"")"),"ঘাটতি")</f>
        <v>ঘাটতি</v>
      </c>
    </row>
    <row r="1695">
      <c r="A1695" s="2" t="s">
        <v>4524</v>
      </c>
      <c r="B1695" s="3" t="str">
        <f>IFERROR(__xludf.DUMMYFUNCTION("GOOGLETRANSLATE(A1695, ""ar"", ""bn"")"),"ঘাটতি")</f>
        <v>ঘাটতি</v>
      </c>
    </row>
    <row r="1696">
      <c r="A1696" s="2" t="s">
        <v>4525</v>
      </c>
      <c r="B1696" s="3" t="str">
        <f>IFERROR(__xludf.DUMMYFUNCTION("GOOGLETRANSLATE(A1696, ""ar"", ""bn"")"),"গিরিসঙ্কট")</f>
        <v>গিরিসঙ্কট</v>
      </c>
    </row>
    <row r="1697">
      <c r="A1697" s="2" t="s">
        <v>4526</v>
      </c>
      <c r="B1697" s="3" t="str">
        <f>IFERROR(__xludf.DUMMYFUNCTION("GOOGLETRANSLATE(A1697, ""ar"", ""bn"")"),"কলুষিত")</f>
        <v>কলুষিত</v>
      </c>
    </row>
    <row r="1698">
      <c r="A1698" s="2" t="s">
        <v>4527</v>
      </c>
      <c r="B1698" s="3" t="str">
        <f>IFERROR(__xludf.DUMMYFUNCTION("GOOGLETRANSLATE(A1698, ""ar"", ""bn"")"),"অপবিত্রতা")</f>
        <v>অপবিত্রতা</v>
      </c>
    </row>
    <row r="1699">
      <c r="A1699" s="2" t="s">
        <v>4528</v>
      </c>
      <c r="B1699" s="3" t="str">
        <f>IFERROR(__xludf.DUMMYFUNCTION("GOOGLETRANSLATE(A1699, ""ar"", ""bn"")"),"অশুচি")</f>
        <v>অশুচি</v>
      </c>
    </row>
    <row r="1700">
      <c r="A1700" s="2" t="s">
        <v>3948</v>
      </c>
      <c r="B1700" s="3" t="str">
        <f>IFERROR(__xludf.DUMMYFUNCTION("GOOGLETRANSLATE(A1700, ""ar"", ""bn"")"),"একটি চ্যালেঞ্জ")</f>
        <v>একটি চ্যালেঞ্জ</v>
      </c>
    </row>
    <row r="1701">
      <c r="A1701" s="2" t="s">
        <v>4529</v>
      </c>
      <c r="B1701" s="3" t="str">
        <f>IFERROR(__xludf.DUMMYFUNCTION("GOOGLETRANSLATE(A1701, ""ar"", ""bn"")"),"চ্যালেঞ্জ")</f>
        <v>চ্যালেঞ্জ</v>
      </c>
    </row>
    <row r="1702">
      <c r="A1702" s="2" t="s">
        <v>4463</v>
      </c>
      <c r="B1702" s="3" t="str">
        <f>IFERROR(__xludf.DUMMYFUNCTION("GOOGLETRANSLATE(A1702, ""ar"", ""bn"")"),"অধ: পতিত")</f>
        <v>অধ: পতিত</v>
      </c>
    </row>
    <row r="1703">
      <c r="A1703" s="2" t="s">
        <v>4478</v>
      </c>
      <c r="B1703" s="3" t="str">
        <f>IFERROR(__xludf.DUMMYFUNCTION("GOOGLETRANSLATE(A1703, ""ar"", ""bn"")"),"অধ: পতিত")</f>
        <v>অধ: পতিত</v>
      </c>
    </row>
    <row r="1704">
      <c r="A1704" s="2" t="s">
        <v>4530</v>
      </c>
      <c r="B1704" s="3" t="str">
        <f>IFERROR(__xludf.DUMMYFUNCTION("GOOGLETRANSLATE(A1704, ""ar"", ""bn"")"),"বিচ্যুত হয়ে")</f>
        <v>বিচ্যুত হয়ে</v>
      </c>
    </row>
    <row r="1705">
      <c r="A1705" s="2" t="s">
        <v>4531</v>
      </c>
      <c r="B1705" s="3" t="str">
        <f>IFERROR(__xludf.DUMMYFUNCTION("GOOGLETRANSLATE(A1705, ""ar"", ""bn"")"),"বিভেদ")</f>
        <v>বিভেদ</v>
      </c>
    </row>
    <row r="1706">
      <c r="A1706" s="2" t="s">
        <v>4532</v>
      </c>
      <c r="B1706" s="3" t="str">
        <f>IFERROR(__xludf.DUMMYFUNCTION("GOOGLETRANSLATE(A1706, ""ar"", ""bn"")"),"পতন")</f>
        <v>পতন</v>
      </c>
    </row>
    <row r="1707">
      <c r="A1707" s="2" t="s">
        <v>4532</v>
      </c>
      <c r="B1707" s="3" t="str">
        <f>IFERROR(__xludf.DUMMYFUNCTION("GOOGLETRANSLATE(A1707, ""ar"", ""bn"")"),"পতন")</f>
        <v>পতন</v>
      </c>
    </row>
    <row r="1708">
      <c r="A1708" s="2" t="s">
        <v>4479</v>
      </c>
      <c r="B1708" s="3" t="str">
        <f>IFERROR(__xludf.DUMMYFUNCTION("GOOGLETRANSLATE(A1708, ""ar"", ""bn"")"),"পচা")</f>
        <v>পচা</v>
      </c>
    </row>
    <row r="1709">
      <c r="A1709" s="2" t="s">
        <v>4533</v>
      </c>
      <c r="B1709" s="3" t="str">
        <f>IFERROR(__xludf.DUMMYFUNCTION("GOOGLETRANSLATE(A1709, ""ar"", ""bn"")"),"অধ: পতিত")</f>
        <v>অধ: পতিত</v>
      </c>
    </row>
    <row r="1710">
      <c r="A1710" s="2" t="s">
        <v>4534</v>
      </c>
      <c r="B1710" s="3" t="str">
        <f>IFERROR(__xludf.DUMMYFUNCTION("GOOGLETRANSLATE(A1710, ""ar"", ""bn"")"),"degrades")</f>
        <v>degrades</v>
      </c>
    </row>
    <row r="1711">
      <c r="A1711" s="2" t="s">
        <v>4535</v>
      </c>
      <c r="B1711" s="3" t="str">
        <f>IFERROR(__xludf.DUMMYFUNCTION("GOOGLETRANSLATE(A1711, ""ar"", ""bn"")"),"অপমান")</f>
        <v>অপমান</v>
      </c>
    </row>
    <row r="1712">
      <c r="A1712" s="2" t="s">
        <v>4536</v>
      </c>
      <c r="B1712" s="3" t="str">
        <f>IFERROR(__xludf.DUMMYFUNCTION("GOOGLETRANSLATE(A1712, ""ar"", ""bn"")"),"বিমর্ষ - বিষণ্ণ")</f>
        <v>বিমর্ষ - বিষণ্ণ</v>
      </c>
    </row>
    <row r="1713">
      <c r="A1713" s="2" t="s">
        <v>4537</v>
      </c>
      <c r="B1713" s="3" t="str">
        <f>IFERROR(__xludf.DUMMYFUNCTION("GOOGLETRANSLATE(A1713, ""ar"", ""bn"")"),"বিষণ্নভাবে")</f>
        <v>বিষণ্নভাবে</v>
      </c>
    </row>
    <row r="1714">
      <c r="A1714" s="2" t="s">
        <v>4538</v>
      </c>
      <c r="B1714" s="3" t="str">
        <f>IFERROR(__xludf.DUMMYFUNCTION("GOOGLETRANSLATE(A1714, ""ar"", ""bn"")"),"বিলম্ব")</f>
        <v>বিলম্ব</v>
      </c>
    </row>
    <row r="1715">
      <c r="A1715" s="2" t="s">
        <v>4539</v>
      </c>
      <c r="B1715" s="3" t="str">
        <f>IFERROR(__xludf.DUMMYFUNCTION("GOOGLETRANSLATE(A1715, ""ar"", ""bn"")"),"বিলম্বিত")</f>
        <v>বিলম্বিত</v>
      </c>
    </row>
    <row r="1716">
      <c r="A1716" s="2" t="s">
        <v>4540</v>
      </c>
      <c r="B1716" s="3" t="str">
        <f>IFERROR(__xludf.DUMMYFUNCTION("GOOGLETRANSLATE(A1716, ""ar"", ""bn"")"),"retardant")</f>
        <v>retardant</v>
      </c>
    </row>
    <row r="1717">
      <c r="A1717" s="2" t="s">
        <v>4541</v>
      </c>
      <c r="B1717" s="3" t="str">
        <f>IFERROR(__xludf.DUMMYFUNCTION("GOOGLETRANSLATE(A1717, ""ar"", ""bn"")"),"বিলম্ব")</f>
        <v>বিলম্ব</v>
      </c>
    </row>
    <row r="1718">
      <c r="A1718" s="2" t="s">
        <v>4542</v>
      </c>
      <c r="B1718" s="3" t="str">
        <f>IFERROR(__xludf.DUMMYFUNCTION("GOOGLETRANSLATE(A1718, ""ar"", ""bn"")"),"অমর্যাদাপূর্ণ")</f>
        <v>অমর্যাদাপূর্ণ</v>
      </c>
    </row>
    <row r="1719">
      <c r="A1719" s="2" t="s">
        <v>4543</v>
      </c>
      <c r="B1719" s="3" t="str">
        <f>IFERROR(__xludf.DUMMYFUNCTION("GOOGLETRANSLATE(A1719, ""ar"", ""bn"")"),"অপরাধী")</f>
        <v>অপরাধী</v>
      </c>
    </row>
    <row r="1720">
      <c r="A1720" s="2" t="s">
        <v>4544</v>
      </c>
      <c r="B1720" s="3" t="str">
        <f>IFERROR(__xludf.DUMMYFUNCTION("GOOGLETRANSLATE(A1720, ""ar"", ""bn"")"),"অপরাধী")</f>
        <v>অপরাধী</v>
      </c>
    </row>
    <row r="1721">
      <c r="A1721" s="2" t="s">
        <v>4545</v>
      </c>
      <c r="B1721" s="3" t="str">
        <f>IFERROR(__xludf.DUMMYFUNCTION("GOOGLETRANSLATE(A1721, ""ar"", ""bn"")"),"প্রলাপ")</f>
        <v>প্রলাপ</v>
      </c>
    </row>
    <row r="1722">
      <c r="A1722" s="2" t="s">
        <v>3933</v>
      </c>
      <c r="B1722" s="3" t="str">
        <f>IFERROR(__xludf.DUMMYFUNCTION("GOOGLETRANSLATE(A1722, ""ar"", ""bn"")"),"বন্যা")</f>
        <v>বন্যা</v>
      </c>
    </row>
    <row r="1723">
      <c r="A1723" s="2" t="s">
        <v>4546</v>
      </c>
      <c r="B1723" s="3" t="str">
        <f>IFERROR(__xludf.DUMMYFUNCTION("GOOGLETRANSLATE(A1723, ""ar"", ""bn"")"),"নির্গত")</f>
        <v>নির্গত</v>
      </c>
    </row>
    <row r="1724">
      <c r="A1724" s="2" t="s">
        <v>4547</v>
      </c>
      <c r="B1724" s="3" t="str">
        <f>IFERROR(__xludf.DUMMYFUNCTION("GOOGLETRANSLATE(A1724, ""ar"", ""bn"")"),"Deluges")</f>
        <v>Deluges</v>
      </c>
    </row>
    <row r="1725">
      <c r="A1725" s="2" t="s">
        <v>4548</v>
      </c>
      <c r="B1725" s="3" t="str">
        <f>IFERROR(__xludf.DUMMYFUNCTION("GOOGLETRANSLATE(A1725, ""ar"", ""bn"")"),"বিভ্রম")</f>
        <v>বিভ্রম</v>
      </c>
    </row>
    <row r="1726">
      <c r="A1726" s="2" t="s">
        <v>4549</v>
      </c>
      <c r="B1726" s="3" t="str">
        <f>IFERROR(__xludf.DUMMYFUNCTION("GOOGLETRANSLATE(A1726, ""ar"", ""bn"")"),"ভূত")</f>
        <v>ভূত</v>
      </c>
    </row>
    <row r="1727">
      <c r="A1727" s="2" t="s">
        <v>4107</v>
      </c>
      <c r="B1727" s="3" t="str">
        <f>IFERROR(__xludf.DUMMYFUNCTION("GOOGLETRANSLATE(A1727, ""ar"", ""bn"")"),"কল্পনাকে")</f>
        <v>কল্পনাকে</v>
      </c>
    </row>
    <row r="1728">
      <c r="A1728" s="2" t="s">
        <v>4550</v>
      </c>
      <c r="B1728" s="3" t="str">
        <f>IFERROR(__xludf.DUMMYFUNCTION("GOOGLETRANSLATE(A1728, ""ar"", ""bn"")"),"হীন করা")</f>
        <v>হীন করা</v>
      </c>
    </row>
    <row r="1729">
      <c r="A1729" s="2" t="s">
        <v>4551</v>
      </c>
      <c r="B1729" s="3" t="str">
        <f>IFERROR(__xludf.DUMMYFUNCTION("GOOGLETRANSLATE(A1729, ""ar"", ""bn"")"),"হীনমন্যতায় ভোগার যুক্তিসংগত কারণ")</f>
        <v>হীনমন্যতায় ভোগার যুক্তিসংগত কারণ</v>
      </c>
    </row>
    <row r="1730">
      <c r="A1730" s="2" t="s">
        <v>4552</v>
      </c>
      <c r="B1730" s="3" t="str">
        <f>IFERROR(__xludf.DUMMYFUNCTION("GOOGLETRANSLATE(A1730, ""ar"", ""bn"")"),"অধ: পতিত")</f>
        <v>অধ: পতিত</v>
      </c>
    </row>
    <row r="1731">
      <c r="A1731" s="2" t="s">
        <v>4553</v>
      </c>
      <c r="B1731" s="3" t="str">
        <f>IFERROR(__xludf.DUMMYFUNCTION("GOOGLETRANSLATE(A1731, ""ar"", ""bn"")"),"আচরণ")</f>
        <v>আচরণ</v>
      </c>
    </row>
    <row r="1732">
      <c r="A1732" s="2" t="s">
        <v>4534</v>
      </c>
      <c r="B1732" s="3" t="str">
        <f>IFERROR(__xludf.DUMMYFUNCTION("GOOGLETRANSLATE(A1732, ""ar"", ""bn"")"),"degrades")</f>
        <v>degrades</v>
      </c>
    </row>
    <row r="1733">
      <c r="A1733" s="2" t="s">
        <v>4554</v>
      </c>
      <c r="B1733" s="3" t="str">
        <f>IFERROR(__xludf.DUMMYFUNCTION("GOOGLETRANSLATE(A1733, ""ar"", ""bn"")"),"মরণ")</f>
        <v>মরণ</v>
      </c>
    </row>
    <row r="1734">
      <c r="A1734" s="2" t="s">
        <v>4555</v>
      </c>
      <c r="B1734" s="3" t="str">
        <f>IFERROR(__xludf.DUMMYFUNCTION("GOOGLETRANSLATE(A1734, ""ar"", ""bn"")"),"লিজড")</f>
        <v>লিজড</v>
      </c>
    </row>
    <row r="1735">
      <c r="A1735" s="2" t="s">
        <v>4556</v>
      </c>
      <c r="B1735" s="3" t="str">
        <f>IFERROR(__xludf.DUMMYFUNCTION("GOOGLETRANSLATE(A1735, ""ar"", ""bn"")"),"ধ্বংসকরণ")</f>
        <v>ধ্বংসকরণ</v>
      </c>
    </row>
    <row r="1736">
      <c r="A1736" s="2" t="s">
        <v>4556</v>
      </c>
      <c r="B1736" s="3" t="str">
        <f>IFERROR(__xludf.DUMMYFUNCTION("GOOGLETRANSLATE(A1736, ""ar"", ""bn"")"),"ধ্বংসকরণ")</f>
        <v>ধ্বংসকরণ</v>
      </c>
    </row>
    <row r="1737">
      <c r="A1737" s="2" t="s">
        <v>4557</v>
      </c>
      <c r="B1737" s="3" t="str">
        <f>IFERROR(__xludf.DUMMYFUNCTION("GOOGLETRANSLATE(A1737, ""ar"", ""bn"")"),"ধ্বংসাত্মক")</f>
        <v>ধ্বংসাত্মক</v>
      </c>
    </row>
    <row r="1738">
      <c r="A1738" s="2" t="s">
        <v>4558</v>
      </c>
      <c r="B1738" s="3" t="str">
        <f>IFERROR(__xludf.DUMMYFUNCTION("GOOGLETRANSLATE(A1738, ""ar"", ""bn"")"),"ছাঁচকার")</f>
        <v>ছাঁচকার</v>
      </c>
    </row>
    <row r="1739">
      <c r="A1739" s="2" t="s">
        <v>4556</v>
      </c>
      <c r="B1739" s="3" t="str">
        <f>IFERROR(__xludf.DUMMYFUNCTION("GOOGLETRANSLATE(A1739, ""ar"", ""bn"")"),"ধ্বংসকরণ")</f>
        <v>ধ্বংসকরণ</v>
      </c>
    </row>
    <row r="1740">
      <c r="A1740" s="2" t="s">
        <v>4559</v>
      </c>
      <c r="B1740" s="3" t="str">
        <f>IFERROR(__xludf.DUMMYFUNCTION("GOOGLETRANSLATE(A1740, ""ar"", ""bn"")"),"একটি দৈত্য")</f>
        <v>একটি দৈত্য</v>
      </c>
    </row>
    <row r="1741">
      <c r="A1741" s="2" t="s">
        <v>4560</v>
      </c>
      <c r="B1741" s="3" t="str">
        <f>IFERROR(__xludf.DUMMYFUNCTION("GOOGLETRANSLATE(A1741, ""ar"", ""bn"")"),"দুষ্ট")</f>
        <v>দুষ্ট</v>
      </c>
    </row>
    <row r="1742">
      <c r="A1742" s="2" t="s">
        <v>4561</v>
      </c>
      <c r="B1742" s="3" t="str">
        <f>IFERROR(__xludf.DUMMYFUNCTION("GOOGLETRANSLATE(A1742, ""ar"", ""bn"")"),"ভাবমূর্তি বিকৃতি")</f>
        <v>ভাবমূর্তি বিকৃতি</v>
      </c>
    </row>
    <row r="1743">
      <c r="A1743" s="2" t="s">
        <v>4562</v>
      </c>
      <c r="B1743" s="3" t="str">
        <f>IFERROR(__xludf.DUMMYFUNCTION("GOOGLETRANSLATE(A1743, ""ar"", ""bn"")"),"পিশাচতত্ত্ব")</f>
        <v>পিশাচতত্ত্ব</v>
      </c>
    </row>
    <row r="1744">
      <c r="A1744" s="2" t="s">
        <v>4563</v>
      </c>
      <c r="B1744" s="3" t="str">
        <f>IFERROR(__xludf.DUMMYFUNCTION("GOOGLETRANSLATE(A1744, ""ar"", ""bn"")"),"শয়তানদের")</f>
        <v>শয়তানদের</v>
      </c>
    </row>
    <row r="1745">
      <c r="A1745" s="2" t="s">
        <v>4564</v>
      </c>
      <c r="B1745" s="3" t="str">
        <f>IFERROR(__xludf.DUMMYFUNCTION("GOOGLETRANSLATE(A1745, ""ar"", ""bn"")"),"স্পষ্ট করা এমন")</f>
        <v>স্পষ্ট করা এমন</v>
      </c>
    </row>
    <row r="1746">
      <c r="A1746" s="2" t="s">
        <v>4565</v>
      </c>
      <c r="B1746" s="3" t="str">
        <f>IFERROR(__xludf.DUMMYFUNCTION("GOOGLETRANSLATE(A1746, ""ar"", ""bn"")"),"পরিষ্কার")</f>
        <v>পরিষ্কার</v>
      </c>
    </row>
    <row r="1747">
      <c r="A1747" s="2" t="s">
        <v>4566</v>
      </c>
      <c r="B1747" s="3" t="str">
        <f>IFERROR(__xludf.DUMMYFUNCTION("GOOGLETRANSLATE(A1747, ""ar"", ""bn"")"),"ব্যাখ্যা")</f>
        <v>ব্যাখ্যা</v>
      </c>
    </row>
    <row r="1748">
      <c r="A1748" s="2" t="s">
        <v>4567</v>
      </c>
      <c r="B1748" s="3" t="str">
        <f>IFERROR(__xludf.DUMMYFUNCTION("GOOGLETRANSLATE(A1748, ""ar"", ""bn"")"),"ভান করা")</f>
        <v>ভান করা</v>
      </c>
    </row>
    <row r="1749">
      <c r="A1749" s="2" t="s">
        <v>4568</v>
      </c>
      <c r="B1749" s="3" t="str">
        <f>IFERROR(__xludf.DUMMYFUNCTION("GOOGLETRANSLATE(A1749, ""ar"", ""bn"")"),"প্রকাশ")</f>
        <v>প্রকাশ</v>
      </c>
    </row>
    <row r="1750">
      <c r="A1750" s="2" t="s">
        <v>4569</v>
      </c>
      <c r="B1750" s="3" t="str">
        <f>IFERROR(__xludf.DUMMYFUNCTION("GOOGLETRANSLATE(A1750, ""ar"", ""bn"")"),"ভান করা")</f>
        <v>ভান করা</v>
      </c>
    </row>
    <row r="1751">
      <c r="A1751" s="2" t="s">
        <v>4570</v>
      </c>
      <c r="B1751" s="3" t="str">
        <f>IFERROR(__xludf.DUMMYFUNCTION("GOOGLETRANSLATE(A1751, ""ar"", ""bn"")"),"প্রদর্শন")</f>
        <v>প্রদর্শন</v>
      </c>
    </row>
    <row r="1752">
      <c r="A1752" s="2" t="s">
        <v>4571</v>
      </c>
      <c r="B1752" s="3" t="str">
        <f>IFERROR(__xludf.DUMMYFUNCTION("GOOGLETRANSLATE(A1752, ""ar"", ""bn"")"),"প্রতিবাদ")</f>
        <v>প্রতিবাদ</v>
      </c>
    </row>
    <row r="1753">
      <c r="A1753" s="2" t="s">
        <v>4572</v>
      </c>
      <c r="B1753" s="3" t="str">
        <f>IFERROR(__xludf.DUMMYFUNCTION("GOOGLETRANSLATE(A1753, ""ar"", ""bn"")"),"Evincive")</f>
        <v>Evincive</v>
      </c>
    </row>
    <row r="1754">
      <c r="A1754" s="2" t="s">
        <v>4572</v>
      </c>
      <c r="B1754" s="3" t="str">
        <f>IFERROR(__xludf.DUMMYFUNCTION("GOOGLETRANSLATE(A1754, ""ar"", ""bn"")"),"Evincive")</f>
        <v>Evincive</v>
      </c>
    </row>
    <row r="1755">
      <c r="A1755" s="2" t="s">
        <v>4573</v>
      </c>
      <c r="B1755" s="3" t="str">
        <f>IFERROR(__xludf.DUMMYFUNCTION("GOOGLETRANSLATE(A1755, ""ar"", ""bn"")"),"সক্রিয় অংশগ্রহণকারী")</f>
        <v>সক্রিয় অংশগ্রহণকারী</v>
      </c>
    </row>
    <row r="1756">
      <c r="A1756" s="2" t="s">
        <v>4574</v>
      </c>
      <c r="B1756" s="3" t="str">
        <f>IFERROR(__xludf.DUMMYFUNCTION("GOOGLETRANSLATE(A1756, ""ar"", ""bn"")"),"প্রতিবাদকারীরা")</f>
        <v>প্রতিবাদকারীরা</v>
      </c>
    </row>
    <row r="1757">
      <c r="A1757" s="2" t="s">
        <v>4575</v>
      </c>
      <c r="B1757" s="3" t="str">
        <f>IFERROR(__xludf.DUMMYFUNCTION("GOOGLETRANSLATE(A1757, ""ar"", ""bn"")"),"অস্বীকার")</f>
        <v>অস্বীকার</v>
      </c>
    </row>
    <row r="1758">
      <c r="A1758" s="2" t="s">
        <v>3523</v>
      </c>
      <c r="B1758" s="3" t="str">
        <f>IFERROR(__xludf.DUMMYFUNCTION("GOOGLETRANSLATE(A1758, ""ar"", ""bn"")"),"অস্বীকৃতি")</f>
        <v>অস্বীকৃতি</v>
      </c>
    </row>
    <row r="1759">
      <c r="A1759" s="2" t="s">
        <v>4476</v>
      </c>
      <c r="B1759" s="3" t="str">
        <f>IFERROR(__xludf.DUMMYFUNCTION("GOOGLETRANSLATE(A1759, ""ar"", ""bn"")"),"অস্বীকার")</f>
        <v>অস্বীকার</v>
      </c>
    </row>
    <row r="1760">
      <c r="A1760" s="2" t="s">
        <v>4109</v>
      </c>
      <c r="B1760" s="3" t="str">
        <f>IFERROR(__xludf.DUMMYFUNCTION("GOOGLETRANSLATE(A1760, ""ar"", ""bn"")"),"নিন্দা করা")</f>
        <v>নিন্দা করা</v>
      </c>
    </row>
    <row r="1761">
      <c r="A1761" s="2" t="s">
        <v>4576</v>
      </c>
      <c r="B1761" s="3" t="str">
        <f>IFERROR(__xludf.DUMMYFUNCTION("GOOGLETRANSLATE(A1761, ""ar"", ""bn"")"),"নিন্দা")</f>
        <v>নিন্দা</v>
      </c>
    </row>
    <row r="1762">
      <c r="A1762" s="2" t="s">
        <v>4111</v>
      </c>
      <c r="B1762" s="3" t="str">
        <f>IFERROR(__xludf.DUMMYFUNCTION("GOOGLETRANSLATE(A1762, ""ar"", ""bn"")"),"নিন্দা")</f>
        <v>নিন্দা</v>
      </c>
    </row>
    <row r="1763">
      <c r="A1763" s="2" t="s">
        <v>4577</v>
      </c>
      <c r="B1763" s="3" t="str">
        <f>IFERROR(__xludf.DUMMYFUNCTION("GOOGLETRANSLATE(A1763, ""ar"", ""bn"")"),"Deplores")</f>
        <v>Deplores</v>
      </c>
    </row>
    <row r="1764">
      <c r="A1764" s="2" t="s">
        <v>4578</v>
      </c>
      <c r="B1764" s="3" t="str">
        <f>IFERROR(__xludf.DUMMYFUNCTION("GOOGLETRANSLATE(A1764, ""ar"", ""bn"")"),"উপত্যকা")</f>
        <v>উপত্যকা</v>
      </c>
    </row>
    <row r="1765">
      <c r="A1765" s="2" t="s">
        <v>4579</v>
      </c>
      <c r="B1765" s="3" t="str">
        <f>IFERROR(__xludf.DUMMYFUNCTION("GOOGLETRANSLATE(A1765, ""ar"", ""bn"")"),"দাত")</f>
        <v>দাত</v>
      </c>
    </row>
    <row r="1766">
      <c r="A1766" s="2" t="s">
        <v>4580</v>
      </c>
      <c r="B1766" s="3" t="str">
        <f>IFERROR(__xludf.DUMMYFUNCTION("GOOGLETRANSLATE(A1766, ""ar"", ""bn"")"),"পশ্চাদপসরণ")</f>
        <v>পশ্চাদপসরণ</v>
      </c>
    </row>
    <row r="1767">
      <c r="A1767" s="2" t="s">
        <v>4581</v>
      </c>
      <c r="B1767" s="3" t="str">
        <f>IFERROR(__xludf.DUMMYFUNCTION("GOOGLETRANSLATE(A1767, ""ar"", ""bn"")"),"হাতির দাঁত")</f>
        <v>হাতির দাঁত</v>
      </c>
    </row>
    <row r="1768">
      <c r="A1768" s="2" t="s">
        <v>4582</v>
      </c>
      <c r="B1768" s="3" t="str">
        <f>IFERROR(__xludf.DUMMYFUNCTION("GOOGLETRANSLATE(A1768, ""ar"", ""bn"")"),"দন্তন")</f>
        <v>দন্তন</v>
      </c>
    </row>
    <row r="1769">
      <c r="A1769" s="2" t="s">
        <v>4583</v>
      </c>
      <c r="B1769" s="3" t="str">
        <f>IFERROR(__xludf.DUMMYFUNCTION("GOOGLETRANSLATE(A1769, ""ar"", ""bn"")"),"বাহিনীর মহড়া আর শক্তি")</f>
        <v>বাহিনীর মহড়া আর শক্তি</v>
      </c>
    </row>
    <row r="1770">
      <c r="A1770" s="2" t="s">
        <v>4584</v>
      </c>
      <c r="B1770" s="3" t="str">
        <f>IFERROR(__xludf.DUMMYFUNCTION("GOOGLETRANSLATE(A1770, ""ar"", ""bn"")"),"দাঁতের")</f>
        <v>দাঁতের</v>
      </c>
    </row>
    <row r="1771">
      <c r="A1771" s="2" t="s">
        <v>4585</v>
      </c>
      <c r="B1771" s="3" t="str">
        <f>IFERROR(__xludf.DUMMYFUNCTION("GOOGLETRANSLATE(A1771, ""ar"", ""bn"")"),"দাঁতের")</f>
        <v>দাঁতের</v>
      </c>
    </row>
    <row r="1772">
      <c r="A1772" s="2" t="s">
        <v>4586</v>
      </c>
      <c r="B1772" s="3" t="str">
        <f>IFERROR(__xludf.DUMMYFUNCTION("GOOGLETRANSLATE(A1772, ""ar"", ""bn"")"),"দাঁতের")</f>
        <v>দাঁতের</v>
      </c>
    </row>
    <row r="1773">
      <c r="A1773" s="2" t="s">
        <v>4587</v>
      </c>
      <c r="B1773" s="3" t="str">
        <f>IFERROR(__xludf.DUMMYFUNCTION("GOOGLETRANSLATE(A1773, ""ar"", ""bn"")"),"দন্তোদ্গম")</f>
        <v>দন্তোদ্গম</v>
      </c>
    </row>
    <row r="1774">
      <c r="A1774" s="2" t="s">
        <v>4588</v>
      </c>
      <c r="B1774" s="3" t="str">
        <f>IFERROR(__xludf.DUMMYFUNCTION("GOOGLETRANSLATE(A1774, ""ar"", ""bn"")"),"dents")</f>
        <v>dents</v>
      </c>
    </row>
    <row r="1775">
      <c r="A1775" s="2" t="s">
        <v>4589</v>
      </c>
      <c r="B1775" s="3" t="str">
        <f>IFERROR(__xludf.DUMMYFUNCTION("GOOGLETRANSLATE(A1775, ""ar"", ""bn"")"),"দান্তের পাটী")</f>
        <v>দান্তের পাটী</v>
      </c>
    </row>
    <row r="1776">
      <c r="A1776" s="2" t="s">
        <v>4590</v>
      </c>
      <c r="B1776" s="3" t="str">
        <f>IFERROR(__xludf.DUMMYFUNCTION("GOOGLETRANSLATE(A1776, ""ar"", ""bn"")"),"কৃত্রিম দাঁত")</f>
        <v>কৃত্রিম দাঁত</v>
      </c>
    </row>
    <row r="1777">
      <c r="A1777" s="2" t="s">
        <v>4591</v>
      </c>
      <c r="B1777" s="3" t="str">
        <f>IFERROR(__xludf.DUMMYFUNCTION("GOOGLETRANSLATE(A1777, ""ar"", ""bn"")"),"অস্বীকার করা")</f>
        <v>অস্বীকার করা</v>
      </c>
    </row>
    <row r="1778">
      <c r="A1778" s="2" t="s">
        <v>4575</v>
      </c>
      <c r="B1778" s="3" t="str">
        <f>IFERROR(__xludf.DUMMYFUNCTION("GOOGLETRANSLATE(A1778, ""ar"", ""bn"")"),"অস্বীকার")</f>
        <v>অস্বীকার</v>
      </c>
    </row>
    <row r="1779">
      <c r="A1779" s="2" t="s">
        <v>4592</v>
      </c>
      <c r="B1779" s="3" t="str">
        <f>IFERROR(__xludf.DUMMYFUNCTION("GOOGLETRANSLATE(A1779, ""ar"", ""bn"")"),"অনুসরণ")</f>
        <v>অনুসরণ</v>
      </c>
    </row>
    <row r="1780">
      <c r="A1780" s="2" t="s">
        <v>4593</v>
      </c>
      <c r="B1780" s="3" t="str">
        <f>IFERROR(__xludf.DUMMYFUNCTION("GOOGLETRANSLATE(A1780, ""ar"", ""bn"")"),"ক্লান্ত")</f>
        <v>ক্লান্ত</v>
      </c>
    </row>
    <row r="1781">
      <c r="A1781" s="2" t="s">
        <v>4594</v>
      </c>
      <c r="B1781" s="3" t="str">
        <f>IFERROR(__xludf.DUMMYFUNCTION("GOOGLETRANSLATE(A1781, ""ar"", ""bn"")"),"হ্রাসপ্রাপ্ত")</f>
        <v>হ্রাসপ্রাপ্ত</v>
      </c>
    </row>
    <row r="1782">
      <c r="A1782" s="2" t="s">
        <v>4595</v>
      </c>
      <c r="B1782" s="3" t="str">
        <f>IFERROR(__xludf.DUMMYFUNCTION("GOOGLETRANSLATE(A1782, ""ar"", ""bn"")"),"দু: স্থ")</f>
        <v>দু: স্থ</v>
      </c>
    </row>
    <row r="1783">
      <c r="A1783" s="2" t="s">
        <v>4596</v>
      </c>
      <c r="B1783" s="3" t="str">
        <f>IFERROR(__xludf.DUMMYFUNCTION("GOOGLETRANSLATE(A1783, ""ar"", ""bn"")"),"বিলাপ করা")</f>
        <v>বিলাপ করা</v>
      </c>
    </row>
    <row r="1784">
      <c r="A1784" s="2" t="s">
        <v>4597</v>
      </c>
      <c r="B1784" s="3" t="str">
        <f>IFERROR(__xludf.DUMMYFUNCTION("GOOGLETRANSLATE(A1784, ""ar"", ""bn"")"),"গম্ভীর করা")</f>
        <v>গম্ভীর করা</v>
      </c>
    </row>
    <row r="1785">
      <c r="A1785" s="2" t="s">
        <v>4598</v>
      </c>
      <c r="B1785" s="3" t="str">
        <f>IFERROR(__xludf.DUMMYFUNCTION("GOOGLETRANSLATE(A1785, ""ar"", ""bn"")"),"দৃঢ়ভাবে deplores")</f>
        <v>দৃঢ়ভাবে deplores</v>
      </c>
    </row>
    <row r="1786">
      <c r="A1786" s="2" t="s">
        <v>4599</v>
      </c>
      <c r="B1786" s="3" t="str">
        <f>IFERROR(__xludf.DUMMYFUNCTION("GOOGLETRANSLATE(A1786, ""ar"", ""bn"")"),"আলাদা করা")</f>
        <v>আলাদা করা</v>
      </c>
    </row>
    <row r="1787">
      <c r="A1787" s="2" t="s">
        <v>4600</v>
      </c>
      <c r="B1787" s="3" t="str">
        <f>IFERROR(__xludf.DUMMYFUNCTION("GOOGLETRANSLATE(A1787, ""ar"", ""bn"")"),"বেদখল")</f>
        <v>বেদখল</v>
      </c>
    </row>
    <row r="1788">
      <c r="A1788" s="2" t="s">
        <v>4601</v>
      </c>
      <c r="B1788" s="3" t="str">
        <f>IFERROR(__xludf.DUMMYFUNCTION("GOOGLETRANSLATE(A1788, ""ar"", ""bn"")"),"জগাখিচুড়ি")</f>
        <v>জগাখিচুড়ি</v>
      </c>
    </row>
    <row r="1789">
      <c r="A1789" s="2" t="s">
        <v>4602</v>
      </c>
      <c r="B1789" s="3" t="str">
        <f>IFERROR(__xludf.DUMMYFUNCTION("GOOGLETRANSLATE(A1789, ""ar"", ""bn"")"),"ইতর লোক")</f>
        <v>ইতর লোক</v>
      </c>
    </row>
    <row r="1790">
      <c r="A1790" s="2" t="s">
        <v>4603</v>
      </c>
      <c r="B1790" s="3" t="str">
        <f>IFERROR(__xludf.DUMMYFUNCTION("GOOGLETRANSLATE(A1790, ""ar"", ""bn"")"),"Marring")</f>
        <v>Marring</v>
      </c>
    </row>
    <row r="1791">
      <c r="A1791" s="2" t="s">
        <v>4214</v>
      </c>
      <c r="B1791" s="3" t="str">
        <f>IFERROR(__xludf.DUMMYFUNCTION("GOOGLETRANSLATE(A1791, ""ar"", ""bn"")"),"দুর্নীতি")</f>
        <v>দুর্নীতি</v>
      </c>
    </row>
    <row r="1792">
      <c r="A1792" s="2" t="s">
        <v>4604</v>
      </c>
      <c r="B1792" s="3" t="str">
        <f>IFERROR(__xludf.DUMMYFUNCTION("GOOGLETRANSLATE(A1792, ""ar"", ""bn"")"),"মূল্যহ্রাস করা")</f>
        <v>মূল্যহ্রাস করা</v>
      </c>
    </row>
    <row r="1793">
      <c r="A1793" s="2" t="s">
        <v>4605</v>
      </c>
      <c r="B1793" s="3" t="str">
        <f>IFERROR(__xludf.DUMMYFUNCTION("GOOGLETRANSLATE(A1793, ""ar"", ""bn"")"),"এটা তোলে মান কমে")</f>
        <v>এটা তোলে মান কমে</v>
      </c>
    </row>
    <row r="1794">
      <c r="A1794" s="2" t="s">
        <v>4606</v>
      </c>
      <c r="B1794" s="3" t="str">
        <f>IFERROR(__xludf.DUMMYFUNCTION("GOOGLETRANSLATE(A1794, ""ar"", ""bn"")"),"আনুপাতিক হারে কমান")</f>
        <v>আনুপাতিক হারে কমান</v>
      </c>
    </row>
    <row r="1795">
      <c r="A1795" s="2" t="s">
        <v>4606</v>
      </c>
      <c r="B1795" s="3" t="str">
        <f>IFERROR(__xludf.DUMMYFUNCTION("GOOGLETRANSLATE(A1795, ""ar"", ""bn"")"),"আনুপাতিক হারে কমান")</f>
        <v>আনুপাতিক হারে কমান</v>
      </c>
    </row>
    <row r="1796">
      <c r="A1796" s="2" t="s">
        <v>4607</v>
      </c>
      <c r="B1796" s="3" t="str">
        <f>IFERROR(__xludf.DUMMYFUNCTION("GOOGLETRANSLATE(A1796, ""ar"", ""bn"")"),"বিষণ্ণতা")</f>
        <v>বিষণ্ণতা</v>
      </c>
    </row>
    <row r="1797">
      <c r="A1797" s="2" t="s">
        <v>4607</v>
      </c>
      <c r="B1797" s="3" t="str">
        <f>IFERROR(__xludf.DUMMYFUNCTION("GOOGLETRANSLATE(A1797, ""ar"", ""bn"")"),"বিষণ্ণতা")</f>
        <v>বিষণ্ণতা</v>
      </c>
    </row>
    <row r="1798">
      <c r="A1798" s="2" t="s">
        <v>4536</v>
      </c>
      <c r="B1798" s="3" t="str">
        <f>IFERROR(__xludf.DUMMYFUNCTION("GOOGLETRANSLATE(A1798, ""ar"", ""bn"")"),"বিমর্ষ - বিষণ্ণ")</f>
        <v>বিমর্ষ - বিষণ্ণ</v>
      </c>
    </row>
    <row r="1799">
      <c r="A1799" s="2" t="s">
        <v>4608</v>
      </c>
      <c r="B1799" s="3" t="str">
        <f>IFERROR(__xludf.DUMMYFUNCTION("GOOGLETRANSLATE(A1799, ""ar"", ""bn"")"),"কমায়")</f>
        <v>কমায়</v>
      </c>
    </row>
    <row r="1800">
      <c r="A1800" s="2" t="s">
        <v>4609</v>
      </c>
      <c r="B1800" s="3" t="str">
        <f>IFERROR(__xludf.DUMMYFUNCTION("GOOGLETRANSLATE(A1800, ""ar"", ""bn"")"),"দূর্বল")</f>
        <v>দূর্বল</v>
      </c>
    </row>
    <row r="1801">
      <c r="A1801" s="2" t="s">
        <v>4610</v>
      </c>
      <c r="B1801" s="3" t="str">
        <f>IFERROR(__xludf.DUMMYFUNCTION("GOOGLETRANSLATE(A1801, ""ar"", ""bn"")"),"বিষণ্ণতা")</f>
        <v>বিষণ্ণতা</v>
      </c>
    </row>
    <row r="1802">
      <c r="A1802" s="2" t="s">
        <v>3676</v>
      </c>
      <c r="B1802" s="3" t="str">
        <f>IFERROR(__xludf.DUMMYFUNCTION("GOOGLETRANSLATE(A1802, ""ar"", ""bn"")"),"বিষণ্ণতা")</f>
        <v>বিষণ্ণতা</v>
      </c>
    </row>
    <row r="1803">
      <c r="A1803" s="2" t="s">
        <v>4611</v>
      </c>
      <c r="B1803" s="3" t="str">
        <f>IFERROR(__xludf.DUMMYFUNCTION("GOOGLETRANSLATE(A1803, ""ar"", ""bn"")"),"নিম্নচাপ")</f>
        <v>নিম্নচাপ</v>
      </c>
    </row>
    <row r="1804">
      <c r="A1804" s="2" t="s">
        <v>3673</v>
      </c>
      <c r="B1804" s="3" t="str">
        <f>IFERROR(__xludf.DUMMYFUNCTION("GOOGLETRANSLATE(A1804, ""ar"", ""bn"")"),"নিরানন্দ")</f>
        <v>নিরানন্দ</v>
      </c>
    </row>
    <row r="1805">
      <c r="A1805" s="2" t="s">
        <v>4612</v>
      </c>
      <c r="B1805" s="3" t="str">
        <f>IFERROR(__xludf.DUMMYFUNCTION("GOOGLETRANSLATE(A1805, ""ar"", ""bn"")"),"Depressives")</f>
        <v>Depressives</v>
      </c>
    </row>
    <row r="1806">
      <c r="A1806" s="2" t="s">
        <v>4613</v>
      </c>
      <c r="B1806" s="3" t="str">
        <f>IFERROR(__xludf.DUMMYFUNCTION("GOOGLETRANSLATE(A1806, ""ar"", ""bn"")"),"বিয়োগব্যথা")</f>
        <v>বিয়োগব্যথা</v>
      </c>
    </row>
    <row r="1807">
      <c r="A1807" s="2" t="s">
        <v>4614</v>
      </c>
      <c r="B1807" s="3" t="str">
        <f>IFERROR(__xludf.DUMMYFUNCTION("GOOGLETRANSLATE(A1807, ""ar"", ""bn"")"),"বিয়োগব্যথা")</f>
        <v>বিয়োগব্যথা</v>
      </c>
    </row>
    <row r="1808">
      <c r="A1808" s="2" t="s">
        <v>4615</v>
      </c>
      <c r="B1808" s="3" t="str">
        <f>IFERROR(__xludf.DUMMYFUNCTION("GOOGLETRANSLATE(A1808, ""ar"", ""bn"")"),"আশ্রয়স্থল")</f>
        <v>আশ্রয়স্থল</v>
      </c>
    </row>
    <row r="1809">
      <c r="A1809" s="2" t="s">
        <v>4613</v>
      </c>
      <c r="B1809" s="3" t="str">
        <f>IFERROR(__xludf.DUMMYFUNCTION("GOOGLETRANSLATE(A1809, ""ar"", ""bn"")"),"বিয়োগব্যথা")</f>
        <v>বিয়োগব্যথা</v>
      </c>
    </row>
    <row r="1810">
      <c r="A1810" s="2" t="s">
        <v>4616</v>
      </c>
      <c r="B1810" s="3" t="str">
        <f>IFERROR(__xludf.DUMMYFUNCTION("GOOGLETRANSLATE(A1810, ""ar"", ""bn"")"),"বঞ্চিত")</f>
        <v>বঞ্চিত</v>
      </c>
    </row>
    <row r="1811">
      <c r="A1811" s="2" t="s">
        <v>4613</v>
      </c>
      <c r="B1811" s="3" t="str">
        <f>IFERROR(__xludf.DUMMYFUNCTION("GOOGLETRANSLATE(A1811, ""ar"", ""bn"")"),"বিয়োগব্যথা")</f>
        <v>বিয়োগব্যথা</v>
      </c>
    </row>
    <row r="1812">
      <c r="A1812" s="2" t="s">
        <v>4617</v>
      </c>
      <c r="B1812" s="3" t="str">
        <f>IFERROR(__xludf.DUMMYFUNCTION("GOOGLETRANSLATE(A1812, ""ar"", ""bn"")"),"অবহসিত")</f>
        <v>অবহসিত</v>
      </c>
    </row>
    <row r="1813">
      <c r="A1813" s="2" t="s">
        <v>4617</v>
      </c>
      <c r="B1813" s="3" t="str">
        <f>IFERROR(__xludf.DUMMYFUNCTION("GOOGLETRANSLATE(A1813, ""ar"", ""bn"")"),"অবহসিত")</f>
        <v>অবহসিত</v>
      </c>
    </row>
    <row r="1814">
      <c r="A1814" s="2" t="s">
        <v>4618</v>
      </c>
      <c r="B1814" s="3" t="str">
        <f>IFERROR(__xludf.DUMMYFUNCTION("GOOGLETRANSLATE(A1814, ""ar"", ""bn"")"),"ঠাট্টা")</f>
        <v>ঠাট্টা</v>
      </c>
    </row>
    <row r="1815">
      <c r="A1815" s="2" t="s">
        <v>4619</v>
      </c>
      <c r="B1815" s="3" t="str">
        <f>IFERROR(__xludf.DUMMYFUNCTION("GOOGLETRANSLATE(A1815, ""ar"", ""bn"")"),"উপহাস")</f>
        <v>উপহাস</v>
      </c>
    </row>
    <row r="1816">
      <c r="A1816" s="2" t="s">
        <v>4396</v>
      </c>
      <c r="B1816" s="3" t="str">
        <f>IFERROR(__xludf.DUMMYFUNCTION("GOOGLETRANSLATE(A1816, ""ar"", ""bn"")"),"তীব্র ব্যঙ্গপূর্ণ")</f>
        <v>তীব্র ব্যঙ্গপূর্ণ</v>
      </c>
    </row>
    <row r="1817">
      <c r="A1817" s="2" t="s">
        <v>4397</v>
      </c>
      <c r="B1817" s="3" t="str">
        <f>IFERROR(__xludf.DUMMYFUNCTION("GOOGLETRANSLATE(A1817, ""ar"", ""bn"")"),"ব্যঙ্গ করে")</f>
        <v>ব্যঙ্গ করে</v>
      </c>
    </row>
    <row r="1818">
      <c r="A1818" s="2" t="s">
        <v>4620</v>
      </c>
      <c r="B1818" s="3" t="str">
        <f>IFERROR(__xludf.DUMMYFUNCTION("GOOGLETRANSLATE(A1818, ""ar"", ""bn"")"),"হানিকর")</f>
        <v>হানিকর</v>
      </c>
    </row>
    <row r="1819">
      <c r="A1819" s="2" t="s">
        <v>4621</v>
      </c>
      <c r="B1819" s="3" t="str">
        <f>IFERROR(__xludf.DUMMYFUNCTION("GOOGLETRANSLATE(A1819, ""ar"", ""bn"")"),"মরুভূমি")</f>
        <v>মরুভূমি</v>
      </c>
    </row>
    <row r="1820">
      <c r="A1820" s="2" t="s">
        <v>3165</v>
      </c>
      <c r="B1820" s="3" t="str">
        <f>IFERROR(__xludf.DUMMYFUNCTION("GOOGLETRANSLATE(A1820, ""ar"", ""bn"")"),"পরিত্যক্ত")</f>
        <v>পরিত্যক্ত</v>
      </c>
    </row>
    <row r="1821">
      <c r="A1821" s="2" t="s">
        <v>4622</v>
      </c>
      <c r="B1821" s="3" t="str">
        <f>IFERROR(__xludf.DUMMYFUNCTION("GOOGLETRANSLATE(A1821, ""ar"", ""bn"")"),"ধর্মত্যাগী")</f>
        <v>ধর্মত্যাগী</v>
      </c>
    </row>
    <row r="1822">
      <c r="A1822" s="2" t="s">
        <v>4623</v>
      </c>
      <c r="B1822" s="3" t="str">
        <f>IFERROR(__xludf.DUMMYFUNCTION("GOOGLETRANSLATE(A1822, ""ar"", ""bn"")"),"পলায়নপর")</f>
        <v>পলায়নপর</v>
      </c>
    </row>
    <row r="1823">
      <c r="A1823" s="2" t="s">
        <v>4624</v>
      </c>
      <c r="B1823" s="3" t="str">
        <f>IFERROR(__xludf.DUMMYFUNCTION("GOOGLETRANSLATE(A1823, ""ar"", ""bn"")"),"মরুকরণ")</f>
        <v>মরুকরণ</v>
      </c>
    </row>
    <row r="1824">
      <c r="A1824" s="2" t="s">
        <v>3199</v>
      </c>
      <c r="B1824" s="3" t="str">
        <f>IFERROR(__xludf.DUMMYFUNCTION("GOOGLETRANSLATE(A1824, ""ar"", ""bn"")"),"ভাগা")</f>
        <v>ভাগা</v>
      </c>
    </row>
    <row r="1825">
      <c r="A1825" s="2" t="s">
        <v>3166</v>
      </c>
      <c r="B1825" s="3" t="str">
        <f>IFERROR(__xludf.DUMMYFUNCTION("GOOGLETRANSLATE(A1825, ""ar"", ""bn"")"),"ছুটি")</f>
        <v>ছুটি</v>
      </c>
    </row>
    <row r="1826">
      <c r="A1826" s="2" t="s">
        <v>3200</v>
      </c>
      <c r="B1826" s="3" t="str">
        <f>IFERROR(__xludf.DUMMYFUNCTION("GOOGLETRANSLATE(A1826, ""ar"", ""bn"")"),"অব্যাহতি")</f>
        <v>অব্যাহতি</v>
      </c>
    </row>
    <row r="1827">
      <c r="A1827" s="2" t="s">
        <v>4625</v>
      </c>
      <c r="B1827" s="3" t="str">
        <f>IFERROR(__xludf.DUMMYFUNCTION("GOOGLETRANSLATE(A1827, ""ar"", ""bn"")"),"মরুভূমি")</f>
        <v>মরুভূমি</v>
      </c>
    </row>
    <row r="1828">
      <c r="A1828" s="2" t="s">
        <v>3199</v>
      </c>
      <c r="B1828" s="3" t="str">
        <f>IFERROR(__xludf.DUMMYFUNCTION("GOOGLETRANSLATE(A1828, ""ar"", ""bn"")"),"ভাগা")</f>
        <v>ভাগা</v>
      </c>
    </row>
    <row r="1829">
      <c r="A1829" s="2" t="s">
        <v>3166</v>
      </c>
      <c r="B1829" s="3" t="str">
        <f>IFERROR(__xludf.DUMMYFUNCTION("GOOGLETRANSLATE(A1829, ""ar"", ""bn"")"),"ছুটি")</f>
        <v>ছুটি</v>
      </c>
    </row>
    <row r="1830">
      <c r="A1830" s="2" t="s">
        <v>3200</v>
      </c>
      <c r="B1830" s="3" t="str">
        <f>IFERROR(__xludf.DUMMYFUNCTION("GOOGLETRANSLATE(A1830, ""ar"", ""bn"")"),"অব্যাহতি")</f>
        <v>অব্যাহতি</v>
      </c>
    </row>
    <row r="1831">
      <c r="A1831" s="2" t="s">
        <v>4626</v>
      </c>
      <c r="B1831" s="3" t="str">
        <f>IFERROR(__xludf.DUMMYFUNCTION("GOOGLETRANSLATE(A1831, ""ar"", ""bn"")"),"জনশূন্য")</f>
        <v>জনশূন্য</v>
      </c>
    </row>
    <row r="1832">
      <c r="A1832" s="2" t="s">
        <v>4627</v>
      </c>
      <c r="B1832" s="3" t="str">
        <f>IFERROR(__xludf.DUMMYFUNCTION("GOOGLETRANSLATE(A1832, ""ar"", ""bn"")"),"ফরসা")</f>
        <v>ফরসা</v>
      </c>
    </row>
    <row r="1833">
      <c r="A1833" s="2" t="s">
        <v>4628</v>
      </c>
      <c r="B1833" s="3" t="str">
        <f>IFERROR(__xludf.DUMMYFUNCTION("GOOGLETRANSLATE(A1833, ""ar"", ""bn"")"),"সর্বনাশ")</f>
        <v>সর্বনাশ</v>
      </c>
    </row>
    <row r="1834">
      <c r="A1834" s="2" t="s">
        <v>4629</v>
      </c>
      <c r="B1834" s="3" t="str">
        <f>IFERROR(__xludf.DUMMYFUNCTION("GOOGLETRANSLATE(A1834, ""ar"", ""bn"")"),"মরিয়া")</f>
        <v>মরিয়া</v>
      </c>
    </row>
    <row r="1835">
      <c r="A1835" s="2" t="s">
        <v>4630</v>
      </c>
      <c r="B1835" s="3" t="str">
        <f>IFERROR(__xludf.DUMMYFUNCTION("GOOGLETRANSLATE(A1835, ""ar"", ""bn"")"),"হতাশা")</f>
        <v>হতাশা</v>
      </c>
    </row>
    <row r="1836">
      <c r="A1836" s="2" t="s">
        <v>3799</v>
      </c>
      <c r="B1836" s="3" t="str">
        <f>IFERROR(__xludf.DUMMYFUNCTION("GOOGLETRANSLATE(A1836, ""ar"", ""bn"")"),"মরিয়া")</f>
        <v>মরিয়া</v>
      </c>
    </row>
    <row r="1837">
      <c r="A1837" s="2" t="s">
        <v>4631</v>
      </c>
      <c r="B1837" s="3" t="str">
        <f>IFERROR(__xludf.DUMMYFUNCTION("GOOGLETRANSLATE(A1837, ""ar"", ""bn"")"),"হতাশ")</f>
        <v>হতাশ</v>
      </c>
    </row>
    <row r="1838">
      <c r="A1838" s="2" t="s">
        <v>4632</v>
      </c>
      <c r="B1838" s="3" t="str">
        <f>IFERROR(__xludf.DUMMYFUNCTION("GOOGLETRANSLATE(A1838, ""ar"", ""bn"")"),"হতাশা")</f>
        <v>হতাশা</v>
      </c>
    </row>
    <row r="1839">
      <c r="A1839" s="2" t="s">
        <v>3799</v>
      </c>
      <c r="B1839" s="3" t="str">
        <f>IFERROR(__xludf.DUMMYFUNCTION("GOOGLETRANSLATE(A1839, ""ar"", ""bn"")"),"মরিয়া")</f>
        <v>মরিয়া</v>
      </c>
    </row>
    <row r="1840">
      <c r="A1840" s="2" t="s">
        <v>4633</v>
      </c>
      <c r="B1840" s="3" t="str">
        <f>IFERROR(__xludf.DUMMYFUNCTION("GOOGLETRANSLATE(A1840, ""ar"", ""bn"")"),"হীরা")</f>
        <v>হীরা</v>
      </c>
    </row>
    <row r="1841">
      <c r="A1841" s="2" t="s">
        <v>4629</v>
      </c>
      <c r="B1841" s="3" t="str">
        <f>IFERROR(__xludf.DUMMYFUNCTION("GOOGLETRANSLATE(A1841, ""ar"", ""bn"")"),"মরিয়া")</f>
        <v>মরিয়া</v>
      </c>
    </row>
    <row r="1842">
      <c r="A1842" s="2" t="s">
        <v>3567</v>
      </c>
      <c r="B1842" s="3" t="str">
        <f>IFERROR(__xludf.DUMMYFUNCTION("GOOGLETRANSLATE(A1842, ""ar"", ""bn"")"),"আঠাল")</f>
        <v>আঠাল</v>
      </c>
    </row>
    <row r="1843">
      <c r="A1843" s="2" t="s">
        <v>4634</v>
      </c>
      <c r="B1843" s="3" t="str">
        <f>IFERROR(__xludf.DUMMYFUNCTION("GOOGLETRANSLATE(A1843, ""ar"", ""bn"")"),"অবজ্ঞা করা")</f>
        <v>অবজ্ঞা করা</v>
      </c>
    </row>
    <row r="1844">
      <c r="A1844" s="2" t="s">
        <v>4535</v>
      </c>
      <c r="B1844" s="3" t="str">
        <f>IFERROR(__xludf.DUMMYFUNCTION("GOOGLETRANSLATE(A1844, ""ar"", ""bn"")"),"অপমান")</f>
        <v>অপমান</v>
      </c>
    </row>
    <row r="1845">
      <c r="A1845" s="2" t="s">
        <v>4635</v>
      </c>
      <c r="B1845" s="3" t="str">
        <f>IFERROR(__xludf.DUMMYFUNCTION("GOOGLETRANSLATE(A1845, ""ar"", ""bn"")"),"অবজ্ঞা করা")</f>
        <v>অবজ্ঞা করা</v>
      </c>
    </row>
    <row r="1846">
      <c r="A1846" s="2" t="s">
        <v>4636</v>
      </c>
      <c r="B1846" s="3" t="str">
        <f>IFERROR(__xludf.DUMMYFUNCTION("GOOGLETRANSLATE(A1846, ""ar"", ""bn"")"),"ঘৃণা")</f>
        <v>ঘৃণা</v>
      </c>
    </row>
    <row r="1847">
      <c r="A1847" s="2" t="s">
        <v>4637</v>
      </c>
      <c r="B1847" s="3" t="str">
        <f>IFERROR(__xludf.DUMMYFUNCTION("GOOGLETRANSLATE(A1847, ""ar"", ""bn"")"),"পরিত্যক্ত")</f>
        <v>পরিত্যক্ত</v>
      </c>
    </row>
    <row r="1848">
      <c r="A1848" s="2" t="s">
        <v>4638</v>
      </c>
      <c r="B1848" s="3" t="str">
        <f>IFERROR(__xludf.DUMMYFUNCTION("GOOGLETRANSLATE(A1848, ""ar"", ""bn"")"),"নি: সঙ্গতা")</f>
        <v>নি: সঙ্গতা</v>
      </c>
    </row>
    <row r="1849">
      <c r="A1849" s="2" t="s">
        <v>4556</v>
      </c>
      <c r="B1849" s="3" t="str">
        <f>IFERROR(__xludf.DUMMYFUNCTION("GOOGLETRANSLATE(A1849, ""ar"", ""bn"")"),"ধ্বংসকরণ")</f>
        <v>ধ্বংসকরণ</v>
      </c>
    </row>
    <row r="1850">
      <c r="A1850" s="2" t="s">
        <v>4639</v>
      </c>
      <c r="B1850" s="3" t="str">
        <f>IFERROR(__xludf.DUMMYFUNCTION("GOOGLETRANSLATE(A1850, ""ar"", ""bn"")"),"মর্মান্তিক")</f>
        <v>মর্মান্তিক</v>
      </c>
    </row>
    <row r="1851">
      <c r="A1851" s="2" t="s">
        <v>4640</v>
      </c>
      <c r="B1851" s="3" t="str">
        <f>IFERROR(__xludf.DUMMYFUNCTION("GOOGLETRANSLATE(A1851, ""ar"", ""bn"")"),"বিনষ্ট")</f>
        <v>বিনষ্ট</v>
      </c>
    </row>
    <row r="1852">
      <c r="A1852" s="2" t="s">
        <v>4641</v>
      </c>
      <c r="B1852" s="3" t="str">
        <f>IFERROR(__xludf.DUMMYFUNCTION("GOOGLETRANSLATE(A1852, ""ar"", ""bn"")"),"ধ্বংসাত্মক")</f>
        <v>ধ্বংসাত্মক</v>
      </c>
    </row>
    <row r="1853">
      <c r="A1853" s="2" t="s">
        <v>4642</v>
      </c>
      <c r="B1853" s="3" t="str">
        <f>IFERROR(__xludf.DUMMYFUNCTION("GOOGLETRANSLATE(A1853, ""ar"", ""bn"")"),"ডেস্ট্রয়ার")</f>
        <v>ডেস্ট্রয়ার</v>
      </c>
    </row>
    <row r="1854">
      <c r="A1854" s="2" t="s">
        <v>4643</v>
      </c>
      <c r="B1854" s="3" t="str">
        <f>IFERROR(__xludf.DUMMYFUNCTION("GOOGLETRANSLATE(A1854, ""ar"", ""bn"")"),"ধ্বংস")</f>
        <v>ধ্বংস</v>
      </c>
    </row>
    <row r="1855">
      <c r="A1855" s="2" t="s">
        <v>4644</v>
      </c>
      <c r="B1855" s="3" t="str">
        <f>IFERROR(__xludf.DUMMYFUNCTION("GOOGLETRANSLATE(A1855, ""ar"", ""bn"")"),"ধ্বংস")</f>
        <v>ধ্বংস</v>
      </c>
    </row>
    <row r="1856">
      <c r="A1856" s="2" t="s">
        <v>4645</v>
      </c>
      <c r="B1856" s="3" t="str">
        <f>IFERROR(__xludf.DUMMYFUNCTION("GOOGLETRANSLATE(A1856, ""ar"", ""bn"")"),"ধ্বংস")</f>
        <v>ধ্বংস</v>
      </c>
    </row>
    <row r="1857">
      <c r="A1857" s="2" t="s">
        <v>4643</v>
      </c>
      <c r="B1857" s="3" t="str">
        <f>IFERROR(__xludf.DUMMYFUNCTION("GOOGLETRANSLATE(A1857, ""ar"", ""bn"")"),"ধ্বংস")</f>
        <v>ধ্বংস</v>
      </c>
    </row>
    <row r="1858">
      <c r="A1858" s="2" t="s">
        <v>4641</v>
      </c>
      <c r="B1858" s="3" t="str">
        <f>IFERROR(__xludf.DUMMYFUNCTION("GOOGLETRANSLATE(A1858, ""ar"", ""bn"")"),"ধ্বংসাত্মক")</f>
        <v>ধ্বংসাত্মক</v>
      </c>
    </row>
    <row r="1859">
      <c r="A1859" s="2" t="s">
        <v>4557</v>
      </c>
      <c r="B1859" s="3" t="str">
        <f>IFERROR(__xludf.DUMMYFUNCTION("GOOGLETRANSLATE(A1859, ""ar"", ""bn"")"),"ধ্বংসাত্মক")</f>
        <v>ধ্বংসাত্মক</v>
      </c>
    </row>
    <row r="1860">
      <c r="A1860" s="2" t="s">
        <v>4646</v>
      </c>
      <c r="B1860" s="3" t="str">
        <f>IFERROR(__xludf.DUMMYFUNCTION("GOOGLETRANSLATE(A1860, ""ar"", ""bn"")"),"ধ্বংসাত্মক")</f>
        <v>ধ্বংসাত্মক</v>
      </c>
    </row>
    <row r="1861">
      <c r="A1861" s="2" t="s">
        <v>4643</v>
      </c>
      <c r="B1861" s="3" t="str">
        <f>IFERROR(__xludf.DUMMYFUNCTION("GOOGLETRANSLATE(A1861, ""ar"", ""bn"")"),"ধ্বংস")</f>
        <v>ধ্বংস</v>
      </c>
    </row>
    <row r="1862">
      <c r="A1862" s="2" t="s">
        <v>4647</v>
      </c>
      <c r="B1862" s="3" t="str">
        <f>IFERROR(__xludf.DUMMYFUNCTION("GOOGLETRANSLATE(A1862, ""ar"", ""bn"")"),"বিচ্ছেদ")</f>
        <v>বিচ্ছেদ</v>
      </c>
    </row>
    <row r="1863">
      <c r="A1863" s="2" t="s">
        <v>4648</v>
      </c>
      <c r="B1863" s="3" t="str">
        <f>IFERROR(__xludf.DUMMYFUNCTION("GOOGLETRANSLATE(A1863, ""ar"", ""bn"")"),"Detachments")</f>
        <v>Detachments</v>
      </c>
    </row>
    <row r="1864">
      <c r="A1864" s="2" t="s">
        <v>4649</v>
      </c>
      <c r="B1864" s="3" t="str">
        <f>IFERROR(__xludf.DUMMYFUNCTION("GOOGLETRANSLATE(A1864, ""ar"", ""bn"")"),"সংরক্ষণ")</f>
        <v>সংরক্ষণ</v>
      </c>
    </row>
    <row r="1865">
      <c r="A1865" s="2" t="s">
        <v>4650</v>
      </c>
      <c r="B1865" s="3" t="str">
        <f>IFERROR(__xludf.DUMMYFUNCTION("GOOGLETRANSLATE(A1865, ""ar"", ""bn"")"),"আটক")</f>
        <v>আটক</v>
      </c>
    </row>
    <row r="1866">
      <c r="A1866" s="2" t="s">
        <v>4651</v>
      </c>
      <c r="B1866" s="3" t="str">
        <f>IFERROR(__xludf.DUMMYFUNCTION("GOOGLETRANSLATE(A1866, ""ar"", ""bn"")"),"বন্দী")</f>
        <v>বন্দী</v>
      </c>
    </row>
    <row r="1867">
      <c r="A1867" s="2" t="s">
        <v>4652</v>
      </c>
      <c r="B1867" s="3" t="str">
        <f>IFERROR(__xludf.DUMMYFUNCTION("GOOGLETRANSLATE(A1867, ""ar"", ""bn"")"),"বন্দীদের")</f>
        <v>বন্দীদের</v>
      </c>
    </row>
    <row r="1868">
      <c r="A1868" s="2" t="s">
        <v>4653</v>
      </c>
      <c r="B1868" s="3" t="str">
        <f>IFERROR(__xludf.DUMMYFUNCTION("GOOGLETRANSLATE(A1868, ""ar"", ""bn"")"),"বাধা")</f>
        <v>বাধা</v>
      </c>
    </row>
    <row r="1869">
      <c r="A1869" s="2" t="s">
        <v>705</v>
      </c>
      <c r="B1869" s="3" t="str">
        <f>IFERROR(__xludf.DUMMYFUNCTION("GOOGLETRANSLATE(A1869, ""ar"", ""bn"")"),"গ্রেফতার")</f>
        <v>গ্রেফতার</v>
      </c>
    </row>
    <row r="1870">
      <c r="A1870" s="2" t="s">
        <v>4654</v>
      </c>
      <c r="B1870" s="3" t="str">
        <f>IFERROR(__xludf.DUMMYFUNCTION("GOOGLETRANSLATE(A1870, ""ar"", ""bn"")"),"ধারণ")</f>
        <v>ধারণ</v>
      </c>
    </row>
    <row r="1871">
      <c r="A1871" s="2" t="s">
        <v>4655</v>
      </c>
      <c r="B1871" s="3" t="str">
        <f>IFERROR(__xludf.DUMMYFUNCTION("GOOGLETRANSLATE(A1871, ""ar"", ""bn"")"),"ভয় দেখাইয়া নিবৃত্ত করা")</f>
        <v>ভয় দেখাইয়া নিবৃত্ত করা</v>
      </c>
    </row>
    <row r="1872">
      <c r="A1872" s="2" t="s">
        <v>4656</v>
      </c>
      <c r="B1872" s="3" t="str">
        <f>IFERROR(__xludf.DUMMYFUNCTION("GOOGLETRANSLATE(A1872, ""ar"", ""bn"")"),"পরিষ্কারক")</f>
        <v>পরিষ্কারক</v>
      </c>
    </row>
    <row r="1873">
      <c r="A1873" s="2" t="s">
        <v>4657</v>
      </c>
      <c r="B1873" s="3" t="str">
        <f>IFERROR(__xludf.DUMMYFUNCTION("GOOGLETRANSLATE(A1873, ""ar"", ""bn"")"),"ডিটারজেন্ট")</f>
        <v>ডিটারজেন্ট</v>
      </c>
    </row>
    <row r="1874">
      <c r="A1874" s="2" t="s">
        <v>4658</v>
      </c>
      <c r="B1874" s="3" t="str">
        <f>IFERROR(__xludf.DUMMYFUNCTION("GOOGLETRANSLATE(A1874, ""ar"", ""bn"")"),"ক্ষয়")</f>
        <v>ক্ষয়</v>
      </c>
    </row>
    <row r="1875">
      <c r="A1875" s="2" t="s">
        <v>4659</v>
      </c>
      <c r="B1875" s="3" t="str">
        <f>IFERROR(__xludf.DUMMYFUNCTION("GOOGLETRANSLATE(A1875, ""ar"", ""bn"")"),"ভাঙ্গা")</f>
        <v>ভাঙ্গা</v>
      </c>
    </row>
    <row r="1876">
      <c r="A1876" s="2" t="s">
        <v>4658</v>
      </c>
      <c r="B1876" s="3" t="str">
        <f>IFERROR(__xludf.DUMMYFUNCTION("GOOGLETRANSLATE(A1876, ""ar"", ""bn"")"),"ক্ষয়")</f>
        <v>ক্ষয়</v>
      </c>
    </row>
    <row r="1877">
      <c r="A1877" s="2" t="s">
        <v>4658</v>
      </c>
      <c r="B1877" s="3" t="str">
        <f>IFERROR(__xludf.DUMMYFUNCTION("GOOGLETRANSLATE(A1877, ""ar"", ""bn"")"),"ক্ষয়")</f>
        <v>ক্ষয়</v>
      </c>
    </row>
    <row r="1878">
      <c r="A1878" s="2" t="s">
        <v>4658</v>
      </c>
      <c r="B1878" s="3" t="str">
        <f>IFERROR(__xludf.DUMMYFUNCTION("GOOGLETRANSLATE(A1878, ""ar"", ""bn"")"),"ক্ষয়")</f>
        <v>ক্ষয়</v>
      </c>
    </row>
    <row r="1879">
      <c r="A1879" s="2" t="s">
        <v>4660</v>
      </c>
      <c r="B1879" s="3" t="str">
        <f>IFERROR(__xludf.DUMMYFUNCTION("GOOGLETRANSLATE(A1879, ""ar"", ""bn"")"),"নির্ধারণ")</f>
        <v>নির্ধারণ</v>
      </c>
    </row>
    <row r="1880">
      <c r="A1880" s="2" t="s">
        <v>4661</v>
      </c>
      <c r="B1880" s="3" t="str">
        <f>IFERROR(__xludf.DUMMYFUNCTION("GOOGLETRANSLATE(A1880, ""ar"", ""bn"")"),"অনিবার্য")</f>
        <v>অনিবার্য</v>
      </c>
    </row>
    <row r="1881">
      <c r="A1881" s="2" t="s">
        <v>4662</v>
      </c>
      <c r="B1881" s="3" t="str">
        <f>IFERROR(__xludf.DUMMYFUNCTION("GOOGLETRANSLATE(A1881, ""ar"", ""bn"")"),"প্রতিষ্ঠিত")</f>
        <v>প্রতিষ্ঠিত</v>
      </c>
    </row>
    <row r="1882">
      <c r="A1882" s="2" t="s">
        <v>4663</v>
      </c>
      <c r="B1882" s="3" t="str">
        <f>IFERROR(__xludf.DUMMYFUNCTION("GOOGLETRANSLATE(A1882, ""ar"", ""bn"")"),"নির্ধারণকারী")</f>
        <v>নির্ধারণকারী</v>
      </c>
    </row>
    <row r="1883">
      <c r="A1883" s="2" t="s">
        <v>4664</v>
      </c>
      <c r="B1883" s="3" t="str">
        <f>IFERROR(__xludf.DUMMYFUNCTION("GOOGLETRANSLATE(A1883, ""ar"", ""bn"")"),"নিষ্পত্তিমূলক")</f>
        <v>নিষ্পত্তিমূলক</v>
      </c>
    </row>
    <row r="1884">
      <c r="A1884" s="2" t="s">
        <v>4665</v>
      </c>
      <c r="B1884" s="3" t="str">
        <f>IFERROR(__xludf.DUMMYFUNCTION("GOOGLETRANSLATE(A1884, ""ar"", ""bn"")"),"মীমাংসিত")</f>
        <v>মীমাংসিত</v>
      </c>
    </row>
    <row r="1885">
      <c r="A1885" s="2" t="s">
        <v>4666</v>
      </c>
      <c r="B1885" s="3" t="str">
        <f>IFERROR(__xludf.DUMMYFUNCTION("GOOGLETRANSLATE(A1885, ""ar"", ""bn"")"),"প্রতিবেদন")</f>
        <v>প্রতিবেদন</v>
      </c>
    </row>
    <row r="1886">
      <c r="A1886" s="2" t="s">
        <v>4667</v>
      </c>
      <c r="B1886" s="3" t="str">
        <f>IFERROR(__xludf.DUMMYFUNCTION("GOOGLETRANSLATE(A1886, ""ar"", ""bn"")"),"সিদ্ধান্ত")</f>
        <v>সিদ্ধান্ত</v>
      </c>
    </row>
    <row r="1887">
      <c r="A1887" s="2" t="s">
        <v>4668</v>
      </c>
      <c r="B1887" s="3" t="str">
        <f>IFERROR(__xludf.DUMMYFUNCTION("GOOGLETRANSLATE(A1887, ""ar"", ""bn"")"),"সংকটপূর্ণ")</f>
        <v>সংকটপূর্ণ</v>
      </c>
    </row>
    <row r="1888">
      <c r="A1888" s="2" t="s">
        <v>4669</v>
      </c>
      <c r="B1888" s="3" t="str">
        <f>IFERROR(__xludf.DUMMYFUNCTION("GOOGLETRANSLATE(A1888, ""ar"", ""bn"")"),"নির্ণয়")</f>
        <v>নির্ণয়</v>
      </c>
    </row>
    <row r="1889">
      <c r="A1889" s="2" t="s">
        <v>4670</v>
      </c>
      <c r="B1889" s="3" t="str">
        <f>IFERROR(__xludf.DUMMYFUNCTION("GOOGLETRANSLATE(A1889, ""ar"", ""bn"")"),"নকশাকার")</f>
        <v>নকশাকার</v>
      </c>
    </row>
    <row r="1890">
      <c r="A1890" s="2" t="s">
        <v>4671</v>
      </c>
      <c r="B1890" s="3" t="str">
        <f>IFERROR(__xludf.DUMMYFUNCTION("GOOGLETRANSLATE(A1890, ""ar"", ""bn"")"),"Determinedly")</f>
        <v>Determinedly</v>
      </c>
    </row>
    <row r="1891">
      <c r="A1891" s="2" t="s">
        <v>4672</v>
      </c>
      <c r="B1891" s="3" t="str">
        <f>IFERROR(__xludf.DUMMYFUNCTION("GOOGLETRANSLATE(A1891, ""ar"", ""bn"")"),"নির্ধারণ করে")</f>
        <v>নির্ধারণ করে</v>
      </c>
    </row>
    <row r="1892">
      <c r="A1892" s="2" t="s">
        <v>4673</v>
      </c>
      <c r="B1892" s="3" t="str">
        <f>IFERROR(__xludf.DUMMYFUNCTION("GOOGLETRANSLATE(A1892, ""ar"", ""bn"")"),"নির্দিষ্ট করুন")</f>
        <v>নির্দিষ্ট করুন</v>
      </c>
    </row>
    <row r="1893">
      <c r="A1893" s="2" t="s">
        <v>4661</v>
      </c>
      <c r="B1893" s="3" t="str">
        <f>IFERROR(__xludf.DUMMYFUNCTION("GOOGLETRANSLATE(A1893, ""ar"", ""bn"")"),"অনিবার্য")</f>
        <v>অনিবার্য</v>
      </c>
    </row>
    <row r="1894">
      <c r="A1894" s="2" t="s">
        <v>4661</v>
      </c>
      <c r="B1894" s="3" t="str">
        <f>IFERROR(__xludf.DUMMYFUNCTION("GOOGLETRANSLATE(A1894, ""ar"", ""bn"")"),"অনিবার্য")</f>
        <v>অনিবার্য</v>
      </c>
    </row>
    <row r="1895">
      <c r="A1895" s="2" t="s">
        <v>4674</v>
      </c>
      <c r="B1895" s="3" t="str">
        <f>IFERROR(__xludf.DUMMYFUNCTION("GOOGLETRANSLATE(A1895, ""ar"", ""bn"")"),"সুদৃঢ়")</f>
        <v>সুদৃঢ়</v>
      </c>
    </row>
    <row r="1896">
      <c r="A1896" s="2" t="s">
        <v>4675</v>
      </c>
      <c r="B1896" s="3" t="str">
        <f>IFERROR(__xludf.DUMMYFUNCTION("GOOGLETRANSLATE(A1896, ""ar"", ""bn"")"),"অনিবার্য")</f>
        <v>অনিবার্য</v>
      </c>
    </row>
    <row r="1897">
      <c r="A1897" s="2" t="s">
        <v>4655</v>
      </c>
      <c r="B1897" s="3" t="str">
        <f>IFERROR(__xludf.DUMMYFUNCTION("GOOGLETRANSLATE(A1897, ""ar"", ""bn"")"),"ভয় দেখাইয়া নিবৃত্ত করা")</f>
        <v>ভয় দেখাইয়া নিবৃত্ত করা</v>
      </c>
    </row>
    <row r="1898">
      <c r="A1898" s="2" t="s">
        <v>4655</v>
      </c>
      <c r="B1898" s="3" t="str">
        <f>IFERROR(__xludf.DUMMYFUNCTION("GOOGLETRANSLATE(A1898, ""ar"", ""bn"")"),"ভয় দেখাইয়া নিবৃত্ত করা")</f>
        <v>ভয় দেখাইয়া নিবৃত্ত করা</v>
      </c>
    </row>
    <row r="1899">
      <c r="A1899" s="2" t="s">
        <v>4676</v>
      </c>
      <c r="B1899" s="3" t="str">
        <f>IFERROR(__xludf.DUMMYFUNCTION("GOOGLETRANSLATE(A1899, ""ar"", ""bn"")"),"প্রতিবন্ধক")</f>
        <v>প্রতিবন্ধক</v>
      </c>
    </row>
    <row r="1900">
      <c r="A1900" s="2" t="s">
        <v>4677</v>
      </c>
      <c r="B1900" s="3" t="str">
        <f>IFERROR(__xludf.DUMMYFUNCTION("GOOGLETRANSLATE(A1900, ""ar"", ""bn"")"),"deterrents")</f>
        <v>deterrents</v>
      </c>
    </row>
    <row r="1901">
      <c r="A1901" s="2" t="s">
        <v>4655</v>
      </c>
      <c r="B1901" s="3" t="str">
        <f>IFERROR(__xludf.DUMMYFUNCTION("GOOGLETRANSLATE(A1901, ""ar"", ""bn"")"),"ভয় দেখাইয়া নিবৃত্ত করা")</f>
        <v>ভয় দেখাইয়া নিবৃত্ত করা</v>
      </c>
    </row>
    <row r="1902">
      <c r="A1902" s="2" t="s">
        <v>4678</v>
      </c>
      <c r="B1902" s="3" t="str">
        <f>IFERROR(__xludf.DUMMYFUNCTION("GOOGLETRANSLATE(A1902, ""ar"", ""bn"")"),"ভয় দেখাইয়া নিবৃত্ত করা")</f>
        <v>ভয় দেখাইয়া নিবৃত্ত করা</v>
      </c>
    </row>
    <row r="1903">
      <c r="A1903" s="2" t="s">
        <v>4676</v>
      </c>
      <c r="B1903" s="3" t="str">
        <f>IFERROR(__xludf.DUMMYFUNCTION("GOOGLETRANSLATE(A1903, ""ar"", ""bn"")"),"প্রতিবন্ধক")</f>
        <v>প্রতিবন্ধক</v>
      </c>
    </row>
    <row r="1904">
      <c r="A1904" s="2" t="s">
        <v>4677</v>
      </c>
      <c r="B1904" s="3" t="str">
        <f>IFERROR(__xludf.DUMMYFUNCTION("GOOGLETRANSLATE(A1904, ""ar"", ""bn"")"),"deterrents")</f>
        <v>deterrents</v>
      </c>
    </row>
    <row r="1905">
      <c r="A1905" s="2" t="s">
        <v>4679</v>
      </c>
      <c r="B1905" s="3" t="str">
        <f>IFERROR(__xludf.DUMMYFUNCTION("GOOGLETRANSLATE(A1905, ""ar"", ""bn"")"),"ঘৃণা")</f>
        <v>ঘৃণা</v>
      </c>
    </row>
    <row r="1906">
      <c r="A1906" s="2" t="s">
        <v>4680</v>
      </c>
      <c r="B1906" s="3" t="str">
        <f>IFERROR(__xludf.DUMMYFUNCTION("GOOGLETRANSLATE(A1906, ""ar"", ""bn"")"),"ঘৃণিত")</f>
        <v>ঘৃণিত</v>
      </c>
    </row>
    <row r="1907">
      <c r="A1907" s="2" t="s">
        <v>4681</v>
      </c>
      <c r="B1907" s="3" t="str">
        <f>IFERROR(__xludf.DUMMYFUNCTION("GOOGLETRANSLATE(A1907, ""ar"", ""bn"")"),"জঘন্যতা")</f>
        <v>জঘন্যতা</v>
      </c>
    </row>
    <row r="1908">
      <c r="A1908" s="2" t="s">
        <v>4682</v>
      </c>
      <c r="B1908" s="3" t="str">
        <f>IFERROR(__xludf.DUMMYFUNCTION("GOOGLETRANSLATE(A1908, ""ar"", ""bn"")"),"ঘৃণা করা")</f>
        <v>ঘৃণা করা</v>
      </c>
    </row>
    <row r="1909">
      <c r="A1909" s="2" t="s">
        <v>4683</v>
      </c>
      <c r="B1909" s="3" t="str">
        <f>IFERROR(__xludf.DUMMYFUNCTION("GOOGLETRANSLATE(A1909, ""ar"", ""bn"")"),"Detesting")</f>
        <v>Detesting</v>
      </c>
    </row>
    <row r="1910">
      <c r="A1910" s="2" t="s">
        <v>4635</v>
      </c>
      <c r="B1910" s="3" t="str">
        <f>IFERROR(__xludf.DUMMYFUNCTION("GOOGLETRANSLATE(A1910, ""ar"", ""bn"")"),"অবজ্ঞা করা")</f>
        <v>অবজ্ঞা করা</v>
      </c>
    </row>
    <row r="1911">
      <c r="A1911" s="2" t="s">
        <v>4387</v>
      </c>
      <c r="B1911" s="3" t="str">
        <f>IFERROR(__xludf.DUMMYFUNCTION("GOOGLETRANSLATE(A1911, ""ar"", ""bn"")"),"খর্ব করা")</f>
        <v>খর্ব করা</v>
      </c>
    </row>
    <row r="1912">
      <c r="A1912" s="2" t="s">
        <v>4684</v>
      </c>
      <c r="B1912" s="3" t="str">
        <f>IFERROR(__xludf.DUMMYFUNCTION("GOOGLETRANSLATE(A1912, ""ar"", ""bn"")"),"Detracted")</f>
        <v>Detracted</v>
      </c>
    </row>
    <row r="1913">
      <c r="A1913" s="2" t="s">
        <v>4685</v>
      </c>
      <c r="B1913" s="3" t="str">
        <f>IFERROR(__xludf.DUMMYFUNCTION("GOOGLETRANSLATE(A1913, ""ar"", ""bn"")"),"খর্বতা")</f>
        <v>খর্বতা</v>
      </c>
    </row>
    <row r="1914">
      <c r="A1914" s="2" t="s">
        <v>4686</v>
      </c>
      <c r="B1914" s="3" t="str">
        <f>IFERROR(__xludf.DUMMYFUNCTION("GOOGLETRANSLATE(A1914, ""ar"", ""bn"")"),"খর্বতা")</f>
        <v>খর্বতা</v>
      </c>
    </row>
    <row r="1915">
      <c r="A1915" s="2" t="s">
        <v>4687</v>
      </c>
      <c r="B1915" s="3" t="str">
        <f>IFERROR(__xludf.DUMMYFUNCTION("GOOGLETRANSLATE(A1915, ""ar"", ""bn"")"),"নিন্দুক")</f>
        <v>নিন্দুক</v>
      </c>
    </row>
    <row r="1916">
      <c r="A1916" s="2" t="s">
        <v>4688</v>
      </c>
      <c r="B1916" s="3" t="str">
        <f>IFERROR(__xludf.DUMMYFUNCTION("GOOGLETRANSLATE(A1916, ""ar"", ""bn"")"),"নিন্দুকেরা")</f>
        <v>নিন্দুকেরা</v>
      </c>
    </row>
    <row r="1917">
      <c r="A1917" s="2" t="s">
        <v>4387</v>
      </c>
      <c r="B1917" s="3" t="str">
        <f>IFERROR(__xludf.DUMMYFUNCTION("GOOGLETRANSLATE(A1917, ""ar"", ""bn"")"),"খর্ব করা")</f>
        <v>খর্ব করা</v>
      </c>
    </row>
    <row r="1918">
      <c r="A1918" s="2" t="s">
        <v>4689</v>
      </c>
      <c r="B1918" s="3" t="str">
        <f>IFERROR(__xludf.DUMMYFUNCTION("GOOGLETRANSLATE(A1918, ""ar"", ""bn"")"),"ক্ষতিকর")</f>
        <v>ক্ষতিকর</v>
      </c>
    </row>
    <row r="1919">
      <c r="A1919" s="2" t="s">
        <v>4690</v>
      </c>
      <c r="B1919" s="3" t="str">
        <f>IFERROR(__xludf.DUMMYFUNCTION("GOOGLETRANSLATE(A1919, ""ar"", ""bn"")"),"ক্ষতিকর")</f>
        <v>ক্ষতিকর</v>
      </c>
    </row>
    <row r="1920">
      <c r="A1920" s="2" t="s">
        <v>4691</v>
      </c>
      <c r="B1920" s="3" t="str">
        <f>IFERROR(__xludf.DUMMYFUNCTION("GOOGLETRANSLATE(A1920, ""ar"", ""bn"")"),"বিনষ্ট")</f>
        <v>বিনষ্ট</v>
      </c>
    </row>
    <row r="1921">
      <c r="A1921" s="2" t="s">
        <v>4691</v>
      </c>
      <c r="B1921" s="3" t="str">
        <f>IFERROR(__xludf.DUMMYFUNCTION("GOOGLETRANSLATE(A1921, ""ar"", ""bn"")"),"বিনষ্ট")</f>
        <v>বিনষ্ট</v>
      </c>
    </row>
    <row r="1922">
      <c r="A1922" s="2" t="s">
        <v>4641</v>
      </c>
      <c r="B1922" s="3" t="str">
        <f>IFERROR(__xludf.DUMMYFUNCTION("GOOGLETRANSLATE(A1922, ""ar"", ""bn"")"),"ধ্বংসাত্মক")</f>
        <v>ধ্বংসাত্মক</v>
      </c>
    </row>
    <row r="1923">
      <c r="A1923" s="2" t="s">
        <v>4641</v>
      </c>
      <c r="B1923" s="3" t="str">
        <f>IFERROR(__xludf.DUMMYFUNCTION("GOOGLETRANSLATE(A1923, ""ar"", ""bn"")"),"ধ্বংসাত্মক")</f>
        <v>ধ্বংসাত্মক</v>
      </c>
    </row>
    <row r="1924">
      <c r="A1924" s="2" t="s">
        <v>4692</v>
      </c>
      <c r="B1924" s="3" t="str">
        <f>IFERROR(__xludf.DUMMYFUNCTION("GOOGLETRANSLATE(A1924, ""ar"", ""bn"")"),"বিধ্বংস")</f>
        <v>বিধ্বংস</v>
      </c>
    </row>
    <row r="1925">
      <c r="A1925" s="2" t="s">
        <v>4691</v>
      </c>
      <c r="B1925" s="3" t="str">
        <f>IFERROR(__xludf.DUMMYFUNCTION("GOOGLETRANSLATE(A1925, ""ar"", ""bn"")"),"বিনষ্ট")</f>
        <v>বিনষ্ট</v>
      </c>
    </row>
    <row r="1926">
      <c r="A1926" s="2" t="s">
        <v>4691</v>
      </c>
      <c r="B1926" s="3" t="str">
        <f>IFERROR(__xludf.DUMMYFUNCTION("GOOGLETRANSLATE(A1926, ""ar"", ""bn"")"),"বিনষ্ট")</f>
        <v>বিনষ্ট</v>
      </c>
    </row>
    <row r="1927">
      <c r="A1927" s="2" t="s">
        <v>4693</v>
      </c>
      <c r="B1927" s="3" t="str">
        <f>IFERROR(__xludf.DUMMYFUNCTION("GOOGLETRANSLATE(A1927, ""ar"", ""bn"")"),"একদিকে ফেরা")</f>
        <v>একদিকে ফেরা</v>
      </c>
    </row>
    <row r="1928">
      <c r="A1928" s="2" t="s">
        <v>4694</v>
      </c>
      <c r="B1928" s="3" t="str">
        <f>IFERROR(__xludf.DUMMYFUNCTION("GOOGLETRANSLATE(A1928, ""ar"", ""bn"")"),"পথচু্যত")</f>
        <v>পথচু্যত</v>
      </c>
    </row>
    <row r="1929">
      <c r="A1929" s="2" t="s">
        <v>4695</v>
      </c>
      <c r="B1929" s="3" t="str">
        <f>IFERROR(__xludf.DUMMYFUNCTION("GOOGLETRANSLATE(A1929, ""ar"", ""bn"")"),"বিচ্যুত")</f>
        <v>বিচ্যুত</v>
      </c>
    </row>
    <row r="1930">
      <c r="A1930" s="2" t="s">
        <v>4696</v>
      </c>
      <c r="B1930" s="3" t="str">
        <f>IFERROR(__xludf.DUMMYFUNCTION("GOOGLETRANSLATE(A1930, ""ar"", ""bn"")"),"চ্যুতি")</f>
        <v>চ্যুতি</v>
      </c>
    </row>
    <row r="1931">
      <c r="A1931" s="2" t="s">
        <v>4697</v>
      </c>
      <c r="B1931" s="3" t="str">
        <f>IFERROR(__xludf.DUMMYFUNCTION("GOOGLETRANSLATE(A1931, ""ar"", ""bn"")"),"বিচ্যুতি")</f>
        <v>বিচ্যুতি</v>
      </c>
    </row>
    <row r="1932">
      <c r="A1932" s="2" t="s">
        <v>4698</v>
      </c>
      <c r="B1932" s="3" t="str">
        <f>IFERROR(__xludf.DUMMYFUNCTION("GOOGLETRANSLATE(A1932, ""ar"", ""bn"")"),"শয়তান")</f>
        <v>শয়তান</v>
      </c>
    </row>
    <row r="1933">
      <c r="A1933" s="2" t="s">
        <v>4560</v>
      </c>
      <c r="B1933" s="3" t="str">
        <f>IFERROR(__xludf.DUMMYFUNCTION("GOOGLETRANSLATE(A1933, ""ar"", ""bn"")"),"দুষ্ট")</f>
        <v>দুষ্ট</v>
      </c>
    </row>
    <row r="1934">
      <c r="A1934" s="2" t="s">
        <v>4699</v>
      </c>
      <c r="B1934" s="3" t="str">
        <f>IFERROR(__xludf.DUMMYFUNCTION("GOOGLETRANSLATE(A1934, ""ar"", ""bn"")"),"পুরোপুরি")</f>
        <v>পুরোপুরি</v>
      </c>
    </row>
    <row r="1935">
      <c r="A1935" s="2" t="s">
        <v>4700</v>
      </c>
      <c r="B1935" s="3" t="str">
        <f>IFERROR(__xludf.DUMMYFUNCTION("GOOGLETRANSLATE(A1935, ""ar"", ""bn"")"),"ডেভিল করা")</f>
        <v>ডেভিল করা</v>
      </c>
    </row>
    <row r="1936">
      <c r="A1936" s="2" t="s">
        <v>4701</v>
      </c>
      <c r="B1936" s="3" t="str">
        <f>IFERROR(__xludf.DUMMYFUNCTION("GOOGLETRANSLATE(A1936, ""ar"", ""bn"")"),"দুষ্ঠামি")</f>
        <v>দুষ্ঠামি</v>
      </c>
    </row>
    <row r="1937">
      <c r="A1937" s="2" t="s">
        <v>3532</v>
      </c>
      <c r="B1937" s="3" t="str">
        <f>IFERROR(__xludf.DUMMYFUNCTION("GOOGLETRANSLATE(A1937, ""ar"", ""bn"")"),"পশুত্ব")</f>
        <v>পশুত্ব</v>
      </c>
    </row>
    <row r="1938">
      <c r="A1938" s="2" t="s">
        <v>4563</v>
      </c>
      <c r="B1938" s="3" t="str">
        <f>IFERROR(__xludf.DUMMYFUNCTION("GOOGLETRANSLATE(A1938, ""ar"", ""bn"")"),"শয়তানদের")</f>
        <v>শয়তানদের</v>
      </c>
    </row>
    <row r="1939">
      <c r="A1939" s="2" t="s">
        <v>4470</v>
      </c>
      <c r="B1939" s="3" t="str">
        <f>IFERROR(__xludf.DUMMYFUNCTION("GOOGLETRANSLATE(A1939, ""ar"", ""bn"")"),"শঠ")</f>
        <v>শঠ</v>
      </c>
    </row>
    <row r="1940">
      <c r="A1940" s="2" t="s">
        <v>4470</v>
      </c>
      <c r="B1940" s="3" t="str">
        <f>IFERROR(__xludf.DUMMYFUNCTION("GOOGLETRANSLATE(A1940, ""ar"", ""bn"")"),"শঠ")</f>
        <v>শঠ</v>
      </c>
    </row>
    <row r="1941">
      <c r="A1941" s="2" t="s">
        <v>4702</v>
      </c>
      <c r="B1941" s="3" t="str">
        <f>IFERROR(__xludf.DUMMYFUNCTION("GOOGLETRANSLATE(A1941, ""ar"", ""bn"")"),"ছল")</f>
        <v>ছল</v>
      </c>
    </row>
    <row r="1942">
      <c r="A1942" s="2" t="s">
        <v>4703</v>
      </c>
      <c r="B1942" s="3" t="str">
        <f>IFERROR(__xludf.DUMMYFUNCTION("GOOGLETRANSLATE(A1942, ""ar"", ""bn"")"),"খালি")</f>
        <v>খালি</v>
      </c>
    </row>
    <row r="1943">
      <c r="A1943" s="2" t="s">
        <v>4560</v>
      </c>
      <c r="B1943" s="3" t="str">
        <f>IFERROR(__xludf.DUMMYFUNCTION("GOOGLETRANSLATE(A1943, ""ar"", ""bn"")"),"দুষ্ট")</f>
        <v>দুষ্ট</v>
      </c>
    </row>
    <row r="1944">
      <c r="A1944" s="2" t="s">
        <v>4560</v>
      </c>
      <c r="B1944" s="3" t="str">
        <f>IFERROR(__xludf.DUMMYFUNCTION("GOOGLETRANSLATE(A1944, ""ar"", ""bn"")"),"দুষ্ট")</f>
        <v>দুষ্ট</v>
      </c>
    </row>
    <row r="1945">
      <c r="A1945" s="2" t="s">
        <v>4704</v>
      </c>
      <c r="B1945" s="3" t="str">
        <f>IFERROR(__xludf.DUMMYFUNCTION("GOOGLETRANSLATE(A1945, ""ar"", ""bn"")"),"বিরক্তিকরভাবে বারবার")</f>
        <v>বিরক্তিকরভাবে বারবার</v>
      </c>
    </row>
    <row r="1946">
      <c r="A1946" s="2" t="s">
        <v>4705</v>
      </c>
      <c r="B1946" s="3" t="str">
        <f>IFERROR(__xludf.DUMMYFUNCTION("GOOGLETRANSLATE(A1946, ""ar"", ""bn"")"),"নির্দেশ")</f>
        <v>নির্দেশ</v>
      </c>
    </row>
    <row r="1947">
      <c r="A1947" s="2" t="s">
        <v>4706</v>
      </c>
      <c r="B1947" s="3" t="str">
        <f>IFERROR(__xludf.DUMMYFUNCTION("GOOGLETRANSLATE(A1947, ""ar"", ""bn"")"),"লিপ্যন্তরে")</f>
        <v>লিপ্যন্তরে</v>
      </c>
    </row>
    <row r="1948">
      <c r="A1948" s="2" t="s">
        <v>4707</v>
      </c>
      <c r="B1948" s="3" t="str">
        <f>IFERROR(__xludf.DUMMYFUNCTION("GOOGLETRANSLATE(A1948, ""ar"", ""bn"")"),"ইরশাদ")</f>
        <v>ইরশাদ</v>
      </c>
    </row>
    <row r="1949">
      <c r="A1949" s="2" t="s">
        <v>4708</v>
      </c>
      <c r="B1949" s="3" t="str">
        <f>IFERROR(__xludf.DUMMYFUNCTION("GOOGLETRANSLATE(A1949, ""ar"", ""bn"")"),"স্বৈর")</f>
        <v>স্বৈর</v>
      </c>
    </row>
    <row r="1950">
      <c r="A1950" s="2" t="s">
        <v>4708</v>
      </c>
      <c r="B1950" s="3" t="str">
        <f>IFERROR(__xludf.DUMMYFUNCTION("GOOGLETRANSLATE(A1950, ""ar"", ""bn"")"),"স্বৈর")</f>
        <v>স্বৈর</v>
      </c>
    </row>
    <row r="1951">
      <c r="A1951" s="2" t="s">
        <v>4709</v>
      </c>
      <c r="B1951" s="3" t="str">
        <f>IFERROR(__xludf.DUMMYFUNCTION("GOOGLETRANSLATE(A1951, ""ar"", ""bn"")"),"ভিন্ন")</f>
        <v>ভিন্ন</v>
      </c>
    </row>
    <row r="1952">
      <c r="A1952" s="2" t="s">
        <v>4709</v>
      </c>
      <c r="B1952" s="3" t="str">
        <f>IFERROR(__xludf.DUMMYFUNCTION("GOOGLETRANSLATE(A1952, ""ar"", ""bn"")"),"ভিন্ন")</f>
        <v>ভিন্ন</v>
      </c>
    </row>
    <row r="1953">
      <c r="A1953" s="2" t="s">
        <v>4710</v>
      </c>
      <c r="B1953" s="3" t="str">
        <f>IFERROR(__xludf.DUMMYFUNCTION("GOOGLETRANSLATE(A1953, ""ar"", ""bn"")"),"পার্থক্য")</f>
        <v>পার্থক্য</v>
      </c>
    </row>
    <row r="1954">
      <c r="A1954" s="2" t="s">
        <v>4201</v>
      </c>
      <c r="B1954" s="3" t="str">
        <f>IFERROR(__xludf.DUMMYFUNCTION("GOOGLETRANSLATE(A1954, ""ar"", ""bn"")"),"পার্থক্য")</f>
        <v>পার্থক্য</v>
      </c>
    </row>
    <row r="1955">
      <c r="A1955" s="2" t="s">
        <v>4711</v>
      </c>
      <c r="B1955" s="3" t="str">
        <f>IFERROR(__xludf.DUMMYFUNCTION("GOOGLETRANSLATE(A1955, ""ar"", ""bn"")"),"আলাদা")</f>
        <v>আলাদা</v>
      </c>
    </row>
    <row r="1956">
      <c r="A1956" s="2" t="s">
        <v>4712</v>
      </c>
      <c r="B1956" s="3" t="str">
        <f>IFERROR(__xludf.DUMMYFUNCTION("GOOGLETRANSLATE(A1956, ""ar"", ""bn"")"),"বিভিন্ন")</f>
        <v>বিভিন্ন</v>
      </c>
    </row>
    <row r="1957">
      <c r="A1957" s="2" t="s">
        <v>4713</v>
      </c>
      <c r="B1957" s="3" t="str">
        <f>IFERROR(__xludf.DUMMYFUNCTION("GOOGLETRANSLATE(A1957, ""ar"", ""bn"")"),"পৃথকীকরণ")</f>
        <v>পৃথকীকরণ</v>
      </c>
    </row>
    <row r="1958">
      <c r="A1958" s="2" t="s">
        <v>4714</v>
      </c>
      <c r="B1958" s="3" t="str">
        <f>IFERROR(__xludf.DUMMYFUNCTION("GOOGLETRANSLATE(A1958, ""ar"", ""bn"")"),"পার্থক্য")</f>
        <v>পার্থক্য</v>
      </c>
    </row>
    <row r="1959">
      <c r="A1959" s="2" t="s">
        <v>4715</v>
      </c>
      <c r="B1959" s="3" t="str">
        <f>IFERROR(__xludf.DUMMYFUNCTION("GOOGLETRANSLATE(A1959, ""ar"", ""bn"")"),"পার্থক্যমুলক")</f>
        <v>পার্থক্যমুলক</v>
      </c>
    </row>
    <row r="1960">
      <c r="A1960" s="2" t="s">
        <v>4716</v>
      </c>
      <c r="B1960" s="3" t="str">
        <f>IFERROR(__xludf.DUMMYFUNCTION("GOOGLETRANSLATE(A1960, ""ar"", ""bn"")"),"পার্থক্যমুলক")</f>
        <v>পার্থক্যমুলক</v>
      </c>
    </row>
    <row r="1961">
      <c r="A1961" s="2" t="s">
        <v>4717</v>
      </c>
      <c r="B1961" s="3" t="str">
        <f>IFERROR(__xludf.DUMMYFUNCTION("GOOGLETRANSLATE(A1961, ""ar"", ""bn"")"),"পার্থক্য")</f>
        <v>পার্থক্য</v>
      </c>
    </row>
    <row r="1962">
      <c r="A1962" s="2" t="s">
        <v>4718</v>
      </c>
      <c r="B1962" s="3" t="str">
        <f>IFERROR(__xludf.DUMMYFUNCTION("GOOGLETRANSLATE(A1962, ""ar"", ""bn"")"),"পার্থক্য")</f>
        <v>পার্থক্য</v>
      </c>
    </row>
    <row r="1963">
      <c r="A1963" s="2" t="s">
        <v>4719</v>
      </c>
      <c r="B1963" s="3" t="str">
        <f>IFERROR(__xludf.DUMMYFUNCTION("GOOGLETRANSLATE(A1963, ""ar"", ""bn"")"),"মিশ্র")</f>
        <v>মিশ্র</v>
      </c>
    </row>
    <row r="1964">
      <c r="A1964" s="2" t="s">
        <v>4720</v>
      </c>
      <c r="B1964" s="3" t="str">
        <f>IFERROR(__xludf.DUMMYFUNCTION("GOOGLETRANSLATE(A1964, ""ar"", ""bn"")"),"বিশিষ্ট")</f>
        <v>বিশিষ্ট</v>
      </c>
    </row>
    <row r="1965">
      <c r="A1965" s="2" t="s">
        <v>4721</v>
      </c>
      <c r="B1965" s="3" t="str">
        <f>IFERROR(__xludf.DUMMYFUNCTION("GOOGLETRANSLATE(A1965, ""ar"", ""bn"")"),"পৃথকীকরণ")</f>
        <v>পৃথকীকরণ</v>
      </c>
    </row>
    <row r="1966">
      <c r="A1966" s="2" t="s">
        <v>4713</v>
      </c>
      <c r="B1966" s="3" t="str">
        <f>IFERROR(__xludf.DUMMYFUNCTION("GOOGLETRANSLATE(A1966, ""ar"", ""bn"")"),"পৃথকীকরণ")</f>
        <v>পৃথকীকরণ</v>
      </c>
    </row>
    <row r="1967">
      <c r="A1967" s="2" t="s">
        <v>4722</v>
      </c>
      <c r="B1967" s="3" t="str">
        <f>IFERROR(__xludf.DUMMYFUNCTION("GOOGLETRANSLATE(A1967, ""ar"", ""bn"")"),"বৈষম্য")</f>
        <v>বৈষম্য</v>
      </c>
    </row>
    <row r="1968">
      <c r="A1968" s="2" t="s">
        <v>4713</v>
      </c>
      <c r="B1968" s="3" t="str">
        <f>IFERROR(__xludf.DUMMYFUNCTION("GOOGLETRANSLATE(A1968, ""ar"", ""bn"")"),"পৃথকীকরণ")</f>
        <v>পৃথকীকরণ</v>
      </c>
    </row>
    <row r="1969">
      <c r="A1969" s="2" t="s">
        <v>4723</v>
      </c>
      <c r="B1969" s="3" t="str">
        <f>IFERROR(__xludf.DUMMYFUNCTION("GOOGLETRANSLATE(A1969, ""ar"", ""bn"")"),"অন্যভাবে")</f>
        <v>অন্যভাবে</v>
      </c>
    </row>
    <row r="1970">
      <c r="A1970" s="2" t="s">
        <v>4714</v>
      </c>
      <c r="B1970" s="3" t="str">
        <f>IFERROR(__xludf.DUMMYFUNCTION("GOOGLETRANSLATE(A1970, ""ar"", ""bn"")"),"পার্থক্য")</f>
        <v>পার্থক্য</v>
      </c>
    </row>
    <row r="1971">
      <c r="A1971" s="2" t="s">
        <v>4724</v>
      </c>
      <c r="B1971" s="3" t="str">
        <f>IFERROR(__xludf.DUMMYFUNCTION("GOOGLETRANSLATE(A1971, ""ar"", ""bn"")"),"থেকে পৃথক")</f>
        <v>থেকে পৃথক</v>
      </c>
    </row>
    <row r="1972">
      <c r="A1972" s="2" t="s">
        <v>4725</v>
      </c>
      <c r="B1972" s="3" t="str">
        <f>IFERROR(__xludf.DUMMYFUNCTION("GOOGLETRANSLATE(A1972, ""ar"", ""bn"")"),"কঠিন")</f>
        <v>কঠিন</v>
      </c>
    </row>
    <row r="1973">
      <c r="A1973" s="2" t="s">
        <v>4726</v>
      </c>
      <c r="B1973" s="3" t="str">
        <f>IFERROR(__xludf.DUMMYFUNCTION("GOOGLETRANSLATE(A1973, ""ar"", ""bn"")"),"সমস্যাসমূহ")</f>
        <v>সমস্যাসমূহ</v>
      </c>
    </row>
    <row r="1974">
      <c r="A1974" s="2" t="s">
        <v>4727</v>
      </c>
      <c r="B1974" s="3" t="str">
        <f>IFERROR(__xludf.DUMMYFUNCTION("GOOGLETRANSLATE(A1974, ""ar"", ""bn"")"),"অসুবিধা")</f>
        <v>অসুবিধা</v>
      </c>
    </row>
    <row r="1975">
      <c r="A1975" s="2" t="s">
        <v>4728</v>
      </c>
      <c r="B1975" s="3" t="str">
        <f>IFERROR(__xludf.DUMMYFUNCTION("GOOGLETRANSLATE(A1975, ""ar"", ""bn"")"),"উভয়সঙ্কট")</f>
        <v>উভয়সঙ্কট</v>
      </c>
    </row>
    <row r="1976">
      <c r="A1976" s="2" t="s">
        <v>4729</v>
      </c>
      <c r="B1976" s="3" t="str">
        <f>IFERROR(__xludf.DUMMYFUNCTION("GOOGLETRANSLATE(A1976, ""ar"", ""bn"")"),"দ্বিধা")</f>
        <v>দ্বিধা</v>
      </c>
    </row>
    <row r="1977">
      <c r="A1977" s="2" t="s">
        <v>4730</v>
      </c>
      <c r="B1977" s="3" t="str">
        <f>IFERROR(__xludf.DUMMYFUNCTION("GOOGLETRANSLATE(A1977, ""ar"", ""bn"")"),"অজ্ঞান হয়ে")</f>
        <v>অজ্ঞান হয়ে</v>
      </c>
    </row>
    <row r="1978">
      <c r="A1978" s="2" t="s">
        <v>4731</v>
      </c>
      <c r="B1978" s="3" t="str">
        <f>IFERROR(__xludf.DUMMYFUNCTION("GOOGLETRANSLATE(A1978, ""ar"", ""bn"")"),"তুচ্ছ")</f>
        <v>তুচ্ছ</v>
      </c>
    </row>
    <row r="1979">
      <c r="A1979" s="2" t="s">
        <v>4732</v>
      </c>
      <c r="B1979" s="3" t="str">
        <f>IFERROR(__xludf.DUMMYFUNCTION("GOOGLETRANSLATE(A1979, ""ar"", ""bn"")"),"দূরত্ব")</f>
        <v>দূরত্ব</v>
      </c>
    </row>
    <row r="1980">
      <c r="A1980" s="2" t="s">
        <v>4733</v>
      </c>
      <c r="B1980" s="3" t="str">
        <f>IFERROR(__xludf.DUMMYFUNCTION("GOOGLETRANSLATE(A1980, ""ar"", ""bn"")"),"মাত্রা")</f>
        <v>মাত্রা</v>
      </c>
    </row>
    <row r="1981">
      <c r="A1981" s="2" t="s">
        <v>4734</v>
      </c>
      <c r="B1981" s="3" t="str">
        <f>IFERROR(__xludf.DUMMYFUNCTION("GOOGLETRANSLATE(A1981, ""ar"", ""bn"")"),"মাত্রা")</f>
        <v>মাত্রা</v>
      </c>
    </row>
    <row r="1982">
      <c r="A1982" s="2" t="s">
        <v>4733</v>
      </c>
      <c r="B1982" s="3" t="str">
        <f>IFERROR(__xludf.DUMMYFUNCTION("GOOGLETRANSLATE(A1982, ""ar"", ""bn"")"),"মাত্রা")</f>
        <v>মাত্রা</v>
      </c>
    </row>
    <row r="1983">
      <c r="A1983" s="2" t="s">
        <v>4735</v>
      </c>
      <c r="B1983" s="3" t="str">
        <f>IFERROR(__xludf.DUMMYFUNCTION("GOOGLETRANSLATE(A1983, ""ar"", ""bn"")"),"উত্পাদনের বিন্যাস")</f>
        <v>উত্পাদনের বিন্যাস</v>
      </c>
    </row>
    <row r="1984">
      <c r="A1984" s="2" t="s">
        <v>4734</v>
      </c>
      <c r="B1984" s="3" t="str">
        <f>IFERROR(__xludf.DUMMYFUNCTION("GOOGLETRANSLATE(A1984, ""ar"", ""bn"")"),"মাত্রা")</f>
        <v>মাত্রা</v>
      </c>
    </row>
    <row r="1985">
      <c r="A1985" s="2" t="s">
        <v>4734</v>
      </c>
      <c r="B1985" s="3" t="str">
        <f>IFERROR(__xludf.DUMMYFUNCTION("GOOGLETRANSLATE(A1985, ""ar"", ""bn"")"),"মাত্রা")</f>
        <v>মাত্রা</v>
      </c>
    </row>
    <row r="1986">
      <c r="A1986" s="2" t="s">
        <v>4734</v>
      </c>
      <c r="B1986" s="3" t="str">
        <f>IFERROR(__xludf.DUMMYFUNCTION("GOOGLETRANSLATE(A1986, ""ar"", ""bn"")"),"মাত্রা")</f>
        <v>মাত্রা</v>
      </c>
    </row>
    <row r="1987">
      <c r="A1987" s="2" t="s">
        <v>4736</v>
      </c>
      <c r="B1987" s="3" t="str">
        <f>IFERROR(__xludf.DUMMYFUNCTION("GOOGLETRANSLATE(A1987, ""ar"", ""bn"")"),"Dimer")</f>
        <v>Dimer</v>
      </c>
    </row>
    <row r="1988">
      <c r="A1988" s="2" t="s">
        <v>4737</v>
      </c>
      <c r="B1988" s="3" t="str">
        <f>IFERROR(__xludf.DUMMYFUNCTION("GOOGLETRANSLATE(A1988, ""ar"", ""bn"")"),"dimes")</f>
        <v>dimes</v>
      </c>
    </row>
    <row r="1989">
      <c r="A1989" s="2" t="s">
        <v>4738</v>
      </c>
      <c r="B1989" s="3" t="str">
        <f>IFERROR(__xludf.DUMMYFUNCTION("GOOGLETRANSLATE(A1989, ""ar"", ""bn"")"),"হ্রাস")</f>
        <v>হ্রাস</v>
      </c>
    </row>
    <row r="1990">
      <c r="A1990" s="2" t="s">
        <v>4739</v>
      </c>
      <c r="B1990" s="3" t="str">
        <f>IFERROR(__xludf.DUMMYFUNCTION("GOOGLETRANSLATE(A1990, ""ar"", ""bn"")"),"কমান")</f>
        <v>কমান</v>
      </c>
    </row>
    <row r="1991">
      <c r="A1991" s="2" t="s">
        <v>4740</v>
      </c>
      <c r="B1991" s="3" t="str">
        <f>IFERROR(__xludf.DUMMYFUNCTION("GOOGLETRANSLATE(A1991, ""ar"", ""bn"")"),"কমে")</f>
        <v>কমে</v>
      </c>
    </row>
    <row r="1992">
      <c r="A1992" s="2" t="s">
        <v>4741</v>
      </c>
      <c r="B1992" s="3" t="str">
        <f>IFERROR(__xludf.DUMMYFUNCTION("GOOGLETRANSLATE(A1992, ""ar"", ""bn"")"),"হ্রাস")</f>
        <v>হ্রাস</v>
      </c>
    </row>
    <row r="1993">
      <c r="A1993" s="2" t="s">
        <v>4742</v>
      </c>
      <c r="B1993" s="3" t="str">
        <f>IFERROR(__xludf.DUMMYFUNCTION("GOOGLETRANSLATE(A1993, ""ar"", ""bn"")"),"ক্ষয়")</f>
        <v>ক্ষয়</v>
      </c>
    </row>
    <row r="1994">
      <c r="A1994" s="2" t="s">
        <v>4483</v>
      </c>
      <c r="B1994" s="3" t="str">
        <f>IFERROR(__xludf.DUMMYFUNCTION("GOOGLETRANSLATE(A1994, ""ar"", ""bn"")"),"হ্রাস")</f>
        <v>হ্রাস</v>
      </c>
    </row>
    <row r="1995">
      <c r="A1995" s="2" t="s">
        <v>4743</v>
      </c>
      <c r="B1995" s="3" t="str">
        <f>IFERROR(__xludf.DUMMYFUNCTION("GOOGLETRANSLATE(A1995, ""ar"", ""bn"")"),"সঙ্কুচিত")</f>
        <v>সঙ্কুচিত</v>
      </c>
    </row>
    <row r="1996">
      <c r="A1996" s="2" t="s">
        <v>4744</v>
      </c>
      <c r="B1996" s="3" t="str">
        <f>IFERROR(__xludf.DUMMYFUNCTION("GOOGLETRANSLATE(A1996, ""ar"", ""bn"")"),"Aldialon")</f>
        <v>Aldialon</v>
      </c>
    </row>
    <row r="1997">
      <c r="A1997" s="2" t="s">
        <v>4730</v>
      </c>
      <c r="B1997" s="3" t="str">
        <f>IFERROR(__xludf.DUMMYFUNCTION("GOOGLETRANSLATE(A1997, ""ar"", ""bn"")"),"অজ্ঞান হয়ে")</f>
        <v>অজ্ঞান হয়ে</v>
      </c>
    </row>
    <row r="1998">
      <c r="A1998" s="2" t="s">
        <v>4745</v>
      </c>
      <c r="B1998" s="3" t="str">
        <f>IFERROR(__xludf.DUMMYFUNCTION("GOOGLETRANSLATE(A1998, ""ar"", ""bn"")"),"বিবর্ণ")</f>
        <v>বিবর্ণ</v>
      </c>
    </row>
    <row r="1999">
      <c r="A1999" s="2" t="s">
        <v>4746</v>
      </c>
      <c r="B1999" s="3" t="str">
        <f>IFERROR(__xludf.DUMMYFUNCTION("GOOGLETRANSLATE(A1999, ""ar"", ""bn"")"),"ছোট গাড়ী আলো")</f>
        <v>ছোট গাড়ী আলো</v>
      </c>
    </row>
    <row r="2000">
      <c r="A2000" s="2" t="s">
        <v>4747</v>
      </c>
      <c r="B2000" s="3" t="str">
        <f>IFERROR(__xludf.DUMMYFUNCTION("GOOGLETRANSLATE(A2000, ""ar"", ""bn"")"),"dimmers")</f>
        <v>dimmers</v>
      </c>
    </row>
    <row r="2001">
      <c r="A2001" s="2" t="s">
        <v>4748</v>
      </c>
      <c r="B2001" s="3" t="str">
        <f>IFERROR(__xludf.DUMMYFUNCTION("GOOGLETRANSLATE(A2001, ""ar"", ""bn"")"),"মূক")</f>
        <v>মূক</v>
      </c>
    </row>
    <row r="2002">
      <c r="A2002" s="2" t="s">
        <v>4749</v>
      </c>
      <c r="B2002" s="3" t="str">
        <f>IFERROR(__xludf.DUMMYFUNCTION("GOOGLETRANSLATE(A2002, ""ar"", ""bn"")"),"ডিমিং")</f>
        <v>ডিমিং</v>
      </c>
    </row>
    <row r="2003">
      <c r="A2003" s="2" t="s">
        <v>4750</v>
      </c>
      <c r="B2003" s="3" t="str">
        <f>IFERROR(__xludf.DUMMYFUNCTION("GOOGLETRANSLATE(A2003, ""ar"", ""bn"")"),"অন্ধকার")</f>
        <v>অন্ধকার</v>
      </c>
    </row>
    <row r="2004">
      <c r="A2004" s="2" t="s">
        <v>4751</v>
      </c>
      <c r="B2004" s="3" t="str">
        <f>IFERROR(__xludf.DUMMYFUNCTION("GOOGLETRANSLATE(A2004, ""ar"", ""bn"")"),"দ্বিরুপ")</f>
        <v>দ্বিরুপ</v>
      </c>
    </row>
    <row r="2005">
      <c r="A2005" s="2" t="s">
        <v>4752</v>
      </c>
      <c r="B2005" s="3" t="str">
        <f>IFERROR(__xludf.DUMMYFUNCTION("GOOGLETRANSLATE(A2005, ""ar"", ""bn"")"),"দ্বিরুপতা")</f>
        <v>দ্বিরুপতা</v>
      </c>
    </row>
    <row r="2006">
      <c r="A2006" s="2" t="s">
        <v>4753</v>
      </c>
      <c r="B2006" s="3" t="str">
        <f>IFERROR(__xludf.DUMMYFUNCTION("GOOGLETRANSLATE(A2006, ""ar"", ""bn"")"),"জলে একটু টিপ")</f>
        <v>জলে একটু টিপ</v>
      </c>
    </row>
    <row r="2007">
      <c r="A2007" s="2" t="s">
        <v>4754</v>
      </c>
      <c r="B2007" s="3" t="str">
        <f>IFERROR(__xludf.DUMMYFUNCTION("GOOGLETRANSLATE(A2007, ""ar"", ""bn"")"),"Dimpled")</f>
        <v>Dimpled</v>
      </c>
    </row>
    <row r="2008">
      <c r="A2008" s="2" t="s">
        <v>4755</v>
      </c>
      <c r="B2008" s="3" t="str">
        <f>IFERROR(__xludf.DUMMYFUNCTION("GOOGLETRANSLATE(A2008, ""ar"", ""bn"")"),"Dimples")</f>
        <v>Dimples</v>
      </c>
    </row>
    <row r="2009">
      <c r="A2009" s="2" t="s">
        <v>4756</v>
      </c>
      <c r="B2009" s="3" t="str">
        <f>IFERROR(__xludf.DUMMYFUNCTION("GOOGLETRANSLATE(A2009, ""ar"", ""bn"")"),"Dims")</f>
        <v>Dims</v>
      </c>
    </row>
    <row r="2010">
      <c r="A2010" s="2" t="s">
        <v>4757</v>
      </c>
      <c r="B2010" s="3" t="str">
        <f>IFERROR(__xludf.DUMMYFUNCTION("GOOGLETRANSLATE(A2010, ""ar"", ""bn"")"),"মূঢ়")</f>
        <v>মূঢ়</v>
      </c>
    </row>
    <row r="2011">
      <c r="A2011" s="2" t="s">
        <v>4757</v>
      </c>
      <c r="B2011" s="3" t="str">
        <f>IFERROR(__xludf.DUMMYFUNCTION("GOOGLETRANSLATE(A2011, ""ar"", ""bn"")"),"মূঢ়")</f>
        <v>মূঢ়</v>
      </c>
    </row>
    <row r="2012">
      <c r="A2012" s="2" t="s">
        <v>4758</v>
      </c>
      <c r="B2012" s="3" t="str">
        <f>IFERROR(__xludf.DUMMYFUNCTION("GOOGLETRANSLATE(A2012, ""ar"", ""bn"")"),"ঋণ")</f>
        <v>ঋণ</v>
      </c>
    </row>
    <row r="2013">
      <c r="A2013" s="2" t="s">
        <v>4759</v>
      </c>
      <c r="B2013" s="3" t="str">
        <f>IFERROR(__xludf.DUMMYFUNCTION("GOOGLETRANSLATE(A2013, ""ar"", ""bn"")"),"দিনার")</f>
        <v>দিনার</v>
      </c>
    </row>
    <row r="2014">
      <c r="A2014" s="2" t="s">
        <v>4759</v>
      </c>
      <c r="B2014" s="3" t="str">
        <f>IFERROR(__xludf.DUMMYFUNCTION("GOOGLETRANSLATE(A2014, ""ar"", ""bn"")"),"দিনার")</f>
        <v>দিনার</v>
      </c>
    </row>
    <row r="2015">
      <c r="A2015" s="2" t="s">
        <v>4760</v>
      </c>
      <c r="B2015" s="3" t="str">
        <f>IFERROR(__xludf.DUMMYFUNCTION("GOOGLETRANSLATE(A2015, ""ar"", ""bn"")"),"খাবার খাও")</f>
        <v>খাবার খাও</v>
      </c>
    </row>
    <row r="2016">
      <c r="A2016" s="2" t="s">
        <v>4761</v>
      </c>
      <c r="B2016" s="3" t="str">
        <f>IFERROR(__xludf.DUMMYFUNCTION("GOOGLETRANSLATE(A2016, ""ar"", ""bn"")"),"মধ্যাহ্নভোজ")</f>
        <v>মধ্যাহ্নভোজ</v>
      </c>
    </row>
    <row r="2017">
      <c r="A2017" s="2" t="s">
        <v>4762</v>
      </c>
      <c r="B2017" s="3" t="str">
        <f>IFERROR(__xludf.DUMMYFUNCTION("GOOGLETRANSLATE(A2017, ""ar"", ""bn"")"),"ভোজনকারী")</f>
        <v>ভোজনকারী</v>
      </c>
    </row>
    <row r="2018">
      <c r="A2018" s="2" t="s">
        <v>4763</v>
      </c>
      <c r="B2018" s="3" t="str">
        <f>IFERROR(__xludf.DUMMYFUNCTION("GOOGLETRANSLATE(A2018, ""ar"", ""bn"")"),"নৈশভোজনের")</f>
        <v>নৈশভোজনের</v>
      </c>
    </row>
    <row r="2019">
      <c r="A2019" s="2" t="s">
        <v>4764</v>
      </c>
      <c r="B2019" s="3" t="str">
        <f>IFERROR(__xludf.DUMMYFUNCTION("GOOGLETRANSLATE(A2019, ""ar"", ""bn"")"),"ডাইনিং")</f>
        <v>ডাইনিং</v>
      </c>
    </row>
    <row r="2020">
      <c r="A2020" s="2" t="s">
        <v>3979</v>
      </c>
      <c r="B2020" s="3" t="str">
        <f>IFERROR(__xludf.DUMMYFUNCTION("GOOGLETRANSLATE(A2020, ""ar"", ""bn"")"),"প্রহার")</f>
        <v>প্রহার</v>
      </c>
    </row>
    <row r="2021">
      <c r="A2021" s="2" t="s">
        <v>4765</v>
      </c>
      <c r="B2021" s="3" t="str">
        <f>IFERROR(__xludf.DUMMYFUNCTION("GOOGLETRANSLATE(A2021, ""ar"", ""bn"")"),"Dengjid")</f>
        <v>Dengjid</v>
      </c>
    </row>
    <row r="2022">
      <c r="A2022" s="2" t="s">
        <v>4766</v>
      </c>
      <c r="B2022" s="3" t="str">
        <f>IFERROR(__xludf.DUMMYFUNCTION("GOOGLETRANSLATE(A2022, ""ar"", ""bn"")"),"নৌকা")</f>
        <v>নৌকা</v>
      </c>
    </row>
    <row r="2023">
      <c r="A2023" s="2" t="s">
        <v>4767</v>
      </c>
      <c r="B2023" s="3" t="str">
        <f>IFERROR(__xludf.DUMMYFUNCTION("GOOGLETRANSLATE(A2023, ""ar"", ""bn"")"),"নৌকা")</f>
        <v>নৌকা</v>
      </c>
    </row>
    <row r="2024">
      <c r="A2024" s="2" t="s">
        <v>4768</v>
      </c>
      <c r="B2024" s="3" t="str">
        <f>IFERROR(__xludf.DUMMYFUNCTION("GOOGLETRANSLATE(A2024, ""ar"", ""bn"")"),"dinginess")</f>
        <v>dinginess</v>
      </c>
    </row>
    <row r="2025">
      <c r="A2025" s="2" t="s">
        <v>4769</v>
      </c>
      <c r="B2025" s="3" t="str">
        <f>IFERROR(__xludf.DUMMYFUNCTION("GOOGLETRANSLATE(A2025, ""ar"", ""bn"")"),"উপত্যকা")</f>
        <v>উপত্যকা</v>
      </c>
    </row>
    <row r="2026">
      <c r="A2026" s="2" t="s">
        <v>4770</v>
      </c>
      <c r="B2026" s="3" t="str">
        <f>IFERROR(__xludf.DUMMYFUNCTION("GOOGLETRANSLATE(A2026, ""ar"", ""bn"")"),"কুকুরদেশেষ")</f>
        <v>কুকুরদেশেষ</v>
      </c>
    </row>
    <row r="2027">
      <c r="A2027" s="2" t="s">
        <v>3567</v>
      </c>
      <c r="B2027" s="3" t="str">
        <f>IFERROR(__xludf.DUMMYFUNCTION("GOOGLETRANSLATE(A2027, ""ar"", ""bn"")"),"আঠাল")</f>
        <v>আঠাল</v>
      </c>
    </row>
    <row r="2028">
      <c r="A2028" s="2" t="s">
        <v>4760</v>
      </c>
      <c r="B2028" s="3" t="str">
        <f>IFERROR(__xludf.DUMMYFUNCTION("GOOGLETRANSLATE(A2028, ""ar"", ""bn"")"),"খাবার খাও")</f>
        <v>খাবার খাও</v>
      </c>
    </row>
    <row r="2029">
      <c r="A2029" s="2" t="s">
        <v>4771</v>
      </c>
      <c r="B2029" s="3" t="str">
        <f>IFERROR(__xludf.DUMMYFUNCTION("GOOGLETRANSLATE(A2029, ""ar"", ""bn"")"),"উত্কৃষ্ট")</f>
        <v>উত্কৃষ্ট</v>
      </c>
    </row>
    <row r="2030">
      <c r="A2030" s="2" t="s">
        <v>4772</v>
      </c>
      <c r="B2030" s="3" t="str">
        <f>IFERROR(__xludf.DUMMYFUNCTION("GOOGLETRANSLATE(A2030, ""ar"", ""bn"")"),"ডিনার")</f>
        <v>ডিনার</v>
      </c>
    </row>
    <row r="2031">
      <c r="A2031" s="2" t="s">
        <v>4773</v>
      </c>
      <c r="B2031" s="3" t="str">
        <f>IFERROR(__xludf.DUMMYFUNCTION("GOOGLETRANSLATE(A2031, ""ar"", ""bn"")"),"রাতের খাবার")</f>
        <v>রাতের খাবার</v>
      </c>
    </row>
    <row r="2032">
      <c r="A2032" s="2" t="s">
        <v>4774</v>
      </c>
      <c r="B2032" s="3" t="str">
        <f>IFERROR(__xludf.DUMMYFUNCTION("GOOGLETRANSLATE(A2032, ""ar"", ""bn"")"),"অধুনালুপ্ত সরীসৃপবিশেষ")</f>
        <v>অধুনালুপ্ত সরীসৃপবিশেষ</v>
      </c>
    </row>
    <row r="2033">
      <c r="A2033" s="2" t="s">
        <v>4775</v>
      </c>
      <c r="B2033" s="3" t="str">
        <f>IFERROR(__xludf.DUMMYFUNCTION("GOOGLETRANSLATE(A2033, ""ar"", ""bn"")"),"ডাইনোসর")</f>
        <v>ডাইনোসর</v>
      </c>
    </row>
    <row r="2034">
      <c r="A2034" s="2" t="s">
        <v>4776</v>
      </c>
      <c r="B2034" s="3" t="str">
        <f>IFERROR(__xludf.DUMMYFUNCTION("GOOGLETRANSLATE(A2034, ""ar"", ""bn"")"),"অমলেট")</f>
        <v>অমলেট</v>
      </c>
    </row>
    <row r="2035">
      <c r="A2035" s="2" t="s">
        <v>4777</v>
      </c>
      <c r="B2035" s="3" t="str">
        <f>IFERROR(__xludf.DUMMYFUNCTION("GOOGLETRANSLATE(A2035, ""ar"", ""bn"")"),"অসাধারণ")</f>
        <v>অসাধারণ</v>
      </c>
    </row>
    <row r="2036">
      <c r="A2036" s="2" t="s">
        <v>4778</v>
      </c>
      <c r="B2036" s="3" t="str">
        <f>IFERROR(__xludf.DUMMYFUNCTION("GOOGLETRANSLATE(A2036, ""ar"", ""bn"")"),"সরাসরি")</f>
        <v>সরাসরি</v>
      </c>
    </row>
    <row r="2037">
      <c r="A2037" s="2" t="s">
        <v>4779</v>
      </c>
      <c r="B2037" s="3" t="str">
        <f>IFERROR(__xludf.DUMMYFUNCTION("GOOGLETRANSLATE(A2037, ""ar"", ""bn"")"),"ঝোঁক")</f>
        <v>ঝোঁক</v>
      </c>
    </row>
    <row r="2038">
      <c r="A2038" s="2" t="s">
        <v>4780</v>
      </c>
      <c r="B2038" s="3" t="str">
        <f>IFERROR(__xludf.DUMMYFUNCTION("GOOGLETRANSLATE(A2038, ""ar"", ""bn"")"),"পথপ্রদর্শন")</f>
        <v>পথপ্রদর্শন</v>
      </c>
    </row>
    <row r="2039">
      <c r="A2039" s="2" t="s">
        <v>4781</v>
      </c>
      <c r="B2039" s="3" t="str">
        <f>IFERROR(__xludf.DUMMYFUNCTION("GOOGLETRANSLATE(A2039, ""ar"", ""bn"")"),"অভিমুখ")</f>
        <v>অভিমুখ</v>
      </c>
    </row>
    <row r="2040">
      <c r="A2040" s="2" t="s">
        <v>4782</v>
      </c>
      <c r="B2040" s="3" t="str">
        <f>IFERROR(__xludf.DUMMYFUNCTION("GOOGLETRANSLATE(A2040, ""ar"", ""bn"")"),"গতিপথসংক্রান্ত")</f>
        <v>গতিপথসংক্রান্ত</v>
      </c>
    </row>
    <row r="2041">
      <c r="A2041" s="2" t="s">
        <v>4783</v>
      </c>
      <c r="B2041" s="3" t="str">
        <f>IFERROR(__xludf.DUMMYFUNCTION("GOOGLETRANSLATE(A2041, ""ar"", ""bn"")"),"Directivity")</f>
        <v>Directivity</v>
      </c>
    </row>
    <row r="2042">
      <c r="A2042" s="2" t="s">
        <v>4784</v>
      </c>
      <c r="B2042" s="3" t="str">
        <f>IFERROR(__xludf.DUMMYFUNCTION("GOOGLETRANSLATE(A2042, ""ar"", ""bn"")"),"গতিপথসংক্রান্ত")</f>
        <v>গতিপথসংক্রান্ত</v>
      </c>
    </row>
    <row r="2043">
      <c r="A2043" s="2" t="s">
        <v>4785</v>
      </c>
      <c r="B2043" s="3" t="str">
        <f>IFERROR(__xludf.DUMMYFUNCTION("GOOGLETRANSLATE(A2043, ""ar"", ""bn"")"),"কোন দিক দিয়ে")</f>
        <v>কোন দিক দিয়ে</v>
      </c>
    </row>
    <row r="2044">
      <c r="A2044" s="2" t="s">
        <v>4786</v>
      </c>
      <c r="B2044" s="3" t="str">
        <f>IFERROR(__xludf.DUMMYFUNCTION("GOOGLETRANSLATE(A2044, ""ar"", ""bn"")"),"directione")</f>
        <v>directione</v>
      </c>
    </row>
    <row r="2045">
      <c r="A2045" s="2" t="s">
        <v>4787</v>
      </c>
      <c r="B2045" s="3" t="str">
        <f>IFERROR(__xludf.DUMMYFUNCTION("GOOGLETRANSLATE(A2045, ""ar"", ""bn"")"),"নির্দেশাবলী")</f>
        <v>নির্দেশাবলী</v>
      </c>
    </row>
    <row r="2046">
      <c r="A2046" s="2" t="s">
        <v>4787</v>
      </c>
      <c r="B2046" s="3" t="str">
        <f>IFERROR(__xludf.DUMMYFUNCTION("GOOGLETRANSLATE(A2046, ""ar"", ""bn"")"),"নির্দেশাবলী")</f>
        <v>নির্দেশাবলী</v>
      </c>
    </row>
    <row r="2047">
      <c r="A2047" s="2" t="s">
        <v>4788</v>
      </c>
      <c r="B2047" s="3" t="str">
        <f>IFERROR(__xludf.DUMMYFUNCTION("GOOGLETRANSLATE(A2047, ""ar"", ""bn"")"),"সরাসরি")</f>
        <v>সরাসরি</v>
      </c>
    </row>
    <row r="2048">
      <c r="A2048" s="2" t="s">
        <v>4788</v>
      </c>
      <c r="B2048" s="3" t="str">
        <f>IFERROR(__xludf.DUMMYFUNCTION("GOOGLETRANSLATE(A2048, ""ar"", ""bn"")"),"সরাসরি")</f>
        <v>সরাসরি</v>
      </c>
    </row>
    <row r="2049">
      <c r="A2049" s="2" t="s">
        <v>4789</v>
      </c>
      <c r="B2049" s="3" t="str">
        <f>IFERROR(__xludf.DUMMYFUNCTION("GOOGLETRANSLATE(A2049, ""ar"", ""bn"")"),"পরিচালক")</f>
        <v>পরিচালক</v>
      </c>
    </row>
    <row r="2050">
      <c r="A2050" s="2" t="s">
        <v>4790</v>
      </c>
      <c r="B2050" s="3" t="str">
        <f>IFERROR(__xludf.DUMMYFUNCTION("GOOGLETRANSLATE(A2050, ""ar"", ""bn"")"),"প্রশাসন")</f>
        <v>প্রশাসন</v>
      </c>
    </row>
    <row r="2051">
      <c r="A2051" s="2" t="s">
        <v>4791</v>
      </c>
      <c r="B2051" s="3" t="str">
        <f>IFERROR(__xludf.DUMMYFUNCTION("GOOGLETRANSLATE(A2051, ""ar"", ""bn"")"),"অধিদপ্তর")</f>
        <v>অধিদপ্তর</v>
      </c>
    </row>
    <row r="2052">
      <c r="A2052" s="2" t="s">
        <v>4792</v>
      </c>
      <c r="B2052" s="3" t="str">
        <f>IFERROR(__xludf.DUMMYFUNCTION("GOOGLETRANSLATE(A2052, ""ar"", ""bn"")"),"পরিচালক অভিষেক")</f>
        <v>পরিচালক অভিষেক</v>
      </c>
    </row>
    <row r="2053">
      <c r="A2053" s="2" t="s">
        <v>4793</v>
      </c>
      <c r="B2053" s="3" t="str">
        <f>IFERROR(__xludf.DUMMYFUNCTION("GOOGLETRANSLATE(A2053, ""ar"", ""bn"")"),"ডিরেক্টরি")</f>
        <v>ডিরেক্টরি</v>
      </c>
    </row>
    <row r="2054">
      <c r="A2054" s="2" t="s">
        <v>4794</v>
      </c>
      <c r="B2054" s="3" t="str">
        <f>IFERROR(__xludf.DUMMYFUNCTION("GOOGLETRANSLATE(A2054, ""ar"", ""bn"")"),"প্রশাসন")</f>
        <v>প্রশাসন</v>
      </c>
    </row>
    <row r="2055">
      <c r="A2055" s="2" t="s">
        <v>4795</v>
      </c>
      <c r="B2055" s="3" t="str">
        <f>IFERROR(__xludf.DUMMYFUNCTION("GOOGLETRANSLATE(A2055, ""ar"", ""bn"")"),"পরিচালক")</f>
        <v>পরিচালক</v>
      </c>
    </row>
    <row r="2056">
      <c r="A2056" s="2" t="s">
        <v>4796</v>
      </c>
      <c r="B2056" s="3" t="str">
        <f>IFERROR(__xludf.DUMMYFUNCTION("GOOGLETRANSLATE(A2056, ""ar"", ""bn"")"),"পরিচালকদের বোর্ড")</f>
        <v>পরিচালকদের বোর্ড</v>
      </c>
    </row>
    <row r="2057">
      <c r="A2057" s="2" t="s">
        <v>4797</v>
      </c>
      <c r="B2057" s="3" t="str">
        <f>IFERROR(__xludf.DUMMYFUNCTION("GOOGLETRANSLATE(A2057, ""ar"", ""bn"")"),"প্রমান")</f>
        <v>প্রমান</v>
      </c>
    </row>
    <row r="2058">
      <c r="A2058" s="2" t="s">
        <v>4798</v>
      </c>
      <c r="B2058" s="3" t="str">
        <f>IFERROR(__xludf.DUMMYFUNCTION("GOOGLETRANSLATE(A2058, ""ar"", ""bn"")"),"নির্দেশ")</f>
        <v>নির্দেশ</v>
      </c>
    </row>
    <row r="2059">
      <c r="A2059" s="2" t="s">
        <v>4633</v>
      </c>
      <c r="B2059" s="3" t="str">
        <f>IFERROR(__xludf.DUMMYFUNCTION("GOOGLETRANSLATE(A2059, ""ar"", ""bn"")"),"হীরা")</f>
        <v>হীরা</v>
      </c>
    </row>
    <row r="2060">
      <c r="A2060" s="2" t="s">
        <v>4799</v>
      </c>
      <c r="B2060" s="3" t="str">
        <f>IFERROR(__xludf.DUMMYFUNCTION("GOOGLETRANSLATE(A2060, ""ar"", ""bn"")"),"প্রবলতা")</f>
        <v>প্রবলতা</v>
      </c>
    </row>
    <row r="2061">
      <c r="A2061" s="2" t="s">
        <v>4800</v>
      </c>
      <c r="B2061" s="3" t="str">
        <f>IFERROR(__xludf.DUMMYFUNCTION("GOOGLETRANSLATE(A2061, ""ar"", ""bn"")"),"রাজনৈতিক")</f>
        <v>রাজনৈতিক</v>
      </c>
    </row>
    <row r="2062">
      <c r="A2062" s="2" t="s">
        <v>4801</v>
      </c>
      <c r="B2062" s="3" t="str">
        <f>IFERROR(__xludf.DUMMYFUNCTION("GOOGLETRANSLATE(A2062, ""ar"", ""bn"")"),"ময়লা")</f>
        <v>ময়লা</v>
      </c>
    </row>
    <row r="2063">
      <c r="A2063" s="2" t="s">
        <v>4802</v>
      </c>
      <c r="B2063" s="3" t="str">
        <f>IFERROR(__xludf.DUMMYFUNCTION("GOOGLETRANSLATE(A2063, ""ar"", ""bn"")"),"Dirtied")</f>
        <v>Dirtied</v>
      </c>
    </row>
    <row r="2064">
      <c r="A2064" s="2" t="s">
        <v>4803</v>
      </c>
      <c r="B2064" s="3" t="str">
        <f>IFERROR(__xludf.DUMMYFUNCTION("GOOGLETRANSLATE(A2064, ""ar"", ""bn"")"),"dirtiest")</f>
        <v>dirtiest</v>
      </c>
    </row>
    <row r="2065">
      <c r="A2065" s="2" t="s">
        <v>4180</v>
      </c>
      <c r="B2065" s="3" t="str">
        <f>IFERROR(__xludf.DUMMYFUNCTION("GOOGLETRANSLATE(A2065, ""ar"", ""bn"")"),"contaminates")</f>
        <v>contaminates</v>
      </c>
    </row>
    <row r="2066">
      <c r="A2066" s="2" t="s">
        <v>4803</v>
      </c>
      <c r="B2066" s="3" t="str">
        <f>IFERROR(__xludf.DUMMYFUNCTION("GOOGLETRANSLATE(A2066, ""ar"", ""bn"")"),"dirtiest")</f>
        <v>dirtiest</v>
      </c>
    </row>
    <row r="2067">
      <c r="A2067" s="2" t="s">
        <v>4804</v>
      </c>
      <c r="B2067" s="3" t="str">
        <f>IFERROR(__xludf.DUMMYFUNCTION("GOOGLETRANSLATE(A2067, ""ar"", ""bn"")"),"অগোছালভাবে")</f>
        <v>অগোছালভাবে</v>
      </c>
    </row>
    <row r="2068">
      <c r="A2068" s="2" t="s">
        <v>4801</v>
      </c>
      <c r="B2068" s="3" t="str">
        <f>IFERROR(__xludf.DUMMYFUNCTION("GOOGLETRANSLATE(A2068, ""ar"", ""bn"")"),"ময়লা")</f>
        <v>ময়লা</v>
      </c>
    </row>
    <row r="2069">
      <c r="A2069" s="2" t="s">
        <v>4805</v>
      </c>
      <c r="B2069" s="3" t="str">
        <f>IFERROR(__xludf.DUMMYFUNCTION("GOOGLETRANSLATE(A2069, ""ar"", ""bn"")"),"ময়লা")</f>
        <v>ময়লা</v>
      </c>
    </row>
    <row r="2070">
      <c r="A2070" s="2" t="s">
        <v>4806</v>
      </c>
      <c r="B2070" s="3" t="str">
        <f>IFERROR(__xludf.DUMMYFUNCTION("GOOGLETRANSLATE(A2070, ""ar"", ""bn"")"),"মলিন")</f>
        <v>মলিন</v>
      </c>
    </row>
    <row r="2071">
      <c r="A2071" s="2" t="s">
        <v>4807</v>
      </c>
      <c r="B2071" s="3" t="str">
        <f>IFERROR(__xludf.DUMMYFUNCTION("GOOGLETRANSLATE(A2071, ""ar"", ""bn"")"),"নোংরা দাগ")</f>
        <v>নোংরা দাগ</v>
      </c>
    </row>
    <row r="2072">
      <c r="A2072" s="2" t="s">
        <v>4806</v>
      </c>
      <c r="B2072" s="3" t="str">
        <f>IFERROR(__xludf.DUMMYFUNCTION("GOOGLETRANSLATE(A2072, ""ar"", ""bn"")"),"মলিন")</f>
        <v>মলিন</v>
      </c>
    </row>
    <row r="2073">
      <c r="A2073" s="2" t="s">
        <v>4807</v>
      </c>
      <c r="B2073" s="3" t="str">
        <f>IFERROR(__xludf.DUMMYFUNCTION("GOOGLETRANSLATE(A2073, ""ar"", ""bn"")"),"নোংরা দাগ")</f>
        <v>নোংরা দাগ</v>
      </c>
    </row>
    <row r="2074">
      <c r="A2074" s="2" t="s">
        <v>4808</v>
      </c>
      <c r="B2074" s="3" t="str">
        <f>IFERROR(__xludf.DUMMYFUNCTION("GOOGLETRANSLATE(A2074, ""ar"", ""bn"")"),"অক্ষম")</f>
        <v>অক্ষম</v>
      </c>
    </row>
    <row r="2075">
      <c r="A2075" s="2" t="s">
        <v>3021</v>
      </c>
      <c r="B2075" s="3" t="str">
        <f>IFERROR(__xludf.DUMMYFUNCTION("GOOGLETRANSLATE(A2075, ""ar"", ""bn"")"),"অক্ষম")</f>
        <v>অক্ষম</v>
      </c>
    </row>
    <row r="2076">
      <c r="A2076" s="2" t="s">
        <v>4809</v>
      </c>
      <c r="B2076" s="3" t="str">
        <f>IFERROR(__xludf.DUMMYFUNCTION("GOOGLETRANSLATE(A2076, ""ar"", ""bn"")"),"অক্ষমতা")</f>
        <v>অক্ষমতা</v>
      </c>
    </row>
    <row r="2077">
      <c r="A2077" s="2" t="s">
        <v>4808</v>
      </c>
      <c r="B2077" s="3" t="str">
        <f>IFERROR(__xludf.DUMMYFUNCTION("GOOGLETRANSLATE(A2077, ""ar"", ""bn"")"),"অক্ষম")</f>
        <v>অক্ষম</v>
      </c>
    </row>
    <row r="2078">
      <c r="A2078" s="2" t="s">
        <v>4810</v>
      </c>
      <c r="B2078" s="3" t="str">
        <f>IFERROR(__xludf.DUMMYFUNCTION("GOOGLETRANSLATE(A2078, ""ar"", ""bn"")"),"অসুবিধা")</f>
        <v>অসুবিধা</v>
      </c>
    </row>
    <row r="2079">
      <c r="A2079" s="2" t="s">
        <v>4811</v>
      </c>
      <c r="B2079" s="3" t="str">
        <f>IFERROR(__xludf.DUMMYFUNCTION("GOOGLETRANSLATE(A2079, ""ar"", ""bn"")"),"অনগ্রসর")</f>
        <v>অনগ্রসর</v>
      </c>
    </row>
    <row r="2080">
      <c r="A2080" s="2" t="s">
        <v>3472</v>
      </c>
      <c r="B2080" s="3" t="str">
        <f>IFERROR(__xludf.DUMMYFUNCTION("GOOGLETRANSLATE(A2080, ""ar"", ""bn"")"),"অনুপযুক্ত")</f>
        <v>অনুপযুক্ত</v>
      </c>
    </row>
    <row r="2081">
      <c r="A2081" s="2" t="s">
        <v>4812</v>
      </c>
      <c r="B2081" s="3" t="str">
        <f>IFERROR(__xludf.DUMMYFUNCTION("GOOGLETRANSLATE(A2081, ""ar"", ""bn"")"),"অসুবিধেও")</f>
        <v>অসুবিধেও</v>
      </c>
    </row>
    <row r="2082">
      <c r="A2082" s="2" t="s">
        <v>4193</v>
      </c>
      <c r="B2082" s="3" t="str">
        <f>IFERROR(__xludf.DUMMYFUNCTION("GOOGLETRANSLATE(A2082, ""ar"", ""bn"")"),"অসম্মত")</f>
        <v>অসম্মত</v>
      </c>
    </row>
    <row r="2083">
      <c r="A2083" s="2" t="s">
        <v>3177</v>
      </c>
      <c r="B2083" s="3" t="str">
        <f>IFERROR(__xludf.DUMMYFUNCTION("GOOGLETRANSLATE(A2083, ""ar"", ""bn"")"),"অরূচিকর")</f>
        <v>অরূচিকর</v>
      </c>
    </row>
    <row r="2084">
      <c r="A2084" s="2" t="s">
        <v>4709</v>
      </c>
      <c r="B2084" s="3" t="str">
        <f>IFERROR(__xludf.DUMMYFUNCTION("GOOGLETRANSLATE(A2084, ""ar"", ""bn"")"),"ভিন্ন")</f>
        <v>ভিন্ন</v>
      </c>
    </row>
    <row r="2085">
      <c r="A2085" s="2" t="s">
        <v>4813</v>
      </c>
      <c r="B2085" s="3" t="str">
        <f>IFERROR(__xludf.DUMMYFUNCTION("GOOGLETRANSLATE(A2085, ""ar"", ""bn"")"),"পরস্পরবিরোধী")</f>
        <v>পরস্পরবিরোধী</v>
      </c>
    </row>
    <row r="2086">
      <c r="A2086" s="2" t="s">
        <v>4814</v>
      </c>
      <c r="B2086" s="3" t="str">
        <f>IFERROR(__xludf.DUMMYFUNCTION("GOOGLETRANSLATE(A2086, ""ar"", ""bn"")"),"বিতর্ক")</f>
        <v>বিতর্ক</v>
      </c>
    </row>
    <row r="2087">
      <c r="A2087" s="2" t="s">
        <v>4201</v>
      </c>
      <c r="B2087" s="3" t="str">
        <f>IFERROR(__xludf.DUMMYFUNCTION("GOOGLETRANSLATE(A2087, ""ar"", ""bn"")"),"পার্থক্য")</f>
        <v>পার্থক্য</v>
      </c>
    </row>
    <row r="2088">
      <c r="A2088" s="2" t="s">
        <v>4815</v>
      </c>
      <c r="B2088" s="3" t="str">
        <f>IFERROR(__xludf.DUMMYFUNCTION("GOOGLETRANSLATE(A2088, ""ar"", ""bn"")"),"অবজেক্টস")</f>
        <v>অবজেক্টস</v>
      </c>
    </row>
    <row r="2089">
      <c r="A2089" s="2" t="s">
        <v>4193</v>
      </c>
      <c r="B2089" s="3" t="str">
        <f>IFERROR(__xludf.DUMMYFUNCTION("GOOGLETRANSLATE(A2089, ""ar"", ""bn"")"),"অসম্মত")</f>
        <v>অসম্মত</v>
      </c>
    </row>
    <row r="2090">
      <c r="A2090" s="2" t="s">
        <v>3177</v>
      </c>
      <c r="B2090" s="3" t="str">
        <f>IFERROR(__xludf.DUMMYFUNCTION("GOOGLETRANSLATE(A2090, ""ar"", ""bn"")"),"অরূচিকর")</f>
        <v>অরূচিকর</v>
      </c>
    </row>
    <row r="2091">
      <c r="A2091" s="2" t="s">
        <v>4709</v>
      </c>
      <c r="B2091" s="3" t="str">
        <f>IFERROR(__xludf.DUMMYFUNCTION("GOOGLETRANSLATE(A2091, ""ar"", ""bn"")"),"ভিন্ন")</f>
        <v>ভিন্ন</v>
      </c>
    </row>
    <row r="2092">
      <c r="A2092" s="2" t="s">
        <v>4813</v>
      </c>
      <c r="B2092" s="3" t="str">
        <f>IFERROR(__xludf.DUMMYFUNCTION("GOOGLETRANSLATE(A2092, ""ar"", ""bn"")"),"পরস্পরবিরোধী")</f>
        <v>পরস্পরবিরোধী</v>
      </c>
    </row>
    <row r="2093">
      <c r="A2093" s="2" t="s">
        <v>4814</v>
      </c>
      <c r="B2093" s="3" t="str">
        <f>IFERROR(__xludf.DUMMYFUNCTION("GOOGLETRANSLATE(A2093, ""ar"", ""bn"")"),"বিতর্ক")</f>
        <v>বিতর্ক</v>
      </c>
    </row>
    <row r="2094">
      <c r="A2094" s="2" t="s">
        <v>4201</v>
      </c>
      <c r="B2094" s="3" t="str">
        <f>IFERROR(__xludf.DUMMYFUNCTION("GOOGLETRANSLATE(A2094, ""ar"", ""bn"")"),"পার্থক্য")</f>
        <v>পার্থক্য</v>
      </c>
    </row>
    <row r="2095">
      <c r="A2095" s="2" t="s">
        <v>4815</v>
      </c>
      <c r="B2095" s="3" t="str">
        <f>IFERROR(__xludf.DUMMYFUNCTION("GOOGLETRANSLATE(A2095, ""ar"", ""bn"")"),"অবজেক্টস")</f>
        <v>অবজেক্টস</v>
      </c>
    </row>
    <row r="2096">
      <c r="A2096" s="2" t="s">
        <v>4816</v>
      </c>
      <c r="B2096" s="3" t="str">
        <f>IFERROR(__xludf.DUMMYFUNCTION("GOOGLETRANSLATE(A2096, ""ar"", ""bn"")"),"নিরাশ করা")</f>
        <v>নিরাশ করা</v>
      </c>
    </row>
    <row r="2097">
      <c r="A2097" s="2" t="s">
        <v>4817</v>
      </c>
      <c r="B2097" s="3" t="str">
        <f>IFERROR(__xludf.DUMMYFUNCTION("GOOGLETRANSLATE(A2097, ""ar"", ""bn"")"),"হতাশা")</f>
        <v>হতাশা</v>
      </c>
    </row>
    <row r="2098">
      <c r="A2098" s="2" t="s">
        <v>4817</v>
      </c>
      <c r="B2098" s="3" t="str">
        <f>IFERROR(__xludf.DUMMYFUNCTION("GOOGLETRANSLATE(A2098, ""ar"", ""bn"")"),"হতাশা")</f>
        <v>হতাশা</v>
      </c>
    </row>
    <row r="2099">
      <c r="A2099" s="2" t="s">
        <v>4818</v>
      </c>
      <c r="B2099" s="3" t="str">
        <f>IFERROR(__xludf.DUMMYFUNCTION("GOOGLETRANSLATE(A2099, ""ar"", ""bn"")"),"হতাশাজনক")</f>
        <v>হতাশাজনক</v>
      </c>
    </row>
    <row r="2100">
      <c r="A2100" s="2" t="s">
        <v>4817</v>
      </c>
      <c r="B2100" s="3" t="str">
        <f>IFERROR(__xludf.DUMMYFUNCTION("GOOGLETRANSLATE(A2100, ""ar"", ""bn"")"),"হতাশা")</f>
        <v>হতাশা</v>
      </c>
    </row>
    <row r="2101">
      <c r="A2101" s="2" t="s">
        <v>4819</v>
      </c>
      <c r="B2101" s="3" t="str">
        <f>IFERROR(__xludf.DUMMYFUNCTION("GOOGLETRANSLATE(A2101, ""ar"", ""bn"")"),"হতাশা")</f>
        <v>হতাশা</v>
      </c>
    </row>
    <row r="2102">
      <c r="A2102" s="2" t="s">
        <v>4817</v>
      </c>
      <c r="B2102" s="3" t="str">
        <f>IFERROR(__xludf.DUMMYFUNCTION("GOOGLETRANSLATE(A2102, ""ar"", ""bn"")"),"হতাশা")</f>
        <v>হতাশা</v>
      </c>
    </row>
    <row r="2103">
      <c r="A2103" s="2" t="s">
        <v>4820</v>
      </c>
      <c r="B2103" s="3" t="str">
        <f>IFERROR(__xludf.DUMMYFUNCTION("GOOGLETRANSLATE(A2103, ""ar"", ""bn"")"),"নিন্দা")</f>
        <v>নিন্দা</v>
      </c>
    </row>
    <row r="2104">
      <c r="A2104" s="2" t="s">
        <v>4476</v>
      </c>
      <c r="B2104" s="3" t="str">
        <f>IFERROR(__xludf.DUMMYFUNCTION("GOOGLETRANSLATE(A2104, ""ar"", ""bn"")"),"অস্বীকার")</f>
        <v>অস্বীকার</v>
      </c>
    </row>
    <row r="2105">
      <c r="A2105" s="2" t="s">
        <v>4476</v>
      </c>
      <c r="B2105" s="3" t="str">
        <f>IFERROR(__xludf.DUMMYFUNCTION("GOOGLETRANSLATE(A2105, ""ar"", ""bn"")"),"অস্বীকার")</f>
        <v>অস্বীকার</v>
      </c>
    </row>
    <row r="2106">
      <c r="A2106" s="2" t="s">
        <v>4821</v>
      </c>
      <c r="B2106" s="3" t="str">
        <f>IFERROR(__xludf.DUMMYFUNCTION("GOOGLETRANSLATE(A2106, ""ar"", ""bn"")"),"বিরোধী")</f>
        <v>বিরোধী</v>
      </c>
    </row>
    <row r="2107">
      <c r="A2107" s="2" t="s">
        <v>4822</v>
      </c>
      <c r="B2107" s="3" t="str">
        <f>IFERROR(__xludf.DUMMYFUNCTION("GOOGLETRANSLATE(A2107, ""ar"", ""bn"")"),"প্রত্যাখ্যান")</f>
        <v>প্রত্যাখ্যান</v>
      </c>
    </row>
    <row r="2108">
      <c r="A2108" s="2" t="s">
        <v>4823</v>
      </c>
      <c r="B2108" s="3" t="str">
        <f>IFERROR(__xludf.DUMMYFUNCTION("GOOGLETRANSLATE(A2108, ""ar"", ""bn"")"),"চলের বিপরীত")</f>
        <v>চলের বিপরীত</v>
      </c>
    </row>
    <row r="2109">
      <c r="A2109" s="2" t="s">
        <v>782</v>
      </c>
      <c r="B2109" s="3" t="str">
        <f>IFERROR(__xludf.DUMMYFUNCTION("GOOGLETRANSLATE(A2109, ""ar"", ""bn"")"),"নিরস্ত্রীকরণ")</f>
        <v>নিরস্ত্রীকরণ</v>
      </c>
    </row>
    <row r="2110">
      <c r="A2110" s="2" t="s">
        <v>782</v>
      </c>
      <c r="B2110" s="3" t="str">
        <f>IFERROR(__xludf.DUMMYFUNCTION("GOOGLETRANSLATE(A2110, ""ar"", ""bn"")"),"নিরস্ত্রীকরণ")</f>
        <v>নিরস্ত্রীকরণ</v>
      </c>
    </row>
    <row r="2111">
      <c r="A2111" s="2" t="s">
        <v>4824</v>
      </c>
      <c r="B2111" s="3" t="str">
        <f>IFERROR(__xludf.DUMMYFUNCTION("GOOGLETRANSLATE(A2111, ""ar"", ""bn"")"),"নিরস্ত্র করা")</f>
        <v>নিরস্ত্র করা</v>
      </c>
    </row>
    <row r="2112">
      <c r="A2112" s="2" t="s">
        <v>4824</v>
      </c>
      <c r="B2112" s="3" t="str">
        <f>IFERROR(__xludf.DUMMYFUNCTION("GOOGLETRANSLATE(A2112, ""ar"", ""bn"")"),"নিরস্ত্র করা")</f>
        <v>নিরস্ত্র করা</v>
      </c>
    </row>
    <row r="2113">
      <c r="A2113" s="2" t="s">
        <v>4825</v>
      </c>
      <c r="B2113" s="3" t="str">
        <f>IFERROR(__xludf.DUMMYFUNCTION("GOOGLETRANSLATE(A2113, ""ar"", ""bn"")"),"নিরস্ত্র করা")</f>
        <v>নিরস্ত্র করা</v>
      </c>
    </row>
    <row r="2114">
      <c r="A2114" s="2" t="s">
        <v>3935</v>
      </c>
      <c r="B2114" s="3" t="str">
        <f>IFERROR(__xludf.DUMMYFUNCTION("GOOGLETRANSLATE(A2114, ""ar"", ""bn"")"),"বিপর্যয়")</f>
        <v>বিপর্যয়</v>
      </c>
    </row>
    <row r="2115">
      <c r="A2115" s="2" t="s">
        <v>3936</v>
      </c>
      <c r="B2115" s="3" t="str">
        <f>IFERROR(__xludf.DUMMYFUNCTION("GOOGLETRANSLATE(A2115, ""ar"", ""bn"")"),"বিপর্যয়")</f>
        <v>বিপর্যয়</v>
      </c>
    </row>
    <row r="2116">
      <c r="A2116" s="2" t="s">
        <v>4826</v>
      </c>
      <c r="B2116" s="3" t="str">
        <f>IFERROR(__xludf.DUMMYFUNCTION("GOOGLETRANSLATE(A2116, ""ar"", ""bn"")"),"সর্বনাশা")</f>
        <v>সর্বনাশা</v>
      </c>
    </row>
    <row r="2117">
      <c r="A2117" s="2" t="s">
        <v>4826</v>
      </c>
      <c r="B2117" s="3" t="str">
        <f>IFERROR(__xludf.DUMMYFUNCTION("GOOGLETRANSLATE(A2117, ""ar"", ""bn"")"),"সর্বনাশা")</f>
        <v>সর্বনাশা</v>
      </c>
    </row>
    <row r="2118">
      <c r="A2118" s="2" t="s">
        <v>4591</v>
      </c>
      <c r="B2118" s="3" t="str">
        <f>IFERROR(__xludf.DUMMYFUNCTION("GOOGLETRANSLATE(A2118, ""ar"", ""bn"")"),"অস্বীকার করা")</f>
        <v>অস্বীকার করা</v>
      </c>
    </row>
    <row r="2119">
      <c r="A2119" s="2" t="s">
        <v>4575</v>
      </c>
      <c r="B2119" s="3" t="str">
        <f>IFERROR(__xludf.DUMMYFUNCTION("GOOGLETRANSLATE(A2119, ""ar"", ""bn"")"),"অস্বীকার")</f>
        <v>অস্বীকার</v>
      </c>
    </row>
    <row r="2120">
      <c r="A2120" s="2" t="s">
        <v>4827</v>
      </c>
      <c r="B2120" s="3" t="str">
        <f>IFERROR(__xludf.DUMMYFUNCTION("GOOGLETRANSLATE(A2120, ""ar"", ""bn"")"),"অস্বীকৃত")</f>
        <v>অস্বীকৃত</v>
      </c>
    </row>
    <row r="2121">
      <c r="A2121" s="2" t="s">
        <v>4828</v>
      </c>
      <c r="B2121" s="3" t="str">
        <f>IFERROR(__xludf.DUMMYFUNCTION("GOOGLETRANSLATE(A2121, ""ar"", ""bn"")"),"দাবি পরিত্যাগী")</f>
        <v>দাবি পরিত্যাগী</v>
      </c>
    </row>
    <row r="2122">
      <c r="A2122" s="2" t="s">
        <v>4829</v>
      </c>
      <c r="B2122" s="3" t="str">
        <f>IFERROR(__xludf.DUMMYFUNCTION("GOOGLETRANSLATE(A2122, ""ar"", ""bn"")"),"অকৃতজ্ঞতা")</f>
        <v>অকৃতজ্ঞতা</v>
      </c>
    </row>
    <row r="2123">
      <c r="A2123" s="2" t="s">
        <v>4830</v>
      </c>
      <c r="B2123" s="3" t="str">
        <f>IFERROR(__xludf.DUMMYFUNCTION("GOOGLETRANSLATE(A2123, ""ar"", ""bn"")"),"অপসারণ")</f>
        <v>অপসারণ</v>
      </c>
    </row>
    <row r="2124">
      <c r="A2124" s="2" t="s">
        <v>4831</v>
      </c>
      <c r="B2124" s="3" t="str">
        <f>IFERROR(__xludf.DUMMYFUNCTION("GOOGLETRANSLATE(A2124, ""ar"", ""bn"")"),"কারামুক্ত")</f>
        <v>কারামুক্ত</v>
      </c>
    </row>
    <row r="2125">
      <c r="A2125" s="2" t="s">
        <v>4832</v>
      </c>
      <c r="B2125" s="3" t="str">
        <f>IFERROR(__xludf.DUMMYFUNCTION("GOOGLETRANSLATE(A2125, ""ar"", ""bn"")"),"নিষ্কাশন")</f>
        <v>নিষ্কাশন</v>
      </c>
    </row>
    <row r="2126">
      <c r="A2126" s="2" t="s">
        <v>4833</v>
      </c>
      <c r="B2126" s="3" t="str">
        <f>IFERROR(__xludf.DUMMYFUNCTION("GOOGLETRANSLATE(A2126, ""ar"", ""bn"")"),"অস্বীকার করা")</f>
        <v>অস্বীকার করা</v>
      </c>
    </row>
    <row r="2127">
      <c r="A2127" s="2" t="s">
        <v>4116</v>
      </c>
      <c r="B2127" s="3" t="str">
        <f>IFERROR(__xludf.DUMMYFUNCTION("GOOGLETRANSLATE(A2127, ""ar"", ""bn"")"),"অধিকার পরিত্যাগের ঘোষণা")</f>
        <v>অধিকার পরিত্যাগের ঘোষণা</v>
      </c>
    </row>
    <row r="2128">
      <c r="A2128" s="2" t="s">
        <v>3172</v>
      </c>
      <c r="B2128" s="3" t="str">
        <f>IFERROR(__xludf.DUMMYFUNCTION("GOOGLETRANSLATE(A2128, ""ar"", ""bn"")"),"অধিকার পরিত্যাগের ঘোষণা")</f>
        <v>অধিকার পরিত্যাগের ঘোষণা</v>
      </c>
    </row>
    <row r="2129">
      <c r="A2129" s="2" t="s">
        <v>4834</v>
      </c>
      <c r="B2129" s="3" t="str">
        <f>IFERROR(__xludf.DUMMYFUNCTION("GOOGLETRANSLATE(A2129, ""ar"", ""bn"")"),"ছাড়")</f>
        <v>ছাড়</v>
      </c>
    </row>
    <row r="2130">
      <c r="A2130" s="2" t="s">
        <v>4116</v>
      </c>
      <c r="B2130" s="3" t="str">
        <f>IFERROR(__xludf.DUMMYFUNCTION("GOOGLETRANSLATE(A2130, ""ar"", ""bn"")"),"অধিকার পরিত্যাগের ঘোষণা")</f>
        <v>অধিকার পরিত্যাগের ঘোষণা</v>
      </c>
    </row>
    <row r="2131">
      <c r="A2131" s="2" t="s">
        <v>4835</v>
      </c>
      <c r="B2131" s="3" t="str">
        <f>IFERROR(__xludf.DUMMYFUNCTION("GOOGLETRANSLATE(A2131, ""ar"", ""bn"")"),"GOOGLE এর")</f>
        <v>GOOGLE এর</v>
      </c>
    </row>
    <row r="2132">
      <c r="A2132" s="2" t="s">
        <v>3382</v>
      </c>
      <c r="B2132" s="3" t="str">
        <f>IFERROR(__xludf.DUMMYFUNCTION("GOOGLETRANSLATE(A2132, ""ar"", ""bn"")"),"ঝগড়া")</f>
        <v>ঝগড়া</v>
      </c>
    </row>
    <row r="2133">
      <c r="A2133" s="2" t="s">
        <v>4836</v>
      </c>
      <c r="B2133" s="3" t="str">
        <f>IFERROR(__xludf.DUMMYFUNCTION("GOOGLETRANSLATE(A2133, ""ar"", ""bn"")"),"ঝগড়া")</f>
        <v>ঝগড়া</v>
      </c>
    </row>
    <row r="2134">
      <c r="A2134" s="2" t="s">
        <v>4837</v>
      </c>
      <c r="B2134" s="3" t="str">
        <f>IFERROR(__xludf.DUMMYFUNCTION("GOOGLETRANSLATE(A2134, ""ar"", ""bn"")"),"হয়রানি")</f>
        <v>হয়রানি</v>
      </c>
    </row>
    <row r="2135">
      <c r="A2135" s="2" t="s">
        <v>3498</v>
      </c>
      <c r="B2135" s="3" t="str">
        <f>IFERROR(__xludf.DUMMYFUNCTION("GOOGLETRANSLATE(A2135, ""ar"", ""bn"")"),"বিভ্রান্ত")</f>
        <v>বিভ্রান্ত</v>
      </c>
    </row>
    <row r="2136">
      <c r="A2136" s="2" t="s">
        <v>4838</v>
      </c>
      <c r="B2136" s="3" t="str">
        <f>IFERROR(__xludf.DUMMYFUNCTION("GOOGLETRANSLATE(A2136, ""ar"", ""bn"")"),"অসন্তোষ")</f>
        <v>অসন্তোষ</v>
      </c>
    </row>
    <row r="2137">
      <c r="A2137" s="2" t="s">
        <v>4839</v>
      </c>
      <c r="B2137" s="3" t="str">
        <f>IFERROR(__xludf.DUMMYFUNCTION("GOOGLETRANSLATE(A2137, ""ar"", ""bn"")"),"অত্যুগ্র")</f>
        <v>অত্যুগ্র</v>
      </c>
    </row>
    <row r="2138">
      <c r="A2138" s="2" t="s">
        <v>4840</v>
      </c>
      <c r="B2138" s="3" t="str">
        <f>IFERROR(__xludf.DUMMYFUNCTION("GOOGLETRANSLATE(A2138, ""ar"", ""bn"")"),"অসন্তোষ")</f>
        <v>অসন্তোষ</v>
      </c>
    </row>
    <row r="2139">
      <c r="A2139" s="2" t="s">
        <v>4814</v>
      </c>
      <c r="B2139" s="3" t="str">
        <f>IFERROR(__xludf.DUMMYFUNCTION("GOOGLETRANSLATE(A2139, ""ar"", ""bn"")"),"বিতর্ক")</f>
        <v>বিতর্ক</v>
      </c>
    </row>
    <row r="2140">
      <c r="A2140" s="2" t="s">
        <v>4814</v>
      </c>
      <c r="B2140" s="3" t="str">
        <f>IFERROR(__xludf.DUMMYFUNCTION("GOOGLETRANSLATE(A2140, ""ar"", ""bn"")"),"বিতর্ক")</f>
        <v>বিতর্ক</v>
      </c>
    </row>
    <row r="2141">
      <c r="A2141" s="2" t="s">
        <v>4143</v>
      </c>
      <c r="B2141" s="3" t="str">
        <f>IFERROR(__xludf.DUMMYFUNCTION("GOOGLETRANSLATE(A2141, ""ar"", ""bn"")"),"পরস্পরবিরোধী")</f>
        <v>পরস্পরবিরোধী</v>
      </c>
    </row>
    <row r="2142">
      <c r="A2142" s="2" t="s">
        <v>4201</v>
      </c>
      <c r="B2142" s="3" t="str">
        <f>IFERROR(__xludf.DUMMYFUNCTION("GOOGLETRANSLATE(A2142, ""ar"", ""bn"")"),"পার্থক্য")</f>
        <v>পার্থক্য</v>
      </c>
    </row>
    <row r="2143">
      <c r="A2143" s="2" t="s">
        <v>4143</v>
      </c>
      <c r="B2143" s="3" t="str">
        <f>IFERROR(__xludf.DUMMYFUNCTION("GOOGLETRANSLATE(A2143, ""ar"", ""bn"")"),"পরস্পরবিরোধী")</f>
        <v>পরস্পরবিরোধী</v>
      </c>
    </row>
    <row r="2144">
      <c r="A2144" s="2" t="s">
        <v>4841</v>
      </c>
      <c r="B2144" s="3" t="str">
        <f>IFERROR(__xludf.DUMMYFUNCTION("GOOGLETRANSLATE(A2144, ""ar"", ""bn"")"),"আত্মবিশ্বাসহীনতা")</f>
        <v>আত্মবিশ্বাসহীনতা</v>
      </c>
    </row>
    <row r="2145">
      <c r="A2145" s="2" t="s">
        <v>4842</v>
      </c>
      <c r="B2145" s="3" t="str">
        <f>IFERROR(__xludf.DUMMYFUNCTION("GOOGLETRANSLATE(A2145, ""ar"", ""bn"")"),"নিরূত্সাহ")</f>
        <v>নিরূত্সাহ</v>
      </c>
    </row>
    <row r="2146">
      <c r="A2146" s="2" t="s">
        <v>4841</v>
      </c>
      <c r="B2146" s="3" t="str">
        <f>IFERROR(__xludf.DUMMYFUNCTION("GOOGLETRANSLATE(A2146, ""ar"", ""bn"")"),"আত্মবিশ্বাসহীনতা")</f>
        <v>আত্মবিশ্বাসহীনতা</v>
      </c>
    </row>
    <row r="2147">
      <c r="A2147" s="2" t="s">
        <v>4841</v>
      </c>
      <c r="B2147" s="3" t="str">
        <f>IFERROR(__xludf.DUMMYFUNCTION("GOOGLETRANSLATE(A2147, ""ar"", ""bn"")"),"আত্মবিশ্বাসহীনতা")</f>
        <v>আত্মবিশ্বাসহীনতা</v>
      </c>
    </row>
    <row r="2148">
      <c r="A2148" s="2" t="s">
        <v>4843</v>
      </c>
      <c r="B2148" s="3" t="str">
        <f>IFERROR(__xludf.DUMMYFUNCTION("GOOGLETRANSLATE(A2148, ""ar"", ""bn"")"),"নিরুৎসাহিত")</f>
        <v>নিরুৎসাহিত</v>
      </c>
    </row>
    <row r="2149">
      <c r="A2149" s="2" t="s">
        <v>4844</v>
      </c>
      <c r="B2149" s="3" t="str">
        <f>IFERROR(__xludf.DUMMYFUNCTION("GOOGLETRANSLATE(A2149, ""ar"", ""bn"")"),"পরাজয়")</f>
        <v>পরাজয়</v>
      </c>
    </row>
    <row r="2150">
      <c r="A2150" s="2" t="s">
        <v>4845</v>
      </c>
      <c r="B2150" s="3" t="str">
        <f>IFERROR(__xludf.DUMMYFUNCTION("GOOGLETRANSLATE(A2150, ""ar"", ""bn"")"),"মানহানি")</f>
        <v>মানহানি</v>
      </c>
    </row>
    <row r="2151">
      <c r="A2151" s="2" t="s">
        <v>4846</v>
      </c>
      <c r="B2151" s="3" t="str">
        <f>IFERROR(__xludf.DUMMYFUNCTION("GOOGLETRANSLATE(A2151, ""ar"", ""bn"")"),"লজ্জাজনক")</f>
        <v>লজ্জাজনক</v>
      </c>
    </row>
    <row r="2152">
      <c r="A2152" s="2" t="s">
        <v>4847</v>
      </c>
      <c r="B2152" s="3" t="str">
        <f>IFERROR(__xludf.DUMMYFUNCTION("GOOGLETRANSLATE(A2152, ""ar"", ""bn"")"),"লস্ট বিশ্বাসযোগ্যতা")</f>
        <v>লস্ট বিশ্বাসযোগ্যতা</v>
      </c>
    </row>
    <row r="2153">
      <c r="A2153" s="2" t="s">
        <v>4848</v>
      </c>
      <c r="B2153" s="3" t="str">
        <f>IFERROR(__xludf.DUMMYFUNCTION("GOOGLETRANSLATE(A2153, ""ar"", ""bn"")"),"অখ্যাতি")</f>
        <v>অখ্যাতি</v>
      </c>
    </row>
    <row r="2154">
      <c r="A2154" s="2" t="s">
        <v>4849</v>
      </c>
      <c r="B2154" s="3" t="str">
        <f>IFERROR(__xludf.DUMMYFUNCTION("GOOGLETRANSLATE(A2154, ""ar"", ""bn"")"),"চটান")</f>
        <v>চটান</v>
      </c>
    </row>
    <row r="2155">
      <c r="A2155" s="2" t="s">
        <v>4143</v>
      </c>
      <c r="B2155" s="3" t="str">
        <f>IFERROR(__xludf.DUMMYFUNCTION("GOOGLETRANSLATE(A2155, ""ar"", ""bn"")"),"পরস্পরবিরোধী")</f>
        <v>পরস্পরবিরোধী</v>
      </c>
    </row>
    <row r="2156">
      <c r="A2156" s="2" t="s">
        <v>4718</v>
      </c>
      <c r="B2156" s="3" t="str">
        <f>IFERROR(__xludf.DUMMYFUNCTION("GOOGLETRANSLATE(A2156, ""ar"", ""bn"")"),"পার্থক্য")</f>
        <v>পার্থক্য</v>
      </c>
    </row>
    <row r="2157">
      <c r="A2157" s="2" t="s">
        <v>4850</v>
      </c>
      <c r="B2157" s="3" t="str">
        <f>IFERROR(__xludf.DUMMYFUNCTION("GOOGLETRANSLATE(A2157, ""ar"", ""bn"")"),"বৈষম্য")</f>
        <v>বৈষম্য</v>
      </c>
    </row>
    <row r="2158">
      <c r="A2158" s="2" t="s">
        <v>4711</v>
      </c>
      <c r="B2158" s="3" t="str">
        <f>IFERROR(__xludf.DUMMYFUNCTION("GOOGLETRANSLATE(A2158, ""ar"", ""bn"")"),"আলাদা")</f>
        <v>আলাদা</v>
      </c>
    </row>
    <row r="2159">
      <c r="A2159" s="2" t="s">
        <v>4851</v>
      </c>
      <c r="B2159" s="3" t="str">
        <f>IFERROR(__xludf.DUMMYFUNCTION("GOOGLETRANSLATE(A2159, ""ar"", ""bn"")"),"বৈষম্য")</f>
        <v>বৈষম্য</v>
      </c>
    </row>
    <row r="2160">
      <c r="A2160" s="2" t="s">
        <v>4636</v>
      </c>
      <c r="B2160" s="3" t="str">
        <f>IFERROR(__xludf.DUMMYFUNCTION("GOOGLETRANSLATE(A2160, ""ar"", ""bn"")"),"ঘৃণা")</f>
        <v>ঘৃণা</v>
      </c>
    </row>
    <row r="2161">
      <c r="A2161" s="2" t="s">
        <v>4852</v>
      </c>
      <c r="B2161" s="3" t="str">
        <f>IFERROR(__xludf.DUMMYFUNCTION("GOOGLETRANSLATE(A2161, ""ar"", ""bn"")"),"Disesteem")</f>
        <v>Disesteem</v>
      </c>
    </row>
    <row r="2162">
      <c r="A2162" s="2" t="s">
        <v>4620</v>
      </c>
      <c r="B2162" s="3" t="str">
        <f>IFERROR(__xludf.DUMMYFUNCTION("GOOGLETRANSLATE(A2162, ""ar"", ""bn"")"),"হানিকর")</f>
        <v>হানিকর</v>
      </c>
    </row>
    <row r="2163">
      <c r="A2163" s="2" t="s">
        <v>4853</v>
      </c>
      <c r="B2163" s="3" t="str">
        <f>IFERROR(__xludf.DUMMYFUNCTION("GOOGLETRANSLATE(A2163, ""ar"", ""bn"")"),"অহংকারী")</f>
        <v>অহংকারী</v>
      </c>
    </row>
    <row r="2164">
      <c r="A2164" s="2" t="s">
        <v>4854</v>
      </c>
      <c r="B2164" s="3" t="str">
        <f>IFERROR(__xludf.DUMMYFUNCTION("GOOGLETRANSLATE(A2164, ""ar"", ""bn"")"),"ঘৃণা")</f>
        <v>ঘৃণা</v>
      </c>
    </row>
    <row r="2165">
      <c r="A2165" s="2" t="s">
        <v>3319</v>
      </c>
      <c r="B2165" s="3" t="str">
        <f>IFERROR(__xludf.DUMMYFUNCTION("GOOGLETRANSLATE(A2165, ""ar"", ""bn"")"),"অসুস্থতা")</f>
        <v>অসুস্থতা</v>
      </c>
    </row>
    <row r="2166">
      <c r="A2166" s="2" t="s">
        <v>4855</v>
      </c>
      <c r="B2166" s="3" t="str">
        <f>IFERROR(__xludf.DUMMYFUNCTION("GOOGLETRANSLATE(A2166, ""ar"", ""bn"")"),"রোগী")</f>
        <v>রোগী</v>
      </c>
    </row>
    <row r="2167">
      <c r="A2167" s="2" t="s">
        <v>4856</v>
      </c>
      <c r="B2167" s="3" t="str">
        <f>IFERROR(__xludf.DUMMYFUNCTION("GOOGLETRANSLATE(A2167, ""ar"", ""bn"")"),"রোগ")</f>
        <v>রোগ</v>
      </c>
    </row>
    <row r="2168">
      <c r="A2168" s="2" t="s">
        <v>4857</v>
      </c>
      <c r="B2168" s="3" t="str">
        <f>IFERROR(__xludf.DUMMYFUNCTION("GOOGLETRANSLATE(A2168, ""ar"", ""bn"")"),"লজ্জা")</f>
        <v>লজ্জা</v>
      </c>
    </row>
    <row r="2169">
      <c r="A2169" s="2" t="s">
        <v>4858</v>
      </c>
      <c r="B2169" s="3" t="str">
        <f>IFERROR(__xludf.DUMMYFUNCTION("GOOGLETRANSLATE(A2169, ""ar"", ""bn"")"),"Weihan")</f>
        <v>Weihan</v>
      </c>
    </row>
    <row r="2170">
      <c r="A2170" s="2" t="s">
        <v>4846</v>
      </c>
      <c r="B2170" s="3" t="str">
        <f>IFERROR(__xludf.DUMMYFUNCTION("GOOGLETRANSLATE(A2170, ""ar"", ""bn"")"),"লজ্জাজনক")</f>
        <v>লজ্জাজনক</v>
      </c>
    </row>
    <row r="2171">
      <c r="A2171" s="2" t="s">
        <v>4846</v>
      </c>
      <c r="B2171" s="3" t="str">
        <f>IFERROR(__xludf.DUMMYFUNCTION("GOOGLETRANSLATE(A2171, ""ar"", ""bn"")"),"লজ্জাজনক")</f>
        <v>লজ্জাজনক</v>
      </c>
    </row>
    <row r="2172">
      <c r="A2172" s="2" t="s">
        <v>4859</v>
      </c>
      <c r="B2172" s="3" t="str">
        <f>IFERROR(__xludf.DUMMYFUNCTION("GOOGLETRANSLATE(A2172, ""ar"", ""bn"")"),"লাঞ্ছিত")</f>
        <v>লাঞ্ছিত</v>
      </c>
    </row>
    <row r="2173">
      <c r="A2173" s="2" t="s">
        <v>4860</v>
      </c>
      <c r="B2173" s="3" t="str">
        <f>IFERROR(__xludf.DUMMYFUNCTION("GOOGLETRANSLATE(A2173, ""ar"", ""bn"")"),"ছদ্মবেশ")</f>
        <v>ছদ্মবেশ</v>
      </c>
    </row>
    <row r="2174">
      <c r="A2174" s="2" t="s">
        <v>4861</v>
      </c>
      <c r="B2174" s="3" t="str">
        <f>IFERROR(__xludf.DUMMYFUNCTION("GOOGLETRANSLATE(A2174, ""ar"", ""bn"")"),"ছদ্ম")</f>
        <v>ছদ্ম</v>
      </c>
    </row>
    <row r="2175">
      <c r="A2175" s="2" t="s">
        <v>4862</v>
      </c>
      <c r="B2175" s="3" t="str">
        <f>IFERROR(__xludf.DUMMYFUNCTION("GOOGLETRANSLATE(A2175, ""ar"", ""bn"")"),"পরিহার করা")</f>
        <v>পরিহার করা</v>
      </c>
    </row>
    <row r="2176">
      <c r="A2176" s="2" t="s">
        <v>4863</v>
      </c>
      <c r="B2176" s="3" t="str">
        <f>IFERROR(__xludf.DUMMYFUNCTION("GOOGLETRANSLATE(A2176, ""ar"", ""bn"")"),"বিতৃষ্ণা")</f>
        <v>বিতৃষ্ণা</v>
      </c>
    </row>
    <row r="2177">
      <c r="A2177" s="2" t="s">
        <v>4864</v>
      </c>
      <c r="B2177" s="3" t="str">
        <f>IFERROR(__xludf.DUMMYFUNCTION("GOOGLETRANSLATE(A2177, ""ar"", ""bn"")"),"ভীষণ ভাবে ক্ষুব্ধ")</f>
        <v>ভীষণ ভাবে ক্ষুব্ধ</v>
      </c>
    </row>
    <row r="2178">
      <c r="A2178" s="2" t="s">
        <v>4865</v>
      </c>
      <c r="B2178" s="3" t="str">
        <f>IFERROR(__xludf.DUMMYFUNCTION("GOOGLETRANSLATE(A2178, ""ar"", ""bn"")"),"ন্যক্কারজনক")</f>
        <v>ন্যক্কারজনক</v>
      </c>
    </row>
    <row r="2179">
      <c r="A2179" s="2" t="s">
        <v>4866</v>
      </c>
      <c r="B2179" s="3" t="str">
        <f>IFERROR(__xludf.DUMMYFUNCTION("GOOGLETRANSLATE(A2179, ""ar"", ""bn"")"),"কদর্য")</f>
        <v>কদর্য</v>
      </c>
    </row>
    <row r="2180">
      <c r="A2180" s="2" t="s">
        <v>4867</v>
      </c>
      <c r="B2180" s="3" t="str">
        <f>IFERROR(__xludf.DUMMYFUNCTION("GOOGLETRANSLATE(A2180, ""ar"", ""bn"")"),"বিতৃষ্ণা")</f>
        <v>বিতৃষ্ণা</v>
      </c>
    </row>
    <row r="2181">
      <c r="A2181" s="2" t="s">
        <v>4868</v>
      </c>
      <c r="B2181" s="3" t="str">
        <f>IFERROR(__xludf.DUMMYFUNCTION("GOOGLETRANSLATE(A2181, ""ar"", ""bn"")"),"হতাশ")</f>
        <v>হতাশ</v>
      </c>
    </row>
    <row r="2182">
      <c r="A2182" s="2" t="s">
        <v>4869</v>
      </c>
      <c r="B2182" s="3" t="str">
        <f>IFERROR(__xludf.DUMMYFUNCTION("GOOGLETRANSLATE(A2182, ""ar"", ""bn"")"),"Disheartening")</f>
        <v>Disheartening</v>
      </c>
    </row>
    <row r="2183">
      <c r="A2183" s="2" t="s">
        <v>4870</v>
      </c>
      <c r="B2183" s="3" t="str">
        <f>IFERROR(__xludf.DUMMYFUNCTION("GOOGLETRANSLATE(A2183, ""ar"", ""bn"")"),"অসাধু")</f>
        <v>অসাধু</v>
      </c>
    </row>
    <row r="2184">
      <c r="A2184" s="2" t="s">
        <v>4871</v>
      </c>
      <c r="B2184" s="3" t="str">
        <f>IFERROR(__xludf.DUMMYFUNCTION("GOOGLETRANSLATE(A2184, ""ar"", ""bn"")"),"সত্")</f>
        <v>সত্</v>
      </c>
    </row>
    <row r="2185">
      <c r="A2185" s="2" t="s">
        <v>4872</v>
      </c>
      <c r="B2185" s="3" t="str">
        <f>IFERROR(__xludf.DUMMYFUNCTION("GOOGLETRANSLATE(A2185, ""ar"", ""bn"")"),"অসাধুতা")</f>
        <v>অসাধুতা</v>
      </c>
    </row>
    <row r="2186">
      <c r="A2186" s="2" t="s">
        <v>4873</v>
      </c>
      <c r="B2186" s="3" t="str">
        <f>IFERROR(__xludf.DUMMYFUNCTION("GOOGLETRANSLATE(A2186, ""ar"", ""bn"")"),"মোহমুক্তি")</f>
        <v>মোহমুক্তি</v>
      </c>
    </row>
    <row r="2187">
      <c r="A2187" s="2" t="s">
        <v>4874</v>
      </c>
      <c r="B2187" s="3" t="str">
        <f>IFERROR(__xludf.DUMMYFUNCTION("GOOGLETRANSLATE(A2187, ""ar"", ""bn"")"),"হতাশা")</f>
        <v>হতাশা</v>
      </c>
    </row>
    <row r="2188">
      <c r="A2188" s="2" t="s">
        <v>4875</v>
      </c>
      <c r="B2188" s="3" t="str">
        <f>IFERROR(__xludf.DUMMYFUNCTION("GOOGLETRANSLATE(A2188, ""ar"", ""bn"")"),"হতাশা")</f>
        <v>হতাশা</v>
      </c>
    </row>
    <row r="2189">
      <c r="A2189" s="2" t="s">
        <v>4874</v>
      </c>
      <c r="B2189" s="3" t="str">
        <f>IFERROR(__xludf.DUMMYFUNCTION("GOOGLETRANSLATE(A2189, ""ar"", ""bn"")"),"হতাশা")</f>
        <v>হতাশা</v>
      </c>
    </row>
    <row r="2190">
      <c r="A2190" s="2" t="s">
        <v>4470</v>
      </c>
      <c r="B2190" s="3" t="str">
        <f>IFERROR(__xludf.DUMMYFUNCTION("GOOGLETRANSLATE(A2190, ""ar"", ""bn"")"),"শঠ")</f>
        <v>শঠ</v>
      </c>
    </row>
    <row r="2191">
      <c r="A2191" s="2" t="s">
        <v>4876</v>
      </c>
      <c r="B2191" s="3" t="str">
        <f>IFERROR(__xludf.DUMMYFUNCTION("GOOGLETRANSLATE(A2191, ""ar"", ""bn"")"),"ছলনা করিয়া")</f>
        <v>ছলনা করিয়া</v>
      </c>
    </row>
    <row r="2192">
      <c r="A2192" s="2" t="s">
        <v>3400</v>
      </c>
      <c r="B2192" s="3" t="str">
        <f>IFERROR(__xludf.DUMMYFUNCTION("GOOGLETRANSLATE(A2192, ""ar"", ""bn"")"),"অযত্ন")</f>
        <v>অযত্ন</v>
      </c>
    </row>
    <row r="2193">
      <c r="A2193" s="2" t="s">
        <v>4877</v>
      </c>
      <c r="B2193" s="3" t="str">
        <f>IFERROR(__xludf.DUMMYFUNCTION("GOOGLETRANSLATE(A2193, ""ar"", ""bn"")"),"নিরপেক্ষ")</f>
        <v>নিরপেক্ষ</v>
      </c>
    </row>
    <row r="2194">
      <c r="A2194" s="2" t="s">
        <v>4878</v>
      </c>
      <c r="B2194" s="3" t="str">
        <f>IFERROR(__xludf.DUMMYFUNCTION("GOOGLETRANSLATE(A2194, ""ar"", ""bn"")"),"বিনামূল্যে")</f>
        <v>বিনামূল্যে</v>
      </c>
    </row>
    <row r="2195">
      <c r="A2195" s="2" t="s">
        <v>3400</v>
      </c>
      <c r="B2195" s="3" t="str">
        <f>IFERROR(__xludf.DUMMYFUNCTION("GOOGLETRANSLATE(A2195, ""ar"", ""bn"")"),"অযত্ন")</f>
        <v>অযত্ন</v>
      </c>
    </row>
    <row r="2196">
      <c r="A2196" s="2" t="s">
        <v>3394</v>
      </c>
      <c r="B2196" s="3" t="str">
        <f>IFERROR(__xludf.DUMMYFUNCTION("GOOGLETRANSLATE(A2196, ""ar"", ""bn"")"),"ঘৃণা")</f>
        <v>ঘৃণা</v>
      </c>
    </row>
    <row r="2197">
      <c r="A2197" s="2" t="s">
        <v>4879</v>
      </c>
      <c r="B2197" s="3" t="str">
        <f>IFERROR(__xludf.DUMMYFUNCTION("GOOGLETRANSLATE(A2197, ""ar"", ""bn"")"),"অনিচ্ছায়")</f>
        <v>অনিচ্ছায়</v>
      </c>
    </row>
    <row r="2198">
      <c r="A2198" s="2" t="s">
        <v>4880</v>
      </c>
      <c r="B2198" s="3" t="str">
        <f>IFERROR(__xludf.DUMMYFUNCTION("GOOGLETRANSLATE(A2198, ""ar"", ""bn"")"),"অপছন্দ")</f>
        <v>অপছন্দ</v>
      </c>
    </row>
    <row r="2199">
      <c r="A2199" s="2" t="s">
        <v>4881</v>
      </c>
      <c r="B2199" s="3" t="str">
        <f>IFERROR(__xludf.DUMMYFUNCTION("GOOGLETRANSLATE(A2199, ""ar"", ""bn"")"),"বলটি")</f>
        <v>বলটি</v>
      </c>
    </row>
    <row r="2200">
      <c r="A2200" s="2" t="s">
        <v>3673</v>
      </c>
      <c r="B2200" s="3" t="str">
        <f>IFERROR(__xludf.DUMMYFUNCTION("GOOGLETRANSLATE(A2200, ""ar"", ""bn"")"),"নিরানন্দ")</f>
        <v>নিরানন্দ</v>
      </c>
    </row>
    <row r="2201">
      <c r="A2201" s="2" t="s">
        <v>3179</v>
      </c>
      <c r="B2201" s="3" t="str">
        <f>IFERROR(__xludf.DUMMYFUNCTION("GOOGLETRANSLATE(A2201, ""ar"", ""bn"")"),"miserably")</f>
        <v>miserably</v>
      </c>
    </row>
    <row r="2202">
      <c r="A2202" s="2" t="s">
        <v>4882</v>
      </c>
      <c r="B2202" s="3" t="str">
        <f>IFERROR(__xludf.DUMMYFUNCTION("GOOGLETRANSLATE(A2202, ""ar"", ""bn"")"),"আতঙ্ক")</f>
        <v>আতঙ্ক</v>
      </c>
    </row>
    <row r="2203">
      <c r="A2203" s="2" t="s">
        <v>4883</v>
      </c>
      <c r="B2203" s="3" t="str">
        <f>IFERROR(__xludf.DUMMYFUNCTION("GOOGLETRANSLATE(A2203, ""ar"", ""bn"")"),"হতভম্ব হয়ে")</f>
        <v>হতভম্ব হয়ে</v>
      </c>
    </row>
    <row r="2204">
      <c r="A2204" s="2" t="s">
        <v>4884</v>
      </c>
      <c r="B2204" s="3" t="str">
        <f>IFERROR(__xludf.DUMMYFUNCTION("GOOGLETRANSLATE(A2204, ""ar"", ""bn"")"),"অখাদ্য")</f>
        <v>অখাদ্য</v>
      </c>
    </row>
    <row r="2205">
      <c r="A2205" s="2" t="s">
        <v>4885</v>
      </c>
      <c r="B2205" s="3" t="str">
        <f>IFERROR(__xludf.DUMMYFUNCTION("GOOGLETRANSLATE(A2205, ""ar"", ""bn"")"),"আতঙ্ক")</f>
        <v>আতঙ্ক</v>
      </c>
    </row>
    <row r="2206">
      <c r="A2206" s="2" t="s">
        <v>4476</v>
      </c>
      <c r="B2206" s="3" t="str">
        <f>IFERROR(__xludf.DUMMYFUNCTION("GOOGLETRANSLATE(A2206, ""ar"", ""bn"")"),"অস্বীকার")</f>
        <v>অস্বীকার</v>
      </c>
    </row>
    <row r="2207">
      <c r="A2207" s="2" t="s">
        <v>4886</v>
      </c>
      <c r="B2207" s="3" t="str">
        <f>IFERROR(__xludf.DUMMYFUNCTION("GOOGLETRANSLATE(A2207, ""ar"", ""bn"")"),"অপসারণ")</f>
        <v>অপসারণ</v>
      </c>
    </row>
    <row r="2208">
      <c r="A2208" s="2" t="s">
        <v>4887</v>
      </c>
      <c r="B2208" s="3" t="str">
        <f>IFERROR(__xludf.DUMMYFUNCTION("GOOGLETRANSLATE(A2208, ""ar"", ""bn"")"),"শ্রেণীকক্ষ")</f>
        <v>শ্রেণীকক্ষ</v>
      </c>
    </row>
    <row r="2209">
      <c r="A2209" s="2" t="s">
        <v>4476</v>
      </c>
      <c r="B2209" s="3" t="str">
        <f>IFERROR(__xludf.DUMMYFUNCTION("GOOGLETRANSLATE(A2209, ""ar"", ""bn"")"),"অস্বীকার")</f>
        <v>অস্বীকার</v>
      </c>
    </row>
    <row r="2210">
      <c r="A2210" s="2" t="s">
        <v>4888</v>
      </c>
      <c r="B2210" s="3" t="str">
        <f>IFERROR(__xludf.DUMMYFUNCTION("GOOGLETRANSLATE(A2210, ""ar"", ""bn"")"),"আগুন")</f>
        <v>আগুন</v>
      </c>
    </row>
    <row r="2211">
      <c r="A2211" s="2" t="s">
        <v>4889</v>
      </c>
      <c r="B2211" s="3" t="str">
        <f>IFERROR(__xludf.DUMMYFUNCTION("GOOGLETRANSLATE(A2211, ""ar"", ""bn"")"),"এটা তোলে উপেক্ষা করা যাবে")</f>
        <v>এটা তোলে উপেক্ষা করা যাবে</v>
      </c>
    </row>
    <row r="2212">
      <c r="A2212" s="2" t="s">
        <v>4476</v>
      </c>
      <c r="B2212" s="3" t="str">
        <f>IFERROR(__xludf.DUMMYFUNCTION("GOOGLETRANSLATE(A2212, ""ar"", ""bn"")"),"অস্বীকার")</f>
        <v>অস্বীকার</v>
      </c>
    </row>
    <row r="2213">
      <c r="A2213" s="2" t="s">
        <v>4822</v>
      </c>
      <c r="B2213" s="3" t="str">
        <f>IFERROR(__xludf.DUMMYFUNCTION("GOOGLETRANSLATE(A2213, ""ar"", ""bn"")"),"প্রত্যাখ্যান")</f>
        <v>প্রত্যাখ্যান</v>
      </c>
    </row>
    <row r="2214">
      <c r="A2214" s="2" t="s">
        <v>4890</v>
      </c>
      <c r="B2214" s="3" t="str">
        <f>IFERROR(__xludf.DUMMYFUNCTION("GOOGLETRANSLATE(A2214, ""ar"", ""bn"")"),"আস্তে")</f>
        <v>আস্তে</v>
      </c>
    </row>
    <row r="2215">
      <c r="A2215" s="2" t="s">
        <v>4891</v>
      </c>
      <c r="B2215" s="3" t="str">
        <f>IFERROR(__xludf.DUMMYFUNCTION("GOOGLETRANSLATE(A2215, ""ar"", ""bn"")"),"অবাধ্যতা")</f>
        <v>অবাধ্যতা</v>
      </c>
    </row>
    <row r="2216">
      <c r="A2216" s="2" t="s">
        <v>4892</v>
      </c>
      <c r="B2216" s="3" t="str">
        <f>IFERROR(__xludf.DUMMYFUNCTION("GOOGLETRANSLATE(A2216, ""ar"", ""bn"")"),"অবাধ্য")</f>
        <v>অবাধ্য</v>
      </c>
    </row>
    <row r="2217">
      <c r="A2217" s="2" t="s">
        <v>4893</v>
      </c>
      <c r="B2217" s="3" t="str">
        <f>IFERROR(__xludf.DUMMYFUNCTION("GOOGLETRANSLATE(A2217, ""ar"", ""bn"")"),"ঝামেলা")</f>
        <v>ঝামেলা</v>
      </c>
    </row>
    <row r="2218">
      <c r="A2218" s="2" t="s">
        <v>4894</v>
      </c>
      <c r="B2218" s="3" t="str">
        <f>IFERROR(__xludf.DUMMYFUNCTION("GOOGLETRANSLATE(A2218, ""ar"", ""bn"")"),"অস্থির")</f>
        <v>অস্থির</v>
      </c>
    </row>
    <row r="2219">
      <c r="A2219" s="2" t="s">
        <v>4895</v>
      </c>
      <c r="B2219" s="3" t="str">
        <f>IFERROR(__xludf.DUMMYFUNCTION("GOOGLETRANSLATE(A2219, ""ar"", ""bn"")"),"অগোছালো")</f>
        <v>অগোছালো</v>
      </c>
    </row>
    <row r="2220">
      <c r="A2220" s="2" t="s">
        <v>4896</v>
      </c>
      <c r="B2220" s="3" t="str">
        <f>IFERROR(__xludf.DUMMYFUNCTION("GOOGLETRANSLATE(A2220, ""ar"", ""bn"")"),"কষ্ট")</f>
        <v>কষ্ট</v>
      </c>
    </row>
    <row r="2221">
      <c r="A2221" s="2" t="s">
        <v>4897</v>
      </c>
      <c r="B2221" s="3" t="str">
        <f>IFERROR(__xludf.DUMMYFUNCTION("GOOGLETRANSLATE(A2221, ""ar"", ""bn"")"),"গম্ভীর করা")</f>
        <v>গম্ভীর করা</v>
      </c>
    </row>
    <row r="2222">
      <c r="A2222" s="2" t="s">
        <v>4898</v>
      </c>
      <c r="B2222" s="3" t="str">
        <f>IFERROR(__xludf.DUMMYFUNCTION("GOOGLETRANSLATE(A2222, ""ar"", ""bn"")"),"রেটপ্রাপ্ত")</f>
        <v>রেটপ্রাপ্ত</v>
      </c>
    </row>
    <row r="2223">
      <c r="A2223" s="2" t="s">
        <v>4686</v>
      </c>
      <c r="B2223" s="3" t="str">
        <f>IFERROR(__xludf.DUMMYFUNCTION("GOOGLETRANSLATE(A2223, ""ar"", ""bn"")"),"খর্বতা")</f>
        <v>খর্বতা</v>
      </c>
    </row>
    <row r="2224">
      <c r="A2224" s="2" t="s">
        <v>4899</v>
      </c>
      <c r="B2224" s="3" t="str">
        <f>IFERROR(__xludf.DUMMYFUNCTION("GOOGLETRANSLATE(A2224, ""ar"", ""bn"")"),"অপচয়")</f>
        <v>অপচয়</v>
      </c>
    </row>
    <row r="2225">
      <c r="A2225" s="2" t="s">
        <v>4900</v>
      </c>
      <c r="B2225" s="3" t="str">
        <f>IFERROR(__xludf.DUMMYFUNCTION("GOOGLETRANSLATE(A2225, ""ar"", ""bn"")"),"আলস্যে কাটান")</f>
        <v>আলস্যে কাটান</v>
      </c>
    </row>
    <row r="2226">
      <c r="A2226" s="2" t="s">
        <v>4899</v>
      </c>
      <c r="B2226" s="3" t="str">
        <f>IFERROR(__xludf.DUMMYFUNCTION("GOOGLETRANSLATE(A2226, ""ar"", ""bn"")"),"অপচয়")</f>
        <v>অপচয়</v>
      </c>
    </row>
    <row r="2227">
      <c r="A2227" s="2" t="s">
        <v>4901</v>
      </c>
      <c r="B2227" s="3" t="str">
        <f>IFERROR(__xludf.DUMMYFUNCTION("GOOGLETRANSLATE(A2227, ""ar"", ""bn"")"),"অপব্যয়")</f>
        <v>অপব্যয়</v>
      </c>
    </row>
    <row r="2228">
      <c r="A2228" s="2" t="s">
        <v>4902</v>
      </c>
      <c r="B2228" s="3" t="str">
        <f>IFERROR(__xludf.DUMMYFUNCTION("GOOGLETRANSLATE(A2228, ""ar"", ""bn"")"),"মুক্তি")</f>
        <v>মুক্তি</v>
      </c>
    </row>
    <row r="2229">
      <c r="A2229" s="2" t="s">
        <v>4902</v>
      </c>
      <c r="B2229" s="3" t="str">
        <f>IFERROR(__xludf.DUMMYFUNCTION("GOOGLETRANSLATE(A2229, ""ar"", ""bn"")"),"মুক্তি")</f>
        <v>মুক্তি</v>
      </c>
    </row>
    <row r="2230">
      <c r="A2230" s="2" t="s">
        <v>4903</v>
      </c>
      <c r="B2230" s="3" t="str">
        <f>IFERROR(__xludf.DUMMYFUNCTION("GOOGLETRANSLATE(A2230, ""ar"", ""bn"")"),"পরিবেশক")</f>
        <v>পরিবেশক</v>
      </c>
    </row>
    <row r="2231">
      <c r="A2231" s="2" t="s">
        <v>4904</v>
      </c>
      <c r="B2231" s="3" t="str">
        <f>IFERROR(__xludf.DUMMYFUNCTION("GOOGLETRANSLATE(A2231, ""ar"", ""bn"")"),"dispensers")</f>
        <v>dispensers</v>
      </c>
    </row>
    <row r="2232">
      <c r="A2232" s="2" t="s">
        <v>4905</v>
      </c>
      <c r="B2232" s="3" t="str">
        <f>IFERROR(__xludf.DUMMYFUNCTION("GOOGLETRANSLATE(A2232, ""ar"", ""bn"")"),"এটা যাত্রায় পেতে")</f>
        <v>এটা যাত্রায় পেতে</v>
      </c>
    </row>
    <row r="2233">
      <c r="A2233" s="2" t="s">
        <v>4906</v>
      </c>
      <c r="B2233" s="3" t="str">
        <f>IFERROR(__xludf.DUMMYFUNCTION("GOOGLETRANSLATE(A2233, ""ar"", ""bn"")"),"পদচু্যত করা")</f>
        <v>পদচু্যত করা</v>
      </c>
    </row>
    <row r="2234">
      <c r="A2234" s="2" t="s">
        <v>4907</v>
      </c>
      <c r="B2234" s="3" t="str">
        <f>IFERROR(__xludf.DUMMYFUNCTION("GOOGLETRANSLATE(A2234, ""ar"", ""bn"")"),"শরণার্থী")</f>
        <v>শরণার্থী</v>
      </c>
    </row>
    <row r="2235">
      <c r="A2235" s="2" t="s">
        <v>4908</v>
      </c>
      <c r="B2235" s="3" t="str">
        <f>IFERROR(__xludf.DUMMYFUNCTION("GOOGLETRANSLATE(A2235, ""ar"", ""bn"")"),"উত্পাটন")</f>
        <v>উত্পাটন</v>
      </c>
    </row>
    <row r="2236">
      <c r="A2236" s="2" t="s">
        <v>4909</v>
      </c>
      <c r="B2236" s="3" t="str">
        <f>IFERROR(__xludf.DUMMYFUNCTION("GOOGLETRANSLATE(A2236, ""ar"", ""bn"")"),"অভিপ্রয়াণ")</f>
        <v>অভিপ্রয়াণ</v>
      </c>
    </row>
    <row r="2237">
      <c r="A2237" s="2" t="s">
        <v>4910</v>
      </c>
      <c r="B2237" s="3" t="str">
        <f>IFERROR(__xludf.DUMMYFUNCTION("GOOGLETRANSLATE(A2237, ""ar"", ""bn"")"),"দোকানটি")</f>
        <v>দোকানটি</v>
      </c>
    </row>
    <row r="2238">
      <c r="A2238" s="2" t="s">
        <v>4911</v>
      </c>
      <c r="B2238" s="3" t="str">
        <f>IFERROR(__xludf.DUMMYFUNCTION("GOOGLETRANSLATE(A2238, ""ar"", ""bn"")"),"পদচু্যত করা")</f>
        <v>পদচু্যত করা</v>
      </c>
    </row>
    <row r="2239">
      <c r="A2239" s="2" t="s">
        <v>3368</v>
      </c>
      <c r="B2239" s="3" t="str">
        <f>IFERROR(__xludf.DUMMYFUNCTION("GOOGLETRANSLATE(A2239, ""ar"", ""bn"")"),"রাগ")</f>
        <v>রাগ</v>
      </c>
    </row>
    <row r="2240">
      <c r="A2240" s="2" t="s">
        <v>4912</v>
      </c>
      <c r="B2240" s="3" t="str">
        <f>IFERROR(__xludf.DUMMYFUNCTION("GOOGLETRANSLATE(A2240, ""ar"", ""bn"")"),"মর্মাহত")</f>
        <v>মর্মাহত</v>
      </c>
    </row>
    <row r="2241">
      <c r="A2241" s="2" t="s">
        <v>4838</v>
      </c>
      <c r="B2241" s="3" t="str">
        <f>IFERROR(__xludf.DUMMYFUNCTION("GOOGLETRANSLATE(A2241, ""ar"", ""bn"")"),"অসন্তোষ")</f>
        <v>অসন্তোষ</v>
      </c>
    </row>
    <row r="2242">
      <c r="A2242" s="2" t="s">
        <v>4913</v>
      </c>
      <c r="B2242" s="3" t="str">
        <f>IFERROR(__xludf.DUMMYFUNCTION("GOOGLETRANSLATE(A2242, ""ar"", ""bn"")"),"আচরণ")</f>
        <v>আচরণ</v>
      </c>
    </row>
    <row r="2243">
      <c r="A2243" s="2" t="s">
        <v>4914</v>
      </c>
      <c r="B2243" s="3" t="str">
        <f>IFERROR(__xludf.DUMMYFUNCTION("GOOGLETRANSLATE(A2243, ""ar"", ""bn"")"),"আইন")</f>
        <v>আইন</v>
      </c>
    </row>
    <row r="2244">
      <c r="A2244" s="2" t="s">
        <v>4914</v>
      </c>
      <c r="B2244" s="3" t="str">
        <f>IFERROR(__xludf.DUMMYFUNCTION("GOOGLETRANSLATE(A2244, ""ar"", ""bn"")"),"আইন")</f>
        <v>আইন</v>
      </c>
    </row>
    <row r="2245">
      <c r="A2245" s="2" t="s">
        <v>4915</v>
      </c>
      <c r="B2245" s="3" t="str">
        <f>IFERROR(__xludf.DUMMYFUNCTION("GOOGLETRANSLATE(A2245, ""ar"", ""bn"")"),"পরিত্রাণ পেতে")</f>
        <v>পরিত্রাণ পেতে</v>
      </c>
    </row>
    <row r="2246">
      <c r="A2246" s="2" t="s">
        <v>4916</v>
      </c>
      <c r="B2246" s="3" t="str">
        <f>IFERROR(__xludf.DUMMYFUNCTION("GOOGLETRANSLATE(A2246, ""ar"", ""bn"")"),"কার্যনির্বাহী")</f>
        <v>কার্যনির্বাহী</v>
      </c>
    </row>
    <row r="2247">
      <c r="A2247" s="2" t="s">
        <v>4917</v>
      </c>
      <c r="B2247" s="3" t="str">
        <f>IFERROR(__xludf.DUMMYFUNCTION("GOOGLETRANSLATE(A2247, ""ar"", ""bn"")"),"Disposers")</f>
        <v>Disposers</v>
      </c>
    </row>
    <row r="2248">
      <c r="A2248" s="2" t="s">
        <v>4918</v>
      </c>
      <c r="B2248" s="3" t="str">
        <f>IFERROR(__xludf.DUMMYFUNCTION("GOOGLETRANSLATE(A2248, ""ar"", ""bn"")"),"আচরণ")</f>
        <v>আচরণ</v>
      </c>
    </row>
    <row r="2249">
      <c r="A2249" s="2" t="s">
        <v>4919</v>
      </c>
      <c r="B2249" s="3" t="str">
        <f>IFERROR(__xludf.DUMMYFUNCTION("GOOGLETRANSLATE(A2249, ""ar"", ""bn"")"),"সামঞ্জস্যহীনভাবে")</f>
        <v>সামঞ্জস্যহীনভাবে</v>
      </c>
    </row>
    <row r="2250">
      <c r="A2250" s="2" t="s">
        <v>4919</v>
      </c>
      <c r="B2250" s="3" t="str">
        <f>IFERROR(__xludf.DUMMYFUNCTION("GOOGLETRANSLATE(A2250, ""ar"", ""bn"")"),"সামঞ্জস্যহীনভাবে")</f>
        <v>সামঞ্জস্যহীনভাবে</v>
      </c>
    </row>
    <row r="2251">
      <c r="A2251" s="2" t="s">
        <v>4920</v>
      </c>
      <c r="B2251" s="3" t="str">
        <f>IFERROR(__xludf.DUMMYFUNCTION("GOOGLETRANSLATE(A2251, ""ar"", ""bn"")"),"খণ্ডন করা")</f>
        <v>খণ্ডন করা</v>
      </c>
    </row>
    <row r="2252">
      <c r="A2252" s="2" t="s">
        <v>4921</v>
      </c>
      <c r="B2252" s="3" t="str">
        <f>IFERROR(__xludf.DUMMYFUNCTION("GOOGLETRANSLATE(A2252, ""ar"", ""bn"")"),"ভুল প্রমাণিত")</f>
        <v>ভুল প্রমাণিত</v>
      </c>
    </row>
    <row r="2253">
      <c r="A2253" s="2" t="s">
        <v>4147</v>
      </c>
      <c r="B2253" s="3" t="str">
        <f>IFERROR(__xludf.DUMMYFUNCTION("GOOGLETRANSLATE(A2253, ""ar"", ""bn"")"),"গুলিয়ে ফেলে")</f>
        <v>গুলিয়ে ফেলে</v>
      </c>
    </row>
    <row r="2254">
      <c r="A2254" s="2" t="s">
        <v>4922</v>
      </c>
      <c r="B2254" s="3" t="str">
        <f>IFERROR(__xludf.DUMMYFUNCTION("GOOGLETRANSLATE(A2254, ""ar"", ""bn"")"),"সন্দেহজনক")</f>
        <v>সন্দেহজনক</v>
      </c>
    </row>
    <row r="2255">
      <c r="A2255" s="2" t="s">
        <v>4814</v>
      </c>
      <c r="B2255" s="3" t="str">
        <f>IFERROR(__xludf.DUMMYFUNCTION("GOOGLETRANSLATE(A2255, ""ar"", ""bn"")"),"বিতর্ক")</f>
        <v>বিতর্ক</v>
      </c>
    </row>
    <row r="2256">
      <c r="A2256" s="2" t="s">
        <v>4923</v>
      </c>
      <c r="B2256" s="3" t="str">
        <f>IFERROR(__xludf.DUMMYFUNCTION("GOOGLETRANSLATE(A2256, ""ar"", ""bn"")"),"বিতর্কিত")</f>
        <v>বিতর্কিত</v>
      </c>
    </row>
    <row r="2257">
      <c r="A2257" s="2" t="s">
        <v>4924</v>
      </c>
      <c r="B2257" s="3" t="str">
        <f>IFERROR(__xludf.DUMMYFUNCTION("GOOGLETRANSLATE(A2257, ""ar"", ""bn"")"),"দ্বন্দ্ব")</f>
        <v>দ্বন্দ্ব</v>
      </c>
    </row>
    <row r="2258">
      <c r="A2258" s="2" t="s">
        <v>4925</v>
      </c>
      <c r="B2258" s="3" t="str">
        <f>IFERROR(__xludf.DUMMYFUNCTION("GOOGLETRANSLATE(A2258, ""ar"", ""bn"")"),"বাতিল করা")</f>
        <v>বাতিল করা</v>
      </c>
    </row>
    <row r="2259">
      <c r="A2259" s="2" t="s">
        <v>4925</v>
      </c>
      <c r="B2259" s="3" t="str">
        <f>IFERROR(__xludf.DUMMYFUNCTION("GOOGLETRANSLATE(A2259, ""ar"", ""bn"")"),"বাতিল করা")</f>
        <v>বাতিল করা</v>
      </c>
    </row>
    <row r="2260">
      <c r="A2260" s="2" t="s">
        <v>4925</v>
      </c>
      <c r="B2260" s="3" t="str">
        <f>IFERROR(__xludf.DUMMYFUNCTION("GOOGLETRANSLATE(A2260, ""ar"", ""bn"")"),"বাতিল করা")</f>
        <v>বাতিল করা</v>
      </c>
    </row>
    <row r="2261">
      <c r="A2261" s="2" t="s">
        <v>4926</v>
      </c>
      <c r="B2261" s="3" t="str">
        <f>IFERROR(__xludf.DUMMYFUNCTION("GOOGLETRANSLATE(A2261, ""ar"", ""bn"")"),"অবজ্ঞা করবে")</f>
        <v>অবজ্ঞা করবে</v>
      </c>
    </row>
    <row r="2262">
      <c r="A2262" s="2" t="s">
        <v>4808</v>
      </c>
      <c r="B2262" s="3" t="str">
        <f>IFERROR(__xludf.DUMMYFUNCTION("GOOGLETRANSLATE(A2262, ""ar"", ""bn"")"),"অক্ষম")</f>
        <v>অক্ষম</v>
      </c>
    </row>
    <row r="2263">
      <c r="A2263" s="2" t="s">
        <v>4927</v>
      </c>
      <c r="B2263" s="3" t="str">
        <f>IFERROR(__xludf.DUMMYFUNCTION("GOOGLETRANSLATE(A2263, ""ar"", ""bn"")"),"বিঘ্নিত")</f>
        <v>বিঘ্নিত</v>
      </c>
    </row>
    <row r="2264">
      <c r="A2264" s="2" t="s">
        <v>4928</v>
      </c>
      <c r="B2264" s="3" t="str">
        <f>IFERROR(__xludf.DUMMYFUNCTION("GOOGLETRANSLATE(A2264, ""ar"", ""bn"")"),", লঙ্ঘনের")</f>
        <v>, লঙ্ঘনের</v>
      </c>
    </row>
    <row r="2265">
      <c r="A2265" s="2" t="s">
        <v>4929</v>
      </c>
      <c r="B2265" s="3" t="str">
        <f>IFERROR(__xludf.DUMMYFUNCTION("GOOGLETRANSLATE(A2265, ""ar"", ""bn"")"),"ভাঙ্গন")</f>
        <v>ভাঙ্গন</v>
      </c>
    </row>
    <row r="2266">
      <c r="A2266" s="2" t="s">
        <v>4082</v>
      </c>
      <c r="B2266" s="3" t="str">
        <f>IFERROR(__xludf.DUMMYFUNCTION("GOOGLETRANSLATE(A2266, ""ar"", ""bn"")"),"ডিসঅর্ডারস")</f>
        <v>ডিসঅর্ডারস</v>
      </c>
    </row>
    <row r="2267">
      <c r="A2267" s="2" t="s">
        <v>4930</v>
      </c>
      <c r="B2267" s="3" t="str">
        <f>IFERROR(__xludf.DUMMYFUNCTION("GOOGLETRANSLATE(A2267, ""ar"", ""bn"")"),"সংহতিনাশক")</f>
        <v>সংহতিনাশক</v>
      </c>
    </row>
    <row r="2268">
      <c r="A2268" s="2" t="s">
        <v>4931</v>
      </c>
      <c r="B2268" s="3" t="str">
        <f>IFERROR(__xludf.DUMMYFUNCTION("GOOGLETRANSLATE(A2268, ""ar"", ""bn"")"),"ব্যাহত এবং")</f>
        <v>ব্যাহত এবং</v>
      </c>
    </row>
    <row r="2269">
      <c r="A2269" s="2" t="s">
        <v>4932</v>
      </c>
      <c r="B2269" s="3" t="str">
        <f>IFERROR(__xludf.DUMMYFUNCTION("GOOGLETRANSLATE(A2269, ""ar"", ""bn"")"),"বিঘ্নিত")</f>
        <v>বিঘ্নিত</v>
      </c>
    </row>
    <row r="2270">
      <c r="A2270" s="2" t="s">
        <v>4838</v>
      </c>
      <c r="B2270" s="3" t="str">
        <f>IFERROR(__xludf.DUMMYFUNCTION("GOOGLETRANSLATE(A2270, ""ar"", ""bn"")"),"অসন্তোষ")</f>
        <v>অসন্তোষ</v>
      </c>
    </row>
    <row r="2271">
      <c r="A2271" s="2" t="s">
        <v>4933</v>
      </c>
      <c r="B2271" s="3" t="str">
        <f>IFERROR(__xludf.DUMMYFUNCTION("GOOGLETRANSLATE(A2271, ""ar"", ""bn"")"),"অসন্তোষ")</f>
        <v>অসন্তোষ</v>
      </c>
    </row>
    <row r="2272">
      <c r="A2272" s="2" t="s">
        <v>4912</v>
      </c>
      <c r="B2272" s="3" t="str">
        <f>IFERROR(__xludf.DUMMYFUNCTION("GOOGLETRANSLATE(A2272, ""ar"", ""bn"")"),"মর্মাহত")</f>
        <v>মর্মাহত</v>
      </c>
    </row>
    <row r="2273">
      <c r="A2273" s="2" t="s">
        <v>4934</v>
      </c>
      <c r="B2273" s="3" t="str">
        <f>IFERROR(__xludf.DUMMYFUNCTION("GOOGLETRANSLATE(A2273, ""ar"", ""bn"")"),"অখুশি করা")</f>
        <v>অখুশি করা</v>
      </c>
    </row>
    <row r="2274">
      <c r="A2274" s="2" t="s">
        <v>4935</v>
      </c>
      <c r="B2274" s="3" t="str">
        <f>IFERROR(__xludf.DUMMYFUNCTION("GOOGLETRANSLATE(A2274, ""ar"", ""bn"")"),"Dissatisfying")</f>
        <v>Dissatisfying</v>
      </c>
    </row>
    <row r="2275">
      <c r="A2275" s="2" t="s">
        <v>4936</v>
      </c>
      <c r="B2275" s="3" t="str">
        <f>IFERROR(__xludf.DUMMYFUNCTION("GOOGLETRANSLATE(A2275, ""ar"", ""bn"")"),"বিরোধী দল")</f>
        <v>বিরোধী দল</v>
      </c>
    </row>
    <row r="2276">
      <c r="A2276" s="2" t="s">
        <v>4503</v>
      </c>
      <c r="B2276" s="3" t="str">
        <f>IFERROR(__xludf.DUMMYFUNCTION("GOOGLETRANSLATE(A2276, ""ar"", ""bn"")"),"বিভক্ত করা")</f>
        <v>বিভক্ত করা</v>
      </c>
    </row>
    <row r="2277">
      <c r="A2277" s="2" t="s">
        <v>4937</v>
      </c>
      <c r="B2277" s="3" t="str">
        <f>IFERROR(__xludf.DUMMYFUNCTION("GOOGLETRANSLATE(A2277, ""ar"", ""bn"")"),"অননুগামী ব্যক্তি")</f>
        <v>অননুগামী ব্যক্তি</v>
      </c>
    </row>
    <row r="2278">
      <c r="A2278" s="2" t="s">
        <v>4938</v>
      </c>
      <c r="B2278" s="3" t="str">
        <f>IFERROR(__xludf.DUMMYFUNCTION("GOOGLETRANSLATE(A2278, ""ar"", ""bn"")"),"বিদ্রোহীদের")</f>
        <v>বিদ্রোহীদের</v>
      </c>
    </row>
    <row r="2279">
      <c r="A2279" s="2" t="s">
        <v>4939</v>
      </c>
      <c r="B2279" s="3" t="str">
        <f>IFERROR(__xludf.DUMMYFUNCTION("GOOGLETRANSLATE(A2279, ""ar"", ""bn"")"),"বিরোধী")</f>
        <v>বিরোধী</v>
      </c>
    </row>
    <row r="2280">
      <c r="A2280" s="2" t="s">
        <v>4462</v>
      </c>
      <c r="B2280" s="3" t="str">
        <f>IFERROR(__xludf.DUMMYFUNCTION("GOOGLETRANSLATE(A2280, ""ar"", ""bn"")"),"ক্ষয়")</f>
        <v>ক্ষয়</v>
      </c>
    </row>
    <row r="2281">
      <c r="A2281" s="2" t="s">
        <v>4940</v>
      </c>
      <c r="B2281" s="3" t="str">
        <f>IFERROR(__xludf.DUMMYFUNCTION("GOOGLETRANSLATE(A2281, ""ar"", ""bn"")"),"বিকৃত")</f>
        <v>বিকৃত</v>
      </c>
    </row>
    <row r="2282">
      <c r="A2282" s="2" t="s">
        <v>4941</v>
      </c>
      <c r="B2282" s="3" t="str">
        <f>IFERROR(__xludf.DUMMYFUNCTION("GOOGLETRANSLATE(A2282, ""ar"", ""bn"")"),"বিকৃত")</f>
        <v>বিকৃত</v>
      </c>
    </row>
    <row r="2283">
      <c r="A2283" s="2" t="s">
        <v>4942</v>
      </c>
      <c r="B2283" s="3" t="str">
        <f>IFERROR(__xludf.DUMMYFUNCTION("GOOGLETRANSLATE(A2283, ""ar"", ""bn"")"),"বিকৃত")</f>
        <v>বিকৃত</v>
      </c>
    </row>
    <row r="2284">
      <c r="A2284" s="2" t="s">
        <v>4943</v>
      </c>
      <c r="B2284" s="3" t="str">
        <f>IFERROR(__xludf.DUMMYFUNCTION("GOOGLETRANSLATE(A2284, ""ar"", ""bn"")"),"নড়ন")</f>
        <v>নড়ন</v>
      </c>
    </row>
    <row r="2285">
      <c r="A2285" s="2" t="s">
        <v>4943</v>
      </c>
      <c r="B2285" s="3" t="str">
        <f>IFERROR(__xludf.DUMMYFUNCTION("GOOGLETRANSLATE(A2285, ""ar"", ""bn"")"),"নড়ন")</f>
        <v>নড়ন</v>
      </c>
    </row>
    <row r="2286">
      <c r="A2286" s="2" t="s">
        <v>4944</v>
      </c>
      <c r="B2286" s="3" t="str">
        <f>IFERROR(__xludf.DUMMYFUNCTION("GOOGLETRANSLATE(A2286, ""ar"", ""bn"")"),"distortions")</f>
        <v>distortions</v>
      </c>
    </row>
    <row r="2287">
      <c r="A2287" s="2" t="s">
        <v>4945</v>
      </c>
      <c r="B2287" s="3" t="str">
        <f>IFERROR(__xludf.DUMMYFUNCTION("GOOGLETRANSLATE(A2287, ""ar"", ""bn"")"),"বিকৃত")</f>
        <v>বিকৃত</v>
      </c>
    </row>
    <row r="2288">
      <c r="A2288" s="2" t="s">
        <v>4946</v>
      </c>
      <c r="B2288" s="3" t="str">
        <f>IFERROR(__xludf.DUMMYFUNCTION("GOOGLETRANSLATE(A2288, ""ar"", ""bn"")"),"বিভ্রান্ত করা")</f>
        <v>বিভ্রান্ত করা</v>
      </c>
    </row>
    <row r="2289">
      <c r="A2289" s="2" t="s">
        <v>4947</v>
      </c>
      <c r="B2289" s="3" t="str">
        <f>IFERROR(__xludf.DUMMYFUNCTION("GOOGLETRANSLATE(A2289, ""ar"", ""bn"")"),"বিভ্রান্ত")</f>
        <v>বিভ্রান্ত</v>
      </c>
    </row>
    <row r="2290">
      <c r="A2290" s="2" t="s">
        <v>4948</v>
      </c>
      <c r="B2290" s="3" t="str">
        <f>IFERROR(__xludf.DUMMYFUNCTION("GOOGLETRANSLATE(A2290, ""ar"", ""bn"")"),"বিভ্রান্তিকর")</f>
        <v>বিভ্রান্তিকর</v>
      </c>
    </row>
    <row r="2291">
      <c r="A2291" s="2" t="s">
        <v>4949</v>
      </c>
      <c r="B2291" s="3" t="str">
        <f>IFERROR(__xludf.DUMMYFUNCTION("GOOGLETRANSLATE(A2291, ""ar"", ""bn"")"),"ভঙ্গ")</f>
        <v>ভঙ্গ</v>
      </c>
    </row>
    <row r="2292">
      <c r="A2292" s="2" t="s">
        <v>4950</v>
      </c>
      <c r="B2292" s="3" t="str">
        <f>IFERROR(__xludf.DUMMYFUNCTION("GOOGLETRANSLATE(A2292, ""ar"", ""bn"")"),"ক্ষোভ")</f>
        <v>ক্ষোভ</v>
      </c>
    </row>
    <row r="2293">
      <c r="A2293" s="2" t="s">
        <v>4697</v>
      </c>
      <c r="B2293" s="3" t="str">
        <f>IFERROR(__xludf.DUMMYFUNCTION("GOOGLETRANSLATE(A2293, ""ar"", ""bn"")"),"বিচ্যুতি")</f>
        <v>বিচ্যুতি</v>
      </c>
    </row>
    <row r="2294">
      <c r="A2294" s="2" t="s">
        <v>4947</v>
      </c>
      <c r="B2294" s="3" t="str">
        <f>IFERROR(__xludf.DUMMYFUNCTION("GOOGLETRANSLATE(A2294, ""ar"", ""bn"")"),"বিভ্রান্ত")</f>
        <v>বিভ্রান্ত</v>
      </c>
    </row>
    <row r="2295">
      <c r="A2295" s="2" t="s">
        <v>4951</v>
      </c>
      <c r="B2295" s="3" t="str">
        <f>IFERROR(__xludf.DUMMYFUNCTION("GOOGLETRANSLATE(A2295, ""ar"", ""bn"")"),"বিক্ষিপ্ত")</f>
        <v>বিক্ষিপ্ত</v>
      </c>
    </row>
    <row r="2296">
      <c r="A2296" s="2" t="s">
        <v>3278</v>
      </c>
      <c r="B2296" s="3" t="str">
        <f>IFERROR(__xludf.DUMMYFUNCTION("GOOGLETRANSLATE(A2296, ""ar"", ""bn"")"),"কঠোর পরীক্ষা")</f>
        <v>কঠোর পরীক্ষা</v>
      </c>
    </row>
    <row r="2297">
      <c r="A2297" s="2" t="s">
        <v>4952</v>
      </c>
      <c r="B2297" s="3" t="str">
        <f>IFERROR(__xludf.DUMMYFUNCTION("GOOGLETRANSLATE(A2297, ""ar"", ""bn"")"),"পীড়িত")</f>
        <v>পীড়িত</v>
      </c>
    </row>
    <row r="2298">
      <c r="A2298" s="2" t="s">
        <v>4953</v>
      </c>
      <c r="B2298" s="3" t="str">
        <f>IFERROR(__xludf.DUMMYFUNCTION("GOOGLETRANSLATE(A2298, ""ar"", ""bn"")"),"কষ্ট")</f>
        <v>কষ্ট</v>
      </c>
    </row>
    <row r="2299">
      <c r="A2299" s="2" t="s">
        <v>4609</v>
      </c>
      <c r="B2299" s="3" t="str">
        <f>IFERROR(__xludf.DUMMYFUNCTION("GOOGLETRANSLATE(A2299, ""ar"", ""bn"")"),"দূর্বল")</f>
        <v>দূর্বল</v>
      </c>
    </row>
    <row r="2300">
      <c r="A2300" s="2" t="s">
        <v>4875</v>
      </c>
      <c r="B2300" s="3" t="str">
        <f>IFERROR(__xludf.DUMMYFUNCTION("GOOGLETRANSLATE(A2300, ""ar"", ""bn"")"),"হতাশা")</f>
        <v>হতাশা</v>
      </c>
    </row>
    <row r="2301">
      <c r="A2301" s="2" t="s">
        <v>4954</v>
      </c>
      <c r="B2301" s="3" t="str">
        <f>IFERROR(__xludf.DUMMYFUNCTION("GOOGLETRANSLATE(A2301, ""ar"", ""bn"")"),"অবিশ্বাস")</f>
        <v>অবিশ্বাস</v>
      </c>
    </row>
    <row r="2302">
      <c r="A2302" s="2" t="s">
        <v>4955</v>
      </c>
      <c r="B2302" s="3" t="str">
        <f>IFERROR(__xludf.DUMMYFUNCTION("GOOGLETRANSLATE(A2302, ""ar"", ""bn"")"),"আস্থা")</f>
        <v>আস্থা</v>
      </c>
    </row>
    <row r="2303">
      <c r="A2303" s="2" t="s">
        <v>4956</v>
      </c>
      <c r="B2303" s="3" t="str">
        <f>IFERROR(__xludf.DUMMYFUNCTION("GOOGLETRANSLATE(A2303, ""ar"", ""bn"")"),"সন্দেহ")</f>
        <v>সন্দেহ</v>
      </c>
    </row>
    <row r="2304">
      <c r="A2304" s="2" t="s">
        <v>4957</v>
      </c>
      <c r="B2304" s="3" t="str">
        <f>IFERROR(__xludf.DUMMYFUNCTION("GOOGLETRANSLATE(A2304, ""ar"", ""bn"")"),"Distrusting")</f>
        <v>Distrusting</v>
      </c>
    </row>
    <row r="2305">
      <c r="A2305" s="2" t="s">
        <v>4958</v>
      </c>
      <c r="B2305" s="3" t="str">
        <f>IFERROR(__xludf.DUMMYFUNCTION("GOOGLETRANSLATE(A2305, ""ar"", ""bn"")"),"লক্ষ্যহীনতা")</f>
        <v>লক্ষ্যহীনতা</v>
      </c>
    </row>
    <row r="2306">
      <c r="A2306" s="2" t="s">
        <v>4959</v>
      </c>
      <c r="B2306" s="3" t="str">
        <f>IFERROR(__xludf.DUMMYFUNCTION("GOOGLETRANSLATE(A2306, ""ar"", ""bn"")"),"কোঁচ")</f>
        <v>কোঁচ</v>
      </c>
    </row>
    <row r="2307">
      <c r="A2307" s="2" t="s">
        <v>4893</v>
      </c>
      <c r="B2307" s="3" t="str">
        <f>IFERROR(__xludf.DUMMYFUNCTION("GOOGLETRANSLATE(A2307, ""ar"", ""bn"")"),"ঝামেলা")</f>
        <v>ঝামেলা</v>
      </c>
    </row>
    <row r="2308">
      <c r="A2308" s="2" t="s">
        <v>4082</v>
      </c>
      <c r="B2308" s="3" t="str">
        <f>IFERROR(__xludf.DUMMYFUNCTION("GOOGLETRANSLATE(A2308, ""ar"", ""bn"")"),"ডিসঅর্ডারস")</f>
        <v>ডিসঅর্ডারস</v>
      </c>
    </row>
    <row r="2309">
      <c r="A2309" s="2" t="s">
        <v>4960</v>
      </c>
      <c r="B2309" s="3" t="str">
        <f>IFERROR(__xludf.DUMMYFUNCTION("GOOGLETRANSLATE(A2309, ""ar"", ""bn"")"),"মানসিক বিকারগ্রস্ত")</f>
        <v>মানসিক বিকারগ্রস্ত</v>
      </c>
    </row>
    <row r="2310">
      <c r="A2310" s="2" t="s">
        <v>4961</v>
      </c>
      <c r="B2310" s="3" t="str">
        <f>IFERROR(__xludf.DUMMYFUNCTION("GOOGLETRANSLATE(A2310, ""ar"", ""bn"")"),"উদ্বেজক")</f>
        <v>উদ্বেজক</v>
      </c>
    </row>
    <row r="2311">
      <c r="A2311" s="2" t="s">
        <v>4961</v>
      </c>
      <c r="B2311" s="3" t="str">
        <f>IFERROR(__xludf.DUMMYFUNCTION("GOOGLETRANSLATE(A2311, ""ar"", ""bn"")"),"উদ্বেজক")</f>
        <v>উদ্বেজক</v>
      </c>
    </row>
    <row r="2312">
      <c r="A2312" s="2" t="s">
        <v>3387</v>
      </c>
      <c r="B2312" s="3" t="str">
        <f>IFERROR(__xludf.DUMMYFUNCTION("GOOGLETRANSLATE(A2312, ""ar"", ""bn"")"),"মাথা ঘামান")</f>
        <v>মাথা ঘামান</v>
      </c>
    </row>
    <row r="2313">
      <c r="A2313" s="2" t="s">
        <v>4962</v>
      </c>
      <c r="B2313" s="3" t="str">
        <f>IFERROR(__xludf.DUMMYFUNCTION("GOOGLETRANSLATE(A2313, ""ar"", ""bn"")"),"রুপান্তর")</f>
        <v>রুপান্তর</v>
      </c>
    </row>
    <row r="2314">
      <c r="A2314" s="2" t="s">
        <v>4962</v>
      </c>
      <c r="B2314" s="3" t="str">
        <f>IFERROR(__xludf.DUMMYFUNCTION("GOOGLETRANSLATE(A2314, ""ar"", ""bn"")"),"রুপান্তর")</f>
        <v>রুপান্তর</v>
      </c>
    </row>
    <row r="2315">
      <c r="A2315" s="2" t="s">
        <v>4963</v>
      </c>
      <c r="B2315" s="3" t="str">
        <f>IFERROR(__xludf.DUMMYFUNCTION("GOOGLETRANSLATE(A2315, ""ar"", ""bn"")"),"উপস্থলিপ্রদাহ")</f>
        <v>উপস্থলিপ্রদাহ</v>
      </c>
    </row>
    <row r="2316">
      <c r="A2316" s="2" t="s">
        <v>4962</v>
      </c>
      <c r="B2316" s="3" t="str">
        <f>IFERROR(__xludf.DUMMYFUNCTION("GOOGLETRANSLATE(A2316, ""ar"", ""bn"")"),"রুপান্তর")</f>
        <v>রুপান্তর</v>
      </c>
    </row>
    <row r="2317">
      <c r="A2317" s="2" t="s">
        <v>4964</v>
      </c>
      <c r="B2317" s="3" t="str">
        <f>IFERROR(__xludf.DUMMYFUNCTION("GOOGLETRANSLATE(A2317, ""ar"", ""bn"")"),"পরিবর্তিত")</f>
        <v>পরিবর্তিত</v>
      </c>
    </row>
    <row r="2318">
      <c r="A2318" s="2" t="s">
        <v>4965</v>
      </c>
      <c r="B2318" s="3" t="str">
        <f>IFERROR(__xludf.DUMMYFUNCTION("GOOGLETRANSLATE(A2318, ""ar"", ""bn"")"),"বিভাগ")</f>
        <v>বিভাগ</v>
      </c>
    </row>
    <row r="2319">
      <c r="A2319" s="2" t="s">
        <v>4966</v>
      </c>
      <c r="B2319" s="3" t="str">
        <f>IFERROR(__xludf.DUMMYFUNCTION("GOOGLETRANSLATE(A2319, ""ar"", ""bn"")"),"বিভাগীয়")</f>
        <v>বিভাগীয়</v>
      </c>
    </row>
    <row r="2320">
      <c r="A2320" s="2" t="s">
        <v>4967</v>
      </c>
      <c r="B2320" s="3" t="str">
        <f>IFERROR(__xludf.DUMMYFUNCTION("GOOGLETRANSLATE(A2320, ""ar"", ""bn"")"),"বিভাগ")</f>
        <v>বিভাগ</v>
      </c>
    </row>
    <row r="2321">
      <c r="A2321" s="2" t="s">
        <v>4968</v>
      </c>
      <c r="B2321" s="3" t="str">
        <f>IFERROR(__xludf.DUMMYFUNCTION("GOOGLETRANSLATE(A2321, ""ar"", ""bn"")"),"বিবাহবিচ্ছেদ")</f>
        <v>বিবাহবিচ্ছেদ</v>
      </c>
    </row>
    <row r="2322">
      <c r="A2322" s="2" t="s">
        <v>4969</v>
      </c>
      <c r="B2322" s="3" t="str">
        <f>IFERROR(__xludf.DUMMYFUNCTION("GOOGLETRANSLATE(A2322, ""ar"", ""bn"")"),"বিবাহ বিচ্ছিন্ন")</f>
        <v>বিবাহ বিচ্ছিন্ন</v>
      </c>
    </row>
    <row r="2323">
      <c r="A2323" s="2" t="s">
        <v>4970</v>
      </c>
      <c r="B2323" s="3" t="str">
        <f>IFERROR(__xludf.DUMMYFUNCTION("GOOGLETRANSLATE(A2323, ""ar"", ""bn"")"),"পরম")</f>
        <v>পরম</v>
      </c>
    </row>
    <row r="2324">
      <c r="A2324" s="2" t="s">
        <v>4969</v>
      </c>
      <c r="B2324" s="3" t="str">
        <f>IFERROR(__xludf.DUMMYFUNCTION("GOOGLETRANSLATE(A2324, ""ar"", ""bn"")"),"বিবাহ বিচ্ছিন্ন")</f>
        <v>বিবাহ বিচ্ছিন্ন</v>
      </c>
    </row>
    <row r="2325">
      <c r="A2325" s="2" t="s">
        <v>4971</v>
      </c>
      <c r="B2325" s="3" t="str">
        <f>IFERROR(__xludf.DUMMYFUNCTION("GOOGLETRANSLATE(A2325, ""ar"", ""bn"")"),"বিবাহবিচ্ছেদ")</f>
        <v>বিবাহবিচ্ছেদ</v>
      </c>
    </row>
    <row r="2326">
      <c r="A2326" s="2" t="s">
        <v>4972</v>
      </c>
      <c r="B2326" s="3" t="str">
        <f>IFERROR(__xludf.DUMMYFUNCTION("GOOGLETRANSLATE(A2326, ""ar"", ""bn"")"),"মাথা ঘোরা")</f>
        <v>মাথা ঘোরা</v>
      </c>
    </row>
    <row r="2327">
      <c r="A2327" s="2" t="s">
        <v>4973</v>
      </c>
      <c r="B2327" s="3" t="str">
        <f>IFERROR(__xludf.DUMMYFUNCTION("GOOGLETRANSLATE(A2327, ""ar"", ""bn"")"),"হতবুদ্ধি")</f>
        <v>হতবুদ্ধি</v>
      </c>
    </row>
    <row r="2328">
      <c r="A2328" s="2" t="s">
        <v>4974</v>
      </c>
      <c r="B2328" s="3" t="str">
        <f>IFERROR(__xludf.DUMMYFUNCTION("GOOGLETRANSLATE(A2328, ""ar"", ""bn"")"),"আশ্চর্যজনক")</f>
        <v>আশ্চর্যজনক</v>
      </c>
    </row>
    <row r="2329">
      <c r="A2329" s="2" t="s">
        <v>4975</v>
      </c>
      <c r="B2329" s="3" t="str">
        <f>IFERROR(__xludf.DUMMYFUNCTION("GOOGLETRANSLATE(A2329, ""ar"", ""bn"")"),"amazingly")</f>
        <v>amazingly</v>
      </c>
    </row>
    <row r="2330">
      <c r="A2330" s="2" t="s">
        <v>4976</v>
      </c>
      <c r="B2330" s="3" t="str">
        <f>IFERROR(__xludf.DUMMYFUNCTION("GOOGLETRANSLATE(A2330, ""ar"", ""bn"")"),"মন্দা")</f>
        <v>মন্দা</v>
      </c>
    </row>
    <row r="2331">
      <c r="A2331" s="2" t="s">
        <v>4977</v>
      </c>
      <c r="B2331" s="3" t="str">
        <f>IFERROR(__xludf.DUMMYFUNCTION("GOOGLETRANSLATE(A2331, ""ar"", ""bn"")"),"নিরেট")</f>
        <v>নিরেট</v>
      </c>
    </row>
    <row r="2332">
      <c r="A2332" s="2" t="s">
        <v>4978</v>
      </c>
      <c r="B2332" s="3" t="str">
        <f>IFERROR(__xludf.DUMMYFUNCTION("GOOGLETRANSLATE(A2332, ""ar"", ""bn"")"),"নিয়ন্ত্রণ")</f>
        <v>নিয়ন্ত্রণ</v>
      </c>
    </row>
    <row r="2333">
      <c r="A2333" s="2" t="s">
        <v>4979</v>
      </c>
      <c r="B2333" s="3" t="str">
        <f>IFERROR(__xludf.DUMMYFUNCTION("GOOGLETRANSLATE(A2333, ""ar"", ""bn"")"),"নিয়ন্ত্রিত")</f>
        <v>নিয়ন্ত্রিত</v>
      </c>
    </row>
    <row r="2334">
      <c r="A2334" s="2" t="s">
        <v>4980</v>
      </c>
      <c r="B2334" s="3" t="str">
        <f>IFERROR(__xludf.DUMMYFUNCTION("GOOGLETRANSLATE(A2334, ""ar"", ""bn"")"),"অধীন")</f>
        <v>অধীন</v>
      </c>
    </row>
    <row r="2335">
      <c r="A2335" s="2" t="s">
        <v>4981</v>
      </c>
      <c r="B2335" s="3" t="str">
        <f>IFERROR(__xludf.DUMMYFUNCTION("GOOGLETRANSLATE(A2335, ""ar"", ""bn"")"),"কর্তৃত্ব")</f>
        <v>কর্তৃত্ব</v>
      </c>
    </row>
    <row r="2336">
      <c r="A2336" s="2" t="s">
        <v>4454</v>
      </c>
      <c r="B2336" s="3" t="str">
        <f>IFERROR(__xludf.DUMMYFUNCTION("GOOGLETRANSLATE(A2336, ""ar"", ""bn"")"),"মৃত্যু")</f>
        <v>মৃত্যু</v>
      </c>
    </row>
    <row r="2337">
      <c r="A2337" s="2" t="s">
        <v>4982</v>
      </c>
      <c r="B2337" s="3" t="str">
        <f>IFERROR(__xludf.DUMMYFUNCTION("GOOGLETRANSLATE(A2337, ""ar"", ""bn"")"),"দণ্ডপ্রাপ্ত")</f>
        <v>দণ্ডপ্রাপ্ত</v>
      </c>
    </row>
    <row r="2338">
      <c r="A2338" s="2" t="s">
        <v>4983</v>
      </c>
      <c r="B2338" s="3" t="str">
        <f>IFERROR(__xludf.DUMMYFUNCTION("GOOGLETRANSLATE(A2338, ""ar"", ""bn"")"),"অনিবার্য")</f>
        <v>অনিবার্য</v>
      </c>
    </row>
    <row r="2339">
      <c r="A2339" s="2" t="s">
        <v>1060</v>
      </c>
      <c r="B2339" s="3" t="str">
        <f>IFERROR(__xludf.DUMMYFUNCTION("GOOGLETRANSLATE(A2339, ""ar"", ""bn"")"),"বিচার")</f>
        <v>বিচার</v>
      </c>
    </row>
    <row r="2340">
      <c r="A2340" s="2" t="s">
        <v>4984</v>
      </c>
      <c r="B2340" s="3" t="str">
        <f>IFERROR(__xludf.DUMMYFUNCTION("GOOGLETRANSLATE(A2340, ""ar"", ""bn"")"),"বিচার দিবস")</f>
        <v>বিচার দিবস</v>
      </c>
    </row>
    <row r="2341">
      <c r="A2341" s="2" t="s">
        <v>4985</v>
      </c>
      <c r="B2341" s="3" t="str">
        <f>IFERROR(__xludf.DUMMYFUNCTION("GOOGLETRANSLATE(A2341, ""ar"", ""bn"")"),"অবেদনিক")</f>
        <v>অবেদনিক</v>
      </c>
    </row>
    <row r="2342">
      <c r="A2342" s="2" t="s">
        <v>4985</v>
      </c>
      <c r="B2342" s="3" t="str">
        <f>IFERROR(__xludf.DUMMYFUNCTION("GOOGLETRANSLATE(A2342, ""ar"", ""bn"")"),"অবেদনিক")</f>
        <v>অবেদনিক</v>
      </c>
    </row>
    <row r="2343">
      <c r="A2343" s="2" t="s">
        <v>4986</v>
      </c>
      <c r="B2343" s="3" t="str">
        <f>IFERROR(__xludf.DUMMYFUNCTION("GOOGLETRANSLATE(A2343, ""ar"", ""bn"")"),"নিস্তেজ")</f>
        <v>নিস্তেজ</v>
      </c>
    </row>
    <row r="2344">
      <c r="A2344" s="2" t="s">
        <v>4987</v>
      </c>
      <c r="B2344" s="3" t="str">
        <f>IFERROR(__xludf.DUMMYFUNCTION("GOOGLETRANSLATE(A2344, ""ar"", ""bn"")"),"সন্দেহ")</f>
        <v>সন্দেহ</v>
      </c>
    </row>
    <row r="2345">
      <c r="A2345" s="2" t="s">
        <v>4988</v>
      </c>
      <c r="B2345" s="3" t="str">
        <f>IFERROR(__xludf.DUMMYFUNCTION("GOOGLETRANSLATE(A2345, ""ar"", ""bn"")"),"সন্দেহ")</f>
        <v>সন্দেহ</v>
      </c>
    </row>
    <row r="2346">
      <c r="A2346" s="2" t="s">
        <v>4989</v>
      </c>
      <c r="B2346" s="3" t="str">
        <f>IFERROR(__xludf.DUMMYFUNCTION("GOOGLETRANSLATE(A2346, ""ar"", ""bn"")"),"অবিশ্বাসী")</f>
        <v>অবিশ্বাসী</v>
      </c>
    </row>
    <row r="2347">
      <c r="A2347" s="2" t="s">
        <v>4990</v>
      </c>
      <c r="B2347" s="3" t="str">
        <f>IFERROR(__xludf.DUMMYFUNCTION("GOOGLETRANSLATE(A2347, ""ar"", ""bn"")"),"সংশয়বাদীরা")</f>
        <v>সংশয়বাদীরা</v>
      </c>
    </row>
    <row r="2348">
      <c r="A2348" s="2" t="s">
        <v>4991</v>
      </c>
      <c r="B2348" s="3" t="str">
        <f>IFERROR(__xludf.DUMMYFUNCTION("GOOGLETRANSLATE(A2348, ""ar"", ""bn"")"),"সন্দিহান")</f>
        <v>সন্দিহান</v>
      </c>
    </row>
    <row r="2349">
      <c r="A2349" s="2" t="s">
        <v>4992</v>
      </c>
      <c r="B2349" s="3" t="str">
        <f>IFERROR(__xludf.DUMMYFUNCTION("GOOGLETRANSLATE(A2349, ""ar"", ""bn"")"),"বক্রভাবে")</f>
        <v>বক্রভাবে</v>
      </c>
    </row>
    <row r="2350">
      <c r="A2350" s="2" t="s">
        <v>4993</v>
      </c>
      <c r="B2350" s="3" t="str">
        <f>IFERROR(__xludf.DUMMYFUNCTION("GOOGLETRANSLATE(A2350, ""ar"", ""bn"")"),"সন্দেহ")</f>
        <v>সন্দেহ</v>
      </c>
    </row>
    <row r="2351">
      <c r="A2351" s="2" t="s">
        <v>4994</v>
      </c>
      <c r="B2351" s="3" t="str">
        <f>IFERROR(__xludf.DUMMYFUNCTION("GOOGLETRANSLATE(A2351, ""ar"", ""bn"")"),"কোনো সন্দেহ নেই")</f>
        <v>কোনো সন্দেহ নেই</v>
      </c>
    </row>
    <row r="2352">
      <c r="A2352" s="2" t="s">
        <v>4995</v>
      </c>
      <c r="B2352" s="3" t="str">
        <f>IFERROR(__xludf.DUMMYFUNCTION("GOOGLETRANSLATE(A2352, ""ar"", ""bn"")"),"নিশ্চয়")</f>
        <v>নিশ্চয়</v>
      </c>
    </row>
    <row r="2353">
      <c r="A2353" s="2" t="s">
        <v>4996</v>
      </c>
      <c r="B2353" s="3" t="str">
        <f>IFERROR(__xludf.DUMMYFUNCTION("GOOGLETRANSLATE(A2353, ""ar"", ""bn"")"),"সন্দেহ")</f>
        <v>সন্দেহ</v>
      </c>
    </row>
    <row r="2354">
      <c r="A2354" s="2" t="s">
        <v>4997</v>
      </c>
      <c r="B2354" s="3" t="str">
        <f>IFERROR(__xludf.DUMMYFUNCTION("GOOGLETRANSLATE(A2354, ""ar"", ""bn"")"),"হতাশ")</f>
        <v>হতাশ</v>
      </c>
    </row>
    <row r="2355">
      <c r="A2355" s="2" t="s">
        <v>4998</v>
      </c>
      <c r="B2355" s="3" t="str">
        <f>IFERROR(__xludf.DUMMYFUNCTION("GOOGLETRANSLATE(A2355, ""ar"", ""bn"")"),"Dropp বন্ধ")</f>
        <v>Dropp বন্ধ</v>
      </c>
    </row>
    <row r="2356">
      <c r="A2356" s="2" t="s">
        <v>4536</v>
      </c>
      <c r="B2356" s="3" t="str">
        <f>IFERROR(__xludf.DUMMYFUNCTION("GOOGLETRANSLATE(A2356, ""ar"", ""bn"")"),"বিমর্ষ - বিষণ্ণ")</f>
        <v>বিমর্ষ - বিষণ্ণ</v>
      </c>
    </row>
    <row r="2357">
      <c r="A2357" s="2" t="s">
        <v>4999</v>
      </c>
      <c r="B2357" s="3" t="str">
        <f>IFERROR(__xludf.DUMMYFUNCTION("GOOGLETRANSLATE(A2357, ""ar"", ""bn"")"),"বেশ্যা")</f>
        <v>বেশ্যা</v>
      </c>
    </row>
    <row r="2358">
      <c r="A2358" s="2" t="s">
        <v>4610</v>
      </c>
      <c r="B2358" s="3" t="str">
        <f>IFERROR(__xludf.DUMMYFUNCTION("GOOGLETRANSLATE(A2358, ""ar"", ""bn"")"),"বিষণ্ণতা")</f>
        <v>বিষণ্ণতা</v>
      </c>
    </row>
    <row r="2359">
      <c r="A2359" s="2" t="s">
        <v>5000</v>
      </c>
      <c r="B2359" s="3" t="str">
        <f>IFERROR(__xludf.DUMMYFUNCTION("GOOGLETRANSLATE(A2359, ""ar"", ""bn"")"),"উত্তোলন")</f>
        <v>উত্তোলন</v>
      </c>
    </row>
    <row r="2360">
      <c r="A2360" s="2" t="s">
        <v>5001</v>
      </c>
      <c r="B2360" s="3" t="str">
        <f>IFERROR(__xludf.DUMMYFUNCTION("GOOGLETRANSLATE(A2360, ""ar"", ""bn"")"),"টানা")</f>
        <v>টানা</v>
      </c>
    </row>
    <row r="2361">
      <c r="A2361" s="2" t="s">
        <v>5000</v>
      </c>
      <c r="B2361" s="3" t="str">
        <f>IFERROR(__xludf.DUMMYFUNCTION("GOOGLETRANSLATE(A2361, ""ar"", ""bn"")"),"উত্তোলন")</f>
        <v>উত্তোলন</v>
      </c>
    </row>
    <row r="2362">
      <c r="A2362" s="2" t="s">
        <v>5002</v>
      </c>
      <c r="B2362" s="3" t="str">
        <f>IFERROR(__xludf.DUMMYFUNCTION("GOOGLETRANSLATE(A2362, ""ar"", ""bn"")"),"ফাঁদ")</f>
        <v>ফাঁদ</v>
      </c>
    </row>
    <row r="2363">
      <c r="A2363" s="2" t="s">
        <v>5003</v>
      </c>
      <c r="B2363" s="3" t="str">
        <f>IFERROR(__xludf.DUMMYFUNCTION("GOOGLETRANSLATE(A2363, ""ar"", ""bn"")"),"ঘুড়ি বিশেষ")</f>
        <v>ঘুড়ি বিশেষ</v>
      </c>
    </row>
    <row r="2364">
      <c r="A2364" s="2" t="s">
        <v>5004</v>
      </c>
      <c r="B2364" s="3" t="str">
        <f>IFERROR(__xludf.DUMMYFUNCTION("GOOGLETRANSLATE(A2364, ""ar"", ""bn"")"),"ফড়িং")</f>
        <v>ফড়িং</v>
      </c>
    </row>
    <row r="2365">
      <c r="A2365" s="2" t="s">
        <v>5004</v>
      </c>
      <c r="B2365" s="3" t="str">
        <f>IFERROR(__xludf.DUMMYFUNCTION("GOOGLETRANSLATE(A2365, ""ar"", ""bn"")"),"ফড়িং")</f>
        <v>ফড়িং</v>
      </c>
    </row>
    <row r="2366">
      <c r="A2366" s="2" t="s">
        <v>5005</v>
      </c>
      <c r="B2366" s="3" t="str">
        <f>IFERROR(__xludf.DUMMYFUNCTION("GOOGLETRANSLATE(A2366, ""ar"", ""bn"")"),"ঘুড়ি বিশেষ")</f>
        <v>ঘুড়ি বিশেষ</v>
      </c>
    </row>
    <row r="2367">
      <c r="A2367" s="2" t="s">
        <v>5006</v>
      </c>
      <c r="B2367" s="3" t="str">
        <f>IFERROR(__xludf.DUMMYFUNCTION("GOOGLETRANSLATE(A2367, ""ar"", ""bn"")"),"বাধ্য করা")</f>
        <v>বাধ্য করা</v>
      </c>
    </row>
    <row r="2368">
      <c r="A2368" s="2" t="s">
        <v>5007</v>
      </c>
      <c r="B2368" s="3" t="str">
        <f>IFERROR(__xludf.DUMMYFUNCTION("GOOGLETRANSLATE(A2368, ""ar"", ""bn"")"),"নারকীয়")</f>
        <v>নারকীয়</v>
      </c>
    </row>
    <row r="2369">
      <c r="A2369" s="2" t="s">
        <v>5008</v>
      </c>
      <c r="B2369" s="3" t="str">
        <f>IFERROR(__xludf.DUMMYFUNCTION("GOOGLETRANSLATE(A2369, ""ar"", ""bn"")"),"নাইট")</f>
        <v>নাইট</v>
      </c>
    </row>
    <row r="2370">
      <c r="A2370" s="2" t="s">
        <v>5009</v>
      </c>
      <c r="B2370" s="3" t="str">
        <f>IFERROR(__xludf.DUMMYFUNCTION("GOOGLETRANSLATE(A2370, ""ar"", ""bn"")"),"নেতিবাচক প্রভাব")</f>
        <v>নেতিবাচক প্রভাব</v>
      </c>
    </row>
    <row r="2371">
      <c r="A2371" s="2" t="s">
        <v>4882</v>
      </c>
      <c r="B2371" s="3" t="str">
        <f>IFERROR(__xludf.DUMMYFUNCTION("GOOGLETRANSLATE(A2371, ""ar"", ""bn"")"),"আতঙ্ক")</f>
        <v>আতঙ্ক</v>
      </c>
    </row>
    <row r="2372">
      <c r="A2372" s="2" t="s">
        <v>5010</v>
      </c>
      <c r="B2372" s="3" t="str">
        <f>IFERROR(__xludf.DUMMYFUNCTION("GOOGLETRANSLATE(A2372, ""ar"", ""bn"")"),"dreaded")</f>
        <v>dreaded</v>
      </c>
    </row>
    <row r="2373">
      <c r="A2373" s="2" t="s">
        <v>3469</v>
      </c>
      <c r="B2373" s="3" t="str">
        <f>IFERROR(__xludf.DUMMYFUNCTION("GOOGLETRANSLATE(A2373, ""ar"", ""bn"")"),"ভয়ের")</f>
        <v>ভয়ের</v>
      </c>
    </row>
    <row r="2374">
      <c r="A2374" s="2" t="s">
        <v>3469</v>
      </c>
      <c r="B2374" s="3" t="str">
        <f>IFERROR(__xludf.DUMMYFUNCTION("GOOGLETRANSLATE(A2374, ""ar"", ""bn"")"),"ভয়ের")</f>
        <v>ভয়ের</v>
      </c>
    </row>
    <row r="2375">
      <c r="A2375" s="2" t="s">
        <v>5011</v>
      </c>
      <c r="B2375" s="3" t="str">
        <f>IFERROR(__xludf.DUMMYFUNCTION("GOOGLETRANSLATE(A2375, ""ar"", ""bn"")"),"Dreadfulness")</f>
        <v>Dreadfulness</v>
      </c>
    </row>
    <row r="2376">
      <c r="A2376" s="2" t="s">
        <v>5012</v>
      </c>
      <c r="B2376" s="3" t="str">
        <f>IFERROR(__xludf.DUMMYFUNCTION("GOOGLETRANSLATE(A2376, ""ar"", ""bn"")"),"ভয়")</f>
        <v>ভয়</v>
      </c>
    </row>
    <row r="2377">
      <c r="A2377" s="2" t="s">
        <v>5013</v>
      </c>
      <c r="B2377" s="3" t="str">
        <f>IFERROR(__xludf.DUMMYFUNCTION("GOOGLETRANSLATE(A2377, ""ar"", ""bn"")"),"আল-Majdal")</f>
        <v>আল-Majdal</v>
      </c>
    </row>
    <row r="2378">
      <c r="A2378" s="2" t="s">
        <v>5014</v>
      </c>
      <c r="B2378" s="3" t="str">
        <f>IFERROR(__xludf.DUMMYFUNCTION("GOOGLETRANSLATE(A2378, ""ar"", ""bn"")"),"অকুতোভয় ব্যক্তি")</f>
        <v>অকুতোভয় ব্যক্তি</v>
      </c>
    </row>
    <row r="2379">
      <c r="A2379" s="2" t="s">
        <v>5015</v>
      </c>
      <c r="B2379" s="3" t="str">
        <f>IFERROR(__xludf.DUMMYFUNCTION("GOOGLETRANSLATE(A2379, ""ar"", ""bn"")"),"ভয়")</f>
        <v>ভয়</v>
      </c>
    </row>
    <row r="2380">
      <c r="A2380" s="2" t="s">
        <v>3673</v>
      </c>
      <c r="B2380" s="3" t="str">
        <f>IFERROR(__xludf.DUMMYFUNCTION("GOOGLETRANSLATE(A2380, ""ar"", ""bn"")"),"নিরানন্দ")</f>
        <v>নিরানন্দ</v>
      </c>
    </row>
    <row r="2381">
      <c r="A2381" s="2" t="s">
        <v>3514</v>
      </c>
      <c r="B2381" s="3" t="str">
        <f>IFERROR(__xludf.DUMMYFUNCTION("GOOGLETRANSLATE(A2381, ""ar"", ""bn"")"),"বাজে কথা")</f>
        <v>বাজে কথা</v>
      </c>
    </row>
    <row r="2382">
      <c r="A2382" s="2" t="s">
        <v>5016</v>
      </c>
      <c r="B2382" s="3" t="str">
        <f>IFERROR(__xludf.DUMMYFUNCTION("GOOGLETRANSLATE(A2382, ""ar"", ""bn"")"),"Drivelling")</f>
        <v>Drivelling</v>
      </c>
    </row>
    <row r="2383">
      <c r="A2383" s="2" t="s">
        <v>5017</v>
      </c>
      <c r="B2383" s="3" t="str">
        <f>IFERROR(__xludf.DUMMYFUNCTION("GOOGLETRANSLATE(A2383, ""ar"", ""bn"")"),"অর্থহীন")</f>
        <v>অর্থহীন</v>
      </c>
    </row>
    <row r="2384">
      <c r="A2384" s="2" t="s">
        <v>5018</v>
      </c>
      <c r="B2384" s="3" t="str">
        <f>IFERROR(__xludf.DUMMYFUNCTION("GOOGLETRANSLATE(A2384, ""ar"", ""bn"")"),"ঝুঁকিয়া পড়া")</f>
        <v>ঝুঁকিয়া পড়া</v>
      </c>
    </row>
    <row r="2385">
      <c r="A2385" s="2" t="s">
        <v>5019</v>
      </c>
      <c r="B2385" s="3" t="str">
        <f>IFERROR(__xludf.DUMMYFUNCTION("GOOGLETRANSLATE(A2385, ""ar"", ""bn"")"),"রেখে দিলাম")</f>
        <v>রেখে দিলাম</v>
      </c>
    </row>
    <row r="2386">
      <c r="A2386" s="2" t="s">
        <v>5020</v>
      </c>
      <c r="B2386" s="3" t="str">
        <f>IFERROR(__xludf.DUMMYFUNCTION("GOOGLETRANSLATE(A2386, ""ar"", ""bn"")"),"বক্রতা")</f>
        <v>বক্রতা</v>
      </c>
    </row>
    <row r="2387">
      <c r="A2387" s="2" t="s">
        <v>5021</v>
      </c>
      <c r="B2387" s="3" t="str">
        <f>IFERROR(__xludf.DUMMYFUNCTION("GOOGLETRANSLATE(A2387, ""ar"", ""bn"")"),"Sags")</f>
        <v>Sags</v>
      </c>
    </row>
    <row r="2388">
      <c r="A2388" s="2" t="s">
        <v>5022</v>
      </c>
      <c r="B2388" s="3" t="str">
        <f>IFERROR(__xludf.DUMMYFUNCTION("GOOGLETRANSLATE(A2388, ""ar"", ""bn"")"),"droopy")</f>
        <v>droopy</v>
      </c>
    </row>
    <row r="2389">
      <c r="A2389" s="2" t="s">
        <v>5023</v>
      </c>
      <c r="B2389" s="3" t="str">
        <f>IFERROR(__xludf.DUMMYFUNCTION("GOOGLETRANSLATE(A2389, ""ar"", ""bn"")"),"ড্রপ")</f>
        <v>ড্রপ</v>
      </c>
    </row>
    <row r="2390">
      <c r="A2390" s="2" t="s">
        <v>5024</v>
      </c>
      <c r="B2390" s="3" t="str">
        <f>IFERROR(__xludf.DUMMYFUNCTION("GOOGLETRANSLATE(A2390, ""ar"", ""bn"")"),"droplet হয়")</f>
        <v>droplet হয়</v>
      </c>
    </row>
    <row r="2391">
      <c r="A2391" s="2" t="s">
        <v>5025</v>
      </c>
      <c r="B2391" s="3" t="str">
        <f>IFERROR(__xludf.DUMMYFUNCTION("GOOGLETRANSLATE(A2391, ""ar"", ""bn"")"),"ড্রপ")</f>
        <v>ড্রপ</v>
      </c>
    </row>
    <row r="2392">
      <c r="A2392" s="2" t="s">
        <v>5026</v>
      </c>
      <c r="B2392" s="3" t="str">
        <f>IFERROR(__xludf.DUMMYFUNCTION("GOOGLETRANSLATE(A2392, ""ar"", ""bn"")"),"ফুটা হত্তয়া")</f>
        <v>ফুটা হত্তয়া</v>
      </c>
    </row>
    <row r="2393">
      <c r="A2393" s="2" t="s">
        <v>5027</v>
      </c>
      <c r="B2393" s="3" t="str">
        <f>IFERROR(__xludf.DUMMYFUNCTION("GOOGLETRANSLATE(A2393, ""ar"", ""bn"")"),"ড্রপ-আউট")</f>
        <v>ড্রপ-আউট</v>
      </c>
    </row>
    <row r="2394">
      <c r="A2394" s="2" t="s">
        <v>5028</v>
      </c>
      <c r="B2394" s="3" t="str">
        <f>IFERROR(__xludf.DUMMYFUNCTION("GOOGLETRANSLATE(A2394, ""ar"", ""bn"")"),"ড্রপ")</f>
        <v>ড্রপ</v>
      </c>
    </row>
    <row r="2395">
      <c r="A2395" s="2" t="s">
        <v>5029</v>
      </c>
      <c r="B2395" s="3" t="str">
        <f>IFERROR(__xludf.DUMMYFUNCTION("GOOGLETRANSLATE(A2395, ""ar"", ""bn"")"),"ড্রপার")</f>
        <v>ড্রপার</v>
      </c>
    </row>
    <row r="2396">
      <c r="A2396" s="2" t="s">
        <v>5030</v>
      </c>
      <c r="B2396" s="3" t="str">
        <f>IFERROR(__xludf.DUMMYFUNCTION("GOOGLETRANSLATE(A2396, ""ar"", ""bn"")"),"অভিক্ষেপ")</f>
        <v>অভিক্ষেপ</v>
      </c>
    </row>
    <row r="2397">
      <c r="A2397" s="2" t="s">
        <v>5031</v>
      </c>
      <c r="B2397" s="3" t="str">
        <f>IFERROR(__xludf.DUMMYFUNCTION("GOOGLETRANSLATE(A2397, ""ar"", ""bn"")"),"গোবর")</f>
        <v>গোবর</v>
      </c>
    </row>
    <row r="2398">
      <c r="A2398" s="2" t="s">
        <v>5025</v>
      </c>
      <c r="B2398" s="3" t="str">
        <f>IFERROR(__xludf.DUMMYFUNCTION("GOOGLETRANSLATE(A2398, ""ar"", ""bn"")"),"ড্রপ")</f>
        <v>ড্রপ</v>
      </c>
    </row>
    <row r="2399">
      <c r="A2399" s="2" t="s">
        <v>5032</v>
      </c>
      <c r="B2399" s="3" t="str">
        <f>IFERROR(__xludf.DUMMYFUNCTION("GOOGLETRANSLATE(A2399, ""ar"", ""bn"")"),"শোথ")</f>
        <v>শোথ</v>
      </c>
    </row>
    <row r="2400">
      <c r="A2400" s="2" t="s">
        <v>5033</v>
      </c>
      <c r="B2400" s="3" t="str">
        <f>IFERROR(__xludf.DUMMYFUNCTION("GOOGLETRANSLATE(A2400, ""ar"", ""bn"")"),"খরা")</f>
        <v>খরা</v>
      </c>
    </row>
    <row r="2401">
      <c r="A2401" s="2" t="s">
        <v>5034</v>
      </c>
      <c r="B2401" s="3" t="str">
        <f>IFERROR(__xludf.DUMMYFUNCTION("GOOGLETRANSLATE(A2401, ""ar"", ""bn"")"),"খরা")</f>
        <v>খরা</v>
      </c>
    </row>
    <row r="2402">
      <c r="A2402" s="2" t="s">
        <v>5035</v>
      </c>
      <c r="B2402" s="3" t="str">
        <f>IFERROR(__xludf.DUMMYFUNCTION("GOOGLETRANSLATE(A2402, ""ar"", ""bn"")"),"ডুবন্ত")</f>
        <v>ডুবন্ত</v>
      </c>
    </row>
    <row r="2403">
      <c r="A2403" s="2" t="s">
        <v>5035</v>
      </c>
      <c r="B2403" s="3" t="str">
        <f>IFERROR(__xludf.DUMMYFUNCTION("GOOGLETRANSLATE(A2403, ""ar"", ""bn"")"),"ডুবন্ত")</f>
        <v>ডুবন্ত</v>
      </c>
    </row>
    <row r="2404">
      <c r="A2404" s="2" t="s">
        <v>5035</v>
      </c>
      <c r="B2404" s="3" t="str">
        <f>IFERROR(__xludf.DUMMYFUNCTION("GOOGLETRANSLATE(A2404, ""ar"", ""bn"")"),"ডুবন্ত")</f>
        <v>ডুবন্ত</v>
      </c>
    </row>
    <row r="2405">
      <c r="A2405" s="2" t="s">
        <v>5036</v>
      </c>
      <c r="B2405" s="3" t="str">
        <f>IFERROR(__xludf.DUMMYFUNCTION("GOOGLETRANSLATE(A2405, ""ar"", ""bn"")"),"ডুবে")</f>
        <v>ডুবে</v>
      </c>
    </row>
    <row r="2406">
      <c r="A2406" s="2" t="s">
        <v>5037</v>
      </c>
      <c r="B2406" s="3" t="str">
        <f>IFERROR(__xludf.DUMMYFUNCTION("GOOGLETRANSLATE(A2406, ""ar"", ""bn"")"),"মজান")</f>
        <v>মজান</v>
      </c>
    </row>
    <row r="2407">
      <c r="A2407" s="2" t="s">
        <v>5038</v>
      </c>
      <c r="B2407" s="3" t="str">
        <f>IFERROR(__xludf.DUMMYFUNCTION("GOOGLETRANSLATE(A2407, ""ar"", ""bn"")"),"চটকা")</f>
        <v>চটকা</v>
      </c>
    </row>
    <row r="2408">
      <c r="A2408" s="2" t="s">
        <v>5039</v>
      </c>
      <c r="B2408" s="3" t="str">
        <f>IFERROR(__xludf.DUMMYFUNCTION("GOOGLETRANSLATE(A2408, ""ar"", ""bn"")"),"নিদ্রালু")</f>
        <v>নিদ্রালু</v>
      </c>
    </row>
    <row r="2409">
      <c r="A2409" s="2" t="s">
        <v>5040</v>
      </c>
      <c r="B2409" s="3" t="str">
        <f>IFERROR(__xludf.DUMMYFUNCTION("GOOGLETRANSLATE(A2409, ""ar"", ""bn"")"),"মাতাল")</f>
        <v>মাতাল</v>
      </c>
    </row>
    <row r="2410">
      <c r="A2410" s="2" t="s">
        <v>5041</v>
      </c>
      <c r="B2410" s="3" t="str">
        <f>IFERROR(__xludf.DUMMYFUNCTION("GOOGLETRANSLATE(A2410, ""ar"", ""bn"")"),"মাতাল")</f>
        <v>মাতাল</v>
      </c>
    </row>
    <row r="2411">
      <c r="A2411" s="2" t="s">
        <v>5042</v>
      </c>
      <c r="B2411" s="3" t="str">
        <f>IFERROR(__xludf.DUMMYFUNCTION("GOOGLETRANSLATE(A2411, ""ar"", ""bn"")"),"মাতালদের")</f>
        <v>মাতালদের</v>
      </c>
    </row>
    <row r="2412">
      <c r="A2412" s="2" t="s">
        <v>5043</v>
      </c>
      <c r="B2412" s="3" t="str">
        <f>IFERROR(__xludf.DUMMYFUNCTION("GOOGLETRANSLATE(A2412, ""ar"", ""bn"")"),"মাতাল")</f>
        <v>মাতাল</v>
      </c>
    </row>
    <row r="2413">
      <c r="A2413" s="2" t="s">
        <v>5044</v>
      </c>
      <c r="B2413" s="3" t="str">
        <f>IFERROR(__xludf.DUMMYFUNCTION("GOOGLETRANSLATE(A2413, ""ar"", ""bn"")"),"গসপেল")</f>
        <v>গসপেল</v>
      </c>
    </row>
    <row r="2414">
      <c r="A2414" s="2" t="s">
        <v>5045</v>
      </c>
      <c r="B2414" s="3" t="str">
        <f>IFERROR(__xludf.DUMMYFUNCTION("GOOGLETRANSLATE(A2414, ""ar"", ""bn"")"),"চিনি")</f>
        <v>চিনি</v>
      </c>
    </row>
    <row r="2415">
      <c r="A2415" s="2" t="s">
        <v>5040</v>
      </c>
      <c r="B2415" s="3" t="str">
        <f>IFERROR(__xludf.DUMMYFUNCTION("GOOGLETRANSLATE(A2415, ""ar"", ""bn"")"),"মাতাল")</f>
        <v>মাতাল</v>
      </c>
    </row>
    <row r="2416">
      <c r="A2416" s="2" t="s">
        <v>5046</v>
      </c>
      <c r="B2416" s="3" t="str">
        <f>IFERROR(__xludf.DUMMYFUNCTION("GOOGLETRANSLATE(A2416, ""ar"", ""bn"")"),"মদ্যপ")</f>
        <v>মদ্যপ</v>
      </c>
    </row>
    <row r="2417">
      <c r="A2417" s="2" t="s">
        <v>4991</v>
      </c>
      <c r="B2417" s="3" t="str">
        <f>IFERROR(__xludf.DUMMYFUNCTION("GOOGLETRANSLATE(A2417, ""ar"", ""bn"")"),"সন্দিহান")</f>
        <v>সন্দিহান</v>
      </c>
    </row>
    <row r="2418">
      <c r="A2418" s="2" t="s">
        <v>5047</v>
      </c>
      <c r="B2418" s="3" t="str">
        <f>IFERROR(__xludf.DUMMYFUNCTION("GOOGLETRANSLATE(A2418, ""ar"", ""bn"")"),"নিবন্ধন")</f>
        <v>নিবন্ধন</v>
      </c>
    </row>
    <row r="2419">
      <c r="A2419" s="2" t="s">
        <v>5048</v>
      </c>
      <c r="B2419" s="3" t="str">
        <f>IFERROR(__xludf.DUMMYFUNCTION("GOOGLETRANSLATE(A2419, ""ar"", ""bn"")"),"সন্দেহজনক")</f>
        <v>সন্দেহজনক</v>
      </c>
    </row>
    <row r="2420">
      <c r="A2420" s="2" t="s">
        <v>3764</v>
      </c>
      <c r="B2420" s="3" t="str">
        <f>IFERROR(__xludf.DUMMYFUNCTION("GOOGLETRANSLATE(A2420, ""ar"", ""bn"")"),"Boring")</f>
        <v>Boring</v>
      </c>
    </row>
    <row r="2421">
      <c r="A2421" s="2" t="s">
        <v>5049</v>
      </c>
      <c r="B2421" s="3" t="str">
        <f>IFERROR(__xludf.DUMMYFUNCTION("GOOGLETRANSLATE(A2421, ""ar"", ""bn"")"),"গাড়ল")</f>
        <v>গাড়ল</v>
      </c>
    </row>
    <row r="2422">
      <c r="A2422" s="2" t="s">
        <v>5050</v>
      </c>
      <c r="B2422" s="3" t="str">
        <f>IFERROR(__xludf.DUMMYFUNCTION("GOOGLETRANSLATE(A2422, ""ar"", ""bn"")"),"morons")</f>
        <v>morons</v>
      </c>
    </row>
    <row r="2423">
      <c r="A2423" s="2" t="s">
        <v>5051</v>
      </c>
      <c r="B2423" s="3" t="str">
        <f>IFERROR(__xludf.DUMMYFUNCTION("GOOGLETRANSLATE(A2423, ""ar"", ""bn"")"),"পোক্ত")</f>
        <v>পোক্ত</v>
      </c>
    </row>
    <row r="2424">
      <c r="A2424" s="2" t="s">
        <v>3764</v>
      </c>
      <c r="B2424" s="3" t="str">
        <f>IFERROR(__xludf.DUMMYFUNCTION("GOOGLETRANSLATE(A2424, ""ar"", ""bn"")"),"Boring")</f>
        <v>Boring</v>
      </c>
    </row>
    <row r="2425">
      <c r="A2425" s="2" t="s">
        <v>4745</v>
      </c>
      <c r="B2425" s="3" t="str">
        <f>IFERROR(__xludf.DUMMYFUNCTION("GOOGLETRANSLATE(A2425, ""ar"", ""bn"")"),"বিবর্ণ")</f>
        <v>বিবর্ণ</v>
      </c>
    </row>
    <row r="2426">
      <c r="A2426" s="2" t="s">
        <v>5052</v>
      </c>
      <c r="B2426" s="3" t="str">
        <f>IFERROR(__xludf.DUMMYFUNCTION("GOOGLETRANSLATE(A2426, ""ar"", ""bn"")"),"Blankness")</f>
        <v>Blankness</v>
      </c>
    </row>
    <row r="2427">
      <c r="A2427" s="2" t="s">
        <v>5053</v>
      </c>
      <c r="B2427" s="3" t="str">
        <f>IFERROR(__xludf.DUMMYFUNCTION("GOOGLETRANSLATE(A2427, ""ar"", ""bn"")"),"নিষ্প্রভতা")</f>
        <v>নিষ্প্রভতা</v>
      </c>
    </row>
    <row r="2428">
      <c r="A2428" s="2" t="s">
        <v>5054</v>
      </c>
      <c r="B2428" s="3" t="str">
        <f>IFERROR(__xludf.DUMMYFUNCTION("GOOGLETRANSLATE(A2428, ""ar"", ""bn"")"),"Dulls")</f>
        <v>Dulls</v>
      </c>
    </row>
    <row r="2429">
      <c r="A2429" s="2" t="s">
        <v>5055</v>
      </c>
      <c r="B2429" s="3" t="str">
        <f>IFERROR(__xludf.DUMMYFUNCTION("GOOGLETRANSLATE(A2429, ""ar"", ""bn"")"),"যথাবৎ")</f>
        <v>যথাবৎ</v>
      </c>
    </row>
    <row r="2430">
      <c r="A2430" s="2" t="s">
        <v>4449</v>
      </c>
      <c r="B2430" s="3" t="str">
        <f>IFERROR(__xludf.DUMMYFUNCTION("GOOGLETRANSLATE(A2430, ""ar"", ""bn"")"),"মূক")</f>
        <v>মূক</v>
      </c>
    </row>
    <row r="2431">
      <c r="A2431" s="2" t="s">
        <v>5056</v>
      </c>
      <c r="B2431" s="3" t="str">
        <f>IFERROR(__xludf.DUMMYFUNCTION("GOOGLETRANSLATE(A2431, ""ar"", ""bn"")"),"dumbbells")</f>
        <v>dumbbells</v>
      </c>
    </row>
    <row r="2432">
      <c r="A2432" s="2" t="s">
        <v>5057</v>
      </c>
      <c r="B2432" s="3" t="str">
        <f>IFERROR(__xludf.DUMMYFUNCTION("GOOGLETRANSLATE(A2432, ""ar"", ""bn"")"),"নির্বুদ্ধিতা")</f>
        <v>নির্বুদ্ধিতা</v>
      </c>
    </row>
    <row r="2433">
      <c r="A2433" s="2" t="s">
        <v>5058</v>
      </c>
      <c r="B2433" s="3" t="str">
        <f>IFERROR(__xludf.DUMMYFUNCTION("GOOGLETRANSLATE(A2433, ""ar"", ""bn"")"),"dumbest")</f>
        <v>dumbest</v>
      </c>
    </row>
    <row r="2434">
      <c r="A2434" s="2" t="s">
        <v>5059</v>
      </c>
      <c r="B2434" s="3" t="str">
        <f>IFERROR(__xludf.DUMMYFUNCTION("GOOGLETRANSLATE(A2434, ""ar"", ""bn"")"),"অচেতন")</f>
        <v>অচেতন</v>
      </c>
    </row>
    <row r="2435">
      <c r="A2435" s="2" t="s">
        <v>5059</v>
      </c>
      <c r="B2435" s="3" t="str">
        <f>IFERROR(__xludf.DUMMYFUNCTION("GOOGLETRANSLATE(A2435, ""ar"", ""bn"")"),"অচেতন")</f>
        <v>অচেতন</v>
      </c>
    </row>
    <row r="2436">
      <c r="A2436" s="2" t="s">
        <v>5060</v>
      </c>
      <c r="B2436" s="3" t="str">
        <f>IFERROR(__xludf.DUMMYFUNCTION("GOOGLETRANSLATE(A2436, ""ar"", ""bn"")"),"আশ্চর্যজনক")</f>
        <v>আশ্চর্যজনক</v>
      </c>
    </row>
    <row r="2437">
      <c r="A2437" s="2" t="s">
        <v>5061</v>
      </c>
      <c r="B2437" s="3" t="str">
        <f>IFERROR(__xludf.DUMMYFUNCTION("GOOGLETRANSLATE(A2437, ""ar"", ""bn"")"),"Fulgurate")</f>
        <v>Fulgurate</v>
      </c>
    </row>
    <row r="2438">
      <c r="A2438" s="2" t="s">
        <v>5062</v>
      </c>
      <c r="B2438" s="3" t="str">
        <f>IFERROR(__xludf.DUMMYFUNCTION("GOOGLETRANSLATE(A2438, ""ar"", ""bn"")"),"চুপ কর")</f>
        <v>চুপ কর</v>
      </c>
    </row>
    <row r="2439">
      <c r="A2439" s="2" t="s">
        <v>5063</v>
      </c>
      <c r="B2439" s="3" t="str">
        <f>IFERROR(__xludf.DUMMYFUNCTION("GOOGLETRANSLATE(A2439, ""ar"", ""bn"")"),"Dumbness")</f>
        <v>Dumbness</v>
      </c>
    </row>
    <row r="2440">
      <c r="A2440" s="2" t="s">
        <v>5064</v>
      </c>
      <c r="B2440" s="3" t="str">
        <f>IFERROR(__xludf.DUMMYFUNCTION("GOOGLETRANSLATE(A2440, ""ar"", ""bn"")"),"হতবুদ্ধি হয়ে")</f>
        <v>হতবুদ্ধি হয়ে</v>
      </c>
    </row>
    <row r="2441">
      <c r="A2441" s="2" t="s">
        <v>5065</v>
      </c>
      <c r="B2441" s="3" t="str">
        <f>IFERROR(__xludf.DUMMYFUNCTION("GOOGLETRANSLATE(A2441, ""ar"", ""bn"")"),"অপচয়")</f>
        <v>অপচয়</v>
      </c>
    </row>
    <row r="2442">
      <c r="A2442" s="2" t="s">
        <v>5066</v>
      </c>
      <c r="B2442" s="3" t="str">
        <f>IFERROR(__xludf.DUMMYFUNCTION("GOOGLETRANSLATE(A2442, ""ar"", ""bn"")"),"ডাম্প")</f>
        <v>ডাম্প</v>
      </c>
    </row>
    <row r="2443">
      <c r="A2443" s="2" t="s">
        <v>5067</v>
      </c>
      <c r="B2443" s="3" t="str">
        <f>IFERROR(__xludf.DUMMYFUNCTION("GOOGLETRANSLATE(A2443, ""ar"", ""bn"")"),"টিপার ট্রাক")</f>
        <v>টিপার ট্রাক</v>
      </c>
    </row>
    <row r="2444">
      <c r="A2444" s="2" t="s">
        <v>5068</v>
      </c>
      <c r="B2444" s="3" t="str">
        <f>IFERROR(__xludf.DUMMYFUNCTION("GOOGLETRANSLATE(A2444, ""ar"", ""bn"")"),"ডাম্পিং")</f>
        <v>ডাম্পিং</v>
      </c>
    </row>
    <row r="2445">
      <c r="A2445" s="2" t="s">
        <v>5069</v>
      </c>
      <c r="B2445" s="3" t="str">
        <f>IFERROR(__xludf.DUMMYFUNCTION("GOOGLETRANSLATE(A2445, ""ar"", ""bn"")"),"প্যানকেক")</f>
        <v>প্যানকেক</v>
      </c>
    </row>
    <row r="2446">
      <c r="A2446" s="2" t="s">
        <v>5070</v>
      </c>
      <c r="B2446" s="3" t="str">
        <f>IFERROR(__xludf.DUMMYFUNCTION("GOOGLETRANSLATE(A2446, ""ar"", ""bn"")"),"dumplings")</f>
        <v>dumplings</v>
      </c>
    </row>
    <row r="2447">
      <c r="A2447" s="2" t="s">
        <v>5071</v>
      </c>
      <c r="B2447" s="3" t="str">
        <f>IFERROR(__xludf.DUMMYFUNCTION("GOOGLETRANSLATE(A2447, ""ar"", ""bn"")"),"আবর্জনা")</f>
        <v>আবর্জনা</v>
      </c>
    </row>
    <row r="2448">
      <c r="A2448" s="2" t="s">
        <v>5072</v>
      </c>
      <c r="B2448" s="3" t="str">
        <f>IFERROR(__xludf.DUMMYFUNCTION("GOOGLETRANSLATE(A2448, ""ar"", ""bn"")"),"খেটে")</f>
        <v>খেটে</v>
      </c>
    </row>
    <row r="2449">
      <c r="A2449" s="2" t="s">
        <v>5073</v>
      </c>
      <c r="B2449" s="3" t="str">
        <f>IFERROR(__xludf.DUMMYFUNCTION("GOOGLETRANSLATE(A2449, ""ar"", ""bn"")"),"মূঢ়")</f>
        <v>মূঢ়</v>
      </c>
    </row>
    <row r="2450">
      <c r="A2450" s="2" t="s">
        <v>5050</v>
      </c>
      <c r="B2450" s="3" t="str">
        <f>IFERROR(__xludf.DUMMYFUNCTION("GOOGLETRANSLATE(A2450, ""ar"", ""bn"")"),"morons")</f>
        <v>morons</v>
      </c>
    </row>
    <row r="2451">
      <c r="A2451" s="2" t="s">
        <v>5074</v>
      </c>
      <c r="B2451" s="3" t="str">
        <f>IFERROR(__xludf.DUMMYFUNCTION("GOOGLETRANSLATE(A2451, ""ar"", ""bn"")"),"কারাকক্ষ")</f>
        <v>কারাকক্ষ</v>
      </c>
    </row>
    <row r="2452">
      <c r="A2452" s="2" t="s">
        <v>5075</v>
      </c>
      <c r="B2452" s="3" t="str">
        <f>IFERROR(__xludf.DUMMYFUNCTION("GOOGLETRANSLATE(A2452, ""ar"", ""bn"")"),"dungeons")</f>
        <v>dungeons</v>
      </c>
    </row>
    <row r="2453">
      <c r="A2453" s="2" t="s">
        <v>5076</v>
      </c>
      <c r="B2453" s="3" t="str">
        <f>IFERROR(__xludf.DUMMYFUNCTION("GOOGLETRANSLATE(A2453, ""ar"", ""bn"")"),"দায়িত্ব")</f>
        <v>দায়িত্ব</v>
      </c>
    </row>
    <row r="2454">
      <c r="A2454" s="2" t="s">
        <v>5077</v>
      </c>
      <c r="B2454" s="3" t="str">
        <f>IFERROR(__xludf.DUMMYFUNCTION("GOOGLETRANSLATE(A2454, ""ar"", ""bn"")"),"লাইভ দেখান")</f>
        <v>লাইভ দেখান</v>
      </c>
    </row>
    <row r="2455">
      <c r="A2455" s="2" t="s">
        <v>5078</v>
      </c>
      <c r="B2455" s="3" t="str">
        <f>IFERROR(__xludf.DUMMYFUNCTION("GOOGLETRANSLATE(A2455, ""ar"", ""bn"")"),"বাসস্থান")</f>
        <v>বাসস্থান</v>
      </c>
    </row>
    <row r="2456">
      <c r="A2456" s="2" t="s">
        <v>5079</v>
      </c>
      <c r="B2456" s="3" t="str">
        <f>IFERROR(__xludf.DUMMYFUNCTION("GOOGLETRANSLATE(A2456, ""ar"", ""bn"")"),"বাসিন্দা")</f>
        <v>বাসিন্দা</v>
      </c>
    </row>
    <row r="2457">
      <c r="A2457" s="2" t="s">
        <v>5080</v>
      </c>
      <c r="B2457" s="3" t="str">
        <f>IFERROR(__xludf.DUMMYFUNCTION("GOOGLETRANSLATE(A2457, ""ar"", ""bn"")"),"জনসংখ্যা")</f>
        <v>জনসংখ্যা</v>
      </c>
    </row>
    <row r="2458">
      <c r="A2458" s="2" t="s">
        <v>5078</v>
      </c>
      <c r="B2458" s="3" t="str">
        <f>IFERROR(__xludf.DUMMYFUNCTION("GOOGLETRANSLATE(A2458, ""ar"", ""bn"")"),"বাসস্থান")</f>
        <v>বাসস্থান</v>
      </c>
    </row>
    <row r="2459">
      <c r="A2459" s="2" t="s">
        <v>5081</v>
      </c>
      <c r="B2459" s="3" t="str">
        <f>IFERROR(__xludf.DUMMYFUNCTION("GOOGLETRANSLATE(A2459, ""ar"", ""bn"")"),"হাউজিং")</f>
        <v>হাউজিং</v>
      </c>
    </row>
    <row r="2460">
      <c r="A2460" s="2" t="s">
        <v>5077</v>
      </c>
      <c r="B2460" s="3" t="str">
        <f>IFERROR(__xludf.DUMMYFUNCTION("GOOGLETRANSLATE(A2460, ""ar"", ""bn"")"),"লাইভ দেখান")</f>
        <v>লাইভ দেখান</v>
      </c>
    </row>
    <row r="2461">
      <c r="A2461" s="2" t="s">
        <v>5082</v>
      </c>
      <c r="B2461" s="3" t="str">
        <f>IFERROR(__xludf.DUMMYFUNCTION("GOOGLETRANSLATE(A2461, ""ar"", ""bn"")"),"ক্ষীণ হত্তয়া")</f>
        <v>ক্ষীণ হত্তয়া</v>
      </c>
    </row>
    <row r="2462">
      <c r="A2462" s="2" t="s">
        <v>4739</v>
      </c>
      <c r="B2462" s="3" t="str">
        <f>IFERROR(__xludf.DUMMYFUNCTION("GOOGLETRANSLATE(A2462, ""ar"", ""bn"")"),"কমান")</f>
        <v>কমান</v>
      </c>
    </row>
    <row r="2463">
      <c r="A2463" s="2" t="s">
        <v>5083</v>
      </c>
      <c r="B2463" s="3" t="str">
        <f>IFERROR(__xludf.DUMMYFUNCTION("GOOGLETRANSLATE(A2463, ""ar"", ""bn"")"),"ক্ষীণ হত্তয়া")</f>
        <v>ক্ষীণ হত্তয়া</v>
      </c>
    </row>
    <row r="2464">
      <c r="A2464" s="2" t="s">
        <v>5084</v>
      </c>
      <c r="B2464" s="3" t="str">
        <f>IFERROR(__xludf.DUMMYFUNCTION("GOOGLETRANSLATE(A2464, ""ar"", ""bn"")"),"মরণ")</f>
        <v>মরণ</v>
      </c>
    </row>
    <row r="2465">
      <c r="A2465" s="2" t="s">
        <v>4250</v>
      </c>
      <c r="B2465" s="3" t="str">
        <f>IFERROR(__xludf.DUMMYFUNCTION("GOOGLETRANSLATE(A2465, ""ar"", ""bn"")"),"অদ্ভুত")</f>
        <v>অদ্ভুত</v>
      </c>
    </row>
    <row r="2466">
      <c r="A2466" s="2" t="s">
        <v>5085</v>
      </c>
      <c r="B2466" s="3" t="str">
        <f>IFERROR(__xludf.DUMMYFUNCTION("GOOGLETRANSLATE(A2466, ""ar"", ""bn"")"),"Eccentrically")</f>
        <v>Eccentrically</v>
      </c>
    </row>
    <row r="2467">
      <c r="A2467" s="2" t="s">
        <v>5086</v>
      </c>
      <c r="B2467" s="3" t="str">
        <f>IFERROR(__xludf.DUMMYFUNCTION("GOOGLETRANSLATE(A2467, ""ar"", ""bn"")"),"Pixilation")</f>
        <v>Pixilation</v>
      </c>
    </row>
    <row r="2468">
      <c r="A2468" s="2" t="s">
        <v>3181</v>
      </c>
      <c r="B2468" s="3" t="str">
        <f>IFERROR(__xludf.DUMMYFUNCTION("GOOGLETRANSLATE(A2468, ""ar"", ""bn"")"),"অস্বাভাবিকতা")</f>
        <v>অস্বাভাবিকতা</v>
      </c>
    </row>
    <row r="2469">
      <c r="A2469" s="2" t="s">
        <v>5087</v>
      </c>
      <c r="B2469" s="3" t="str">
        <f>IFERROR(__xludf.DUMMYFUNCTION("GOOGLETRANSLATE(A2469, ""ar"", ""bn"")"),"পাগলাটে গবেষক")</f>
        <v>পাগলাটে গবেষক</v>
      </c>
    </row>
    <row r="2470">
      <c r="A2470" s="2" t="s">
        <v>3181</v>
      </c>
      <c r="B2470" s="3" t="str">
        <f>IFERROR(__xludf.DUMMYFUNCTION("GOOGLETRANSLATE(A2470, ""ar"", ""bn"")"),"অস্বাভাবিকতা")</f>
        <v>অস্বাভাবিকতা</v>
      </c>
    </row>
    <row r="2471">
      <c r="A2471" s="2" t="s">
        <v>5088</v>
      </c>
      <c r="B2471" s="3" t="str">
        <f>IFERROR(__xludf.DUMMYFUNCTION("GOOGLETRANSLATE(A2471, ""ar"", ""bn"")"),"আত্মম্ভরিতা")</f>
        <v>আত্মম্ভরিতা</v>
      </c>
    </row>
    <row r="2472">
      <c r="A2472" s="2" t="s">
        <v>5089</v>
      </c>
      <c r="B2472" s="3" t="str">
        <f>IFERROR(__xludf.DUMMYFUNCTION("GOOGLETRANSLATE(A2472, ""ar"", ""bn"")"),"স্বার্থপর")</f>
        <v>স্বার্থপর</v>
      </c>
    </row>
    <row r="2473">
      <c r="A2473" s="2" t="s">
        <v>5090</v>
      </c>
      <c r="B2473" s="3" t="str">
        <f>IFERROR(__xludf.DUMMYFUNCTION("GOOGLETRANSLATE(A2473, ""ar"", ""bn"")"),"স্বার্থপর")</f>
        <v>স্বার্থপর</v>
      </c>
    </row>
    <row r="2474">
      <c r="A2474" s="2" t="s">
        <v>4043</v>
      </c>
      <c r="B2474" s="3" t="str">
        <f>IFERROR(__xludf.DUMMYFUNCTION("GOOGLETRANSLATE(A2474, ""ar"", ""bn"")"),"ধৃষ্ট")</f>
        <v>ধৃষ্ট</v>
      </c>
    </row>
    <row r="2475">
      <c r="A2475" s="2" t="s">
        <v>5091</v>
      </c>
      <c r="B2475" s="3" t="str">
        <f>IFERROR(__xludf.DUMMYFUNCTION("GOOGLETRANSLATE(A2475, ""ar"", ""bn"")"),"অথবা stickling প্রতিহত")</f>
        <v>অথবা stickling প্রতিহত</v>
      </c>
    </row>
    <row r="2476">
      <c r="A2476" s="2" t="s">
        <v>5092</v>
      </c>
      <c r="B2476" s="3" t="str">
        <f>IFERROR(__xludf.DUMMYFUNCTION("GOOGLETRANSLATE(A2476, ""ar"", ""bn"")"),"Amoruron")</f>
        <v>Amoruron</v>
      </c>
    </row>
    <row r="2477">
      <c r="A2477" s="2" t="s">
        <v>5093</v>
      </c>
      <c r="B2477" s="3" t="str">
        <f>IFERROR(__xludf.DUMMYFUNCTION("GOOGLETRANSLATE(A2477, ""ar"", ""bn"")"),"বর্জন")</f>
        <v>বর্জন</v>
      </c>
    </row>
    <row r="2478">
      <c r="A2478" s="2" t="s">
        <v>5093</v>
      </c>
      <c r="B2478" s="3" t="str">
        <f>IFERROR(__xludf.DUMMYFUNCTION("GOOGLETRANSLATE(A2478, ""ar"", ""bn"")"),"বর্জন")</f>
        <v>বর্জন</v>
      </c>
    </row>
    <row r="2479">
      <c r="A2479" s="2" t="s">
        <v>5094</v>
      </c>
      <c r="B2479" s="3" t="str">
        <f>IFERROR(__xludf.DUMMYFUNCTION("GOOGLETRANSLATE(A2479, ""ar"", ""bn"")"),"অপসারণ")</f>
        <v>অপসারণ</v>
      </c>
    </row>
    <row r="2480">
      <c r="A2480" s="2" t="s">
        <v>5095</v>
      </c>
      <c r="B2480" s="3" t="str">
        <f>IFERROR(__xludf.DUMMYFUNCTION("GOOGLETRANSLATE(A2480, ""ar"", ""bn"")"),"অপসারণ")</f>
        <v>অপসারণ</v>
      </c>
    </row>
    <row r="2481">
      <c r="A2481" s="2" t="s">
        <v>5096</v>
      </c>
      <c r="B2481" s="3" t="str">
        <f>IFERROR(__xludf.DUMMYFUNCTION("GOOGLETRANSLATE(A2481, ""ar"", ""bn"")"),"যোগ্যতা")</f>
        <v>যোগ্যতা</v>
      </c>
    </row>
    <row r="2482">
      <c r="A2482" s="2" t="s">
        <v>4146</v>
      </c>
      <c r="B2482" s="3" t="str">
        <f>IFERROR(__xludf.DUMMYFUNCTION("GOOGLETRANSLATE(A2482, ""ar"", ""bn"")"),"অঙ্গবিক্ষেপ")</f>
        <v>অঙ্গবিক্ষেপ</v>
      </c>
    </row>
    <row r="2483">
      <c r="A2483" s="2" t="s">
        <v>5097</v>
      </c>
      <c r="B2483" s="3" t="str">
        <f>IFERROR(__xludf.DUMMYFUNCTION("GOOGLETRANSLATE(A2483, ""ar"", ""bn"")"),"ভীতু")</f>
        <v>ভীতু</v>
      </c>
    </row>
    <row r="2484">
      <c r="A2484" s="2" t="s">
        <v>5098</v>
      </c>
      <c r="B2484" s="3" t="str">
        <f>IFERROR(__xludf.DUMMYFUNCTION("GOOGLETRANSLATE(A2484, ""ar"", ""bn"")"),"বিব্রত")</f>
        <v>বিব্রত</v>
      </c>
    </row>
    <row r="2485">
      <c r="A2485" s="2" t="s">
        <v>3305</v>
      </c>
      <c r="B2485" s="3" t="str">
        <f>IFERROR(__xludf.DUMMYFUNCTION("GOOGLETRANSLATE(A2485, ""ar"", ""bn"")"),"বিভ্রান্তিকর")</f>
        <v>বিভ্রান্তিকর</v>
      </c>
    </row>
    <row r="2486">
      <c r="A2486" s="2" t="s">
        <v>5099</v>
      </c>
      <c r="B2486" s="3" t="str">
        <f>IFERROR(__xludf.DUMMYFUNCTION("GOOGLETRANSLATE(A2486, ""ar"", ""bn"")"),"embarrassingly")</f>
        <v>embarrassingly</v>
      </c>
    </row>
    <row r="2487">
      <c r="A2487" s="2" t="s">
        <v>3637</v>
      </c>
      <c r="B2487" s="3" t="str">
        <f>IFERROR(__xludf.DUMMYFUNCTION("GOOGLETRANSLATE(A2487, ""ar"", ""bn"")"),"বিশৃঙ্খলা")</f>
        <v>বিশৃঙ্খলা</v>
      </c>
    </row>
    <row r="2488">
      <c r="A2488" s="2" t="s">
        <v>5100</v>
      </c>
      <c r="B2488" s="3" t="str">
        <f>IFERROR(__xludf.DUMMYFUNCTION("GOOGLETRANSLATE(A2488, ""ar"", ""bn"")"),"মনোভাবও বিব্রতকর")</f>
        <v>মনোভাবও বিব্রতকর</v>
      </c>
    </row>
    <row r="2489">
      <c r="A2489" s="2" t="s">
        <v>5101</v>
      </c>
      <c r="B2489" s="3" t="str">
        <f>IFERROR(__xludf.DUMMYFUNCTION("GOOGLETRANSLATE(A2489, ""ar"", ""bn"")"),"জরুরী ক্ষেত্রে")</f>
        <v>জরুরী ক্ষেত্রে</v>
      </c>
    </row>
    <row r="2490">
      <c r="A2490" s="2" t="s">
        <v>860</v>
      </c>
      <c r="B2490" s="3" t="str">
        <f>IFERROR(__xludf.DUMMYFUNCTION("GOOGLETRANSLATE(A2490, ""ar"", ""bn"")"),"জরুরি অবস্থা")</f>
        <v>জরুরি অবস্থা</v>
      </c>
    </row>
    <row r="2491">
      <c r="A2491" s="2" t="s">
        <v>5102</v>
      </c>
      <c r="B2491" s="3" t="str">
        <f>IFERROR(__xludf.DUMMYFUNCTION("GOOGLETRANSLATE(A2491, ""ar"", ""bn"")"),"কামুক")</f>
        <v>কামুক</v>
      </c>
    </row>
    <row r="2492">
      <c r="A2492" s="2" t="s">
        <v>5103</v>
      </c>
      <c r="B2492" s="3" t="str">
        <f>IFERROR(__xludf.DUMMYFUNCTION("GOOGLETRANSLATE(A2492, ""ar"", ""bn"")"),"আবেগপ্রবণ")</f>
        <v>আবেগপ্রবণ</v>
      </c>
    </row>
    <row r="2493">
      <c r="A2493" s="2" t="s">
        <v>5104</v>
      </c>
      <c r="B2493" s="3" t="str">
        <f>IFERROR(__xludf.DUMMYFUNCTION("GOOGLETRANSLATE(A2493, ""ar"", ""bn"")"),"Emotionality")</f>
        <v>Emotionality</v>
      </c>
    </row>
    <row r="2494">
      <c r="A2494" s="2" t="s">
        <v>5105</v>
      </c>
      <c r="B2494" s="3" t="str">
        <f>IFERROR(__xludf.DUMMYFUNCTION("GOOGLETRANSLATE(A2494, ""ar"", ""bn"")"),"Sentimentally")</f>
        <v>Sentimentally</v>
      </c>
    </row>
    <row r="2495">
      <c r="A2495" s="2" t="s">
        <v>5106</v>
      </c>
      <c r="B2495" s="3" t="str">
        <f>IFERROR(__xludf.DUMMYFUNCTION("GOOGLETRANSLATE(A2495, ""ar"", ""bn"")"),"খালি")</f>
        <v>খালি</v>
      </c>
    </row>
    <row r="2496">
      <c r="A2496" s="2" t="s">
        <v>4830</v>
      </c>
      <c r="B2496" s="3" t="str">
        <f>IFERROR(__xludf.DUMMYFUNCTION("GOOGLETRANSLATE(A2496, ""ar"", ""bn"")"),"অপসারণ")</f>
        <v>অপসারণ</v>
      </c>
    </row>
    <row r="2497">
      <c r="A2497" s="2" t="s">
        <v>5107</v>
      </c>
      <c r="B2497" s="3" t="str">
        <f>IFERROR(__xludf.DUMMYFUNCTION("GOOGLETRANSLATE(A2497, ""ar"", ""bn"")"),"বাঁধিবার জিনিসপত্র")</f>
        <v>বাঁধিবার জিনিসপত্র</v>
      </c>
    </row>
    <row r="2498">
      <c r="A2498" s="2" t="s">
        <v>5108</v>
      </c>
      <c r="B2498" s="3" t="str">
        <f>IFERROR(__xludf.DUMMYFUNCTION("GOOGLETRANSLATE(A2498, ""ar"", ""bn"")"),"শূন্যস্থান")</f>
        <v>শূন্যস্থান</v>
      </c>
    </row>
    <row r="2499">
      <c r="A2499" s="2" t="s">
        <v>5109</v>
      </c>
      <c r="B2499" s="3" t="str">
        <f>IFERROR(__xludf.DUMMYFUNCTION("GOOGLETRANSLATE(A2499, ""ar"", ""bn"")"),"শূন্যস্থান")</f>
        <v>শূন্যস্থান</v>
      </c>
    </row>
    <row r="2500">
      <c r="A2500" s="2" t="s">
        <v>5110</v>
      </c>
      <c r="B2500" s="3" t="str">
        <f>IFERROR(__xludf.DUMMYFUNCTION("GOOGLETRANSLATE(A2500, ""ar"", ""bn"")"),"খালি")</f>
        <v>খালি</v>
      </c>
    </row>
    <row r="2501">
      <c r="A2501" s="2" t="s">
        <v>4830</v>
      </c>
      <c r="B2501" s="3" t="str">
        <f>IFERROR(__xludf.DUMMYFUNCTION("GOOGLETRANSLATE(A2501, ""ar"", ""bn"")"),"অপসারণ")</f>
        <v>অপসারণ</v>
      </c>
    </row>
    <row r="2502">
      <c r="A2502" s="2" t="s">
        <v>5109</v>
      </c>
      <c r="B2502" s="3" t="str">
        <f>IFERROR(__xludf.DUMMYFUNCTION("GOOGLETRANSLATE(A2502, ""ar"", ""bn"")"),"শূন্যস্থান")</f>
        <v>শূন্যস্থান</v>
      </c>
    </row>
    <row r="2503">
      <c r="A2503" s="2" t="s">
        <v>5111</v>
      </c>
      <c r="B2503" s="3" t="str">
        <f>IFERROR(__xludf.DUMMYFUNCTION("GOOGLETRANSLATE(A2503, ""ar"", ""bn"")"),"পদদলিত করা")</f>
        <v>পদদলিত করা</v>
      </c>
    </row>
    <row r="2504">
      <c r="A2504" s="2" t="s">
        <v>5112</v>
      </c>
      <c r="B2504" s="3" t="str">
        <f>IFERROR(__xludf.DUMMYFUNCTION("GOOGLETRANSLATE(A2504, ""ar"", ""bn"")"),"অতিক্রম করেছে")</f>
        <v>অতিক্রম করেছে</v>
      </c>
    </row>
    <row r="2505">
      <c r="A2505" s="2" t="s">
        <v>5113</v>
      </c>
      <c r="B2505" s="3" t="str">
        <f>IFERROR(__xludf.DUMMYFUNCTION("GOOGLETRANSLATE(A2505, ""ar"", ""bn"")"),"ঝরছে")</f>
        <v>ঝরছে</v>
      </c>
    </row>
    <row r="2506">
      <c r="A2506" s="2" t="s">
        <v>5114</v>
      </c>
      <c r="B2506" s="3" t="str">
        <f>IFERROR(__xludf.DUMMYFUNCTION("GOOGLETRANSLATE(A2506, ""ar"", ""bn"")"),"আক্রমণ")</f>
        <v>আক্রমণ</v>
      </c>
    </row>
    <row r="2507">
      <c r="A2507" s="2" t="s">
        <v>5115</v>
      </c>
      <c r="B2507" s="3" t="str">
        <f>IFERROR(__xludf.DUMMYFUNCTION("GOOGLETRANSLATE(A2507, ""ar"", ""bn"")"),"ভঙ্গ")</f>
        <v>ভঙ্গ</v>
      </c>
    </row>
    <row r="2508">
      <c r="A2508" s="2" t="s">
        <v>5116</v>
      </c>
      <c r="B2508" s="3" t="str">
        <f>IFERROR(__xludf.DUMMYFUNCTION("GOOGLETRANSLATE(A2508, ""ar"", ""bn"")"),"দখলমুক্ত")</f>
        <v>দখলমুক্ত</v>
      </c>
    </row>
    <row r="2509">
      <c r="A2509" s="2" t="s">
        <v>5117</v>
      </c>
      <c r="B2509" s="3" t="str">
        <f>IFERROR(__xludf.DUMMYFUNCTION("GOOGLETRANSLATE(A2509, ""ar"", ""bn"")"),"বিপদ থেকে অনাবৃত")</f>
        <v>বিপদ থেকে অনাবৃত</v>
      </c>
    </row>
    <row r="2510">
      <c r="A2510" s="2" t="s">
        <v>5118</v>
      </c>
      <c r="B2510" s="3" t="str">
        <f>IFERROR(__xludf.DUMMYFUNCTION("GOOGLETRANSLATE(A2510, ""ar"", ""bn"")"),"বিপদগ্রস্থ")</f>
        <v>বিপদগ্রস্থ</v>
      </c>
    </row>
    <row r="2511">
      <c r="A2511" s="2" t="s">
        <v>5119</v>
      </c>
      <c r="B2511" s="3" t="str">
        <f>IFERROR(__xludf.DUMMYFUNCTION("GOOGLETRANSLATE(A2511, ""ar"", ""bn"")"),"প্রকাশ")</f>
        <v>প্রকাশ</v>
      </c>
    </row>
    <row r="2512">
      <c r="A2512" s="2" t="s">
        <v>5120</v>
      </c>
      <c r="B2512" s="3" t="str">
        <f>IFERROR(__xludf.DUMMYFUNCTION("GOOGLETRANSLATE(A2512, ""ar"", ""bn"")"),"হুমকি")</f>
        <v>হুমকি</v>
      </c>
    </row>
    <row r="2513">
      <c r="A2513" s="2" t="s">
        <v>5121</v>
      </c>
      <c r="B2513" s="3" t="str">
        <f>IFERROR(__xludf.DUMMYFUNCTION("GOOGLETRANSLATE(A2513, ""ar"", ""bn"")"),"শত্রু")</f>
        <v>শত্রু</v>
      </c>
    </row>
    <row r="2514">
      <c r="A2514" s="2" t="s">
        <v>5122</v>
      </c>
      <c r="B2514" s="3" t="str">
        <f>IFERROR(__xludf.DUMMYFUNCTION("GOOGLETRANSLATE(A2514, ""ar"", ""bn"")"),"শত্রু")</f>
        <v>শত্রু</v>
      </c>
    </row>
    <row r="2515">
      <c r="A2515" s="2" t="s">
        <v>5123</v>
      </c>
      <c r="B2515" s="3" t="str">
        <f>IFERROR(__xludf.DUMMYFUNCTION("GOOGLETRANSLATE(A2515, ""ar"", ""bn"")"),"আরোপ করা")</f>
        <v>আরোপ করা</v>
      </c>
    </row>
    <row r="2516">
      <c r="A2516" s="2" t="s">
        <v>5124</v>
      </c>
      <c r="B2516" s="3" t="str">
        <f>IFERROR(__xludf.DUMMYFUNCTION("GOOGLETRANSLATE(A2516, ""ar"", ""bn"")"),"প্রয়োগ")</f>
        <v>প্রয়োগ</v>
      </c>
    </row>
    <row r="2517">
      <c r="A2517" s="2" t="s">
        <v>5125</v>
      </c>
      <c r="B2517" s="3" t="str">
        <f>IFERROR(__xludf.DUMMYFUNCTION("GOOGLETRANSLATE(A2517, ""ar"", ""bn"")"),"শক্য")</f>
        <v>শক্য</v>
      </c>
    </row>
    <row r="2518">
      <c r="A2518" s="2" t="s">
        <v>5126</v>
      </c>
      <c r="B2518" s="3" t="str">
        <f>IFERROR(__xludf.DUMMYFUNCTION("GOOGLETRANSLATE(A2518, ""ar"", ""bn"")"),"জোরপূর্বক")</f>
        <v>জোরপূর্বক</v>
      </c>
    </row>
    <row r="2519">
      <c r="A2519" s="2" t="s">
        <v>5127</v>
      </c>
      <c r="B2519" s="3" t="str">
        <f>IFERROR(__xludf.DUMMYFUNCTION("GOOGLETRANSLATE(A2519, ""ar"", ""bn"")"),"আবেদন")</f>
        <v>আবেদন</v>
      </c>
    </row>
    <row r="2520">
      <c r="A2520" s="2" t="s">
        <v>5128</v>
      </c>
      <c r="B2520" s="3" t="str">
        <f>IFERROR(__xludf.DUMMYFUNCTION("GOOGLETRANSLATE(A2520, ""ar"", ""bn"")"),"প্রয়োগ")</f>
        <v>প্রয়োগ</v>
      </c>
    </row>
    <row r="2521">
      <c r="A2521" s="2" t="s">
        <v>5129</v>
      </c>
      <c r="B2521" s="3" t="str">
        <f>IFERROR(__xludf.DUMMYFUNCTION("GOOGLETRANSLATE(A2521, ""ar"", ""bn"")"),"বন্দর")</f>
        <v>বন্দর</v>
      </c>
    </row>
    <row r="2522">
      <c r="A2522" s="2" t="s">
        <v>5130</v>
      </c>
      <c r="B2522" s="3" t="str">
        <f>IFERROR(__xludf.DUMMYFUNCTION("GOOGLETRANSLATE(A2522, ""ar"", ""bn"")"),"নির্বাহক")</f>
        <v>নির্বাহক</v>
      </c>
    </row>
    <row r="2523">
      <c r="A2523" s="2" t="s">
        <v>5131</v>
      </c>
      <c r="B2523" s="3" t="str">
        <f>IFERROR(__xludf.DUMMYFUNCTION("GOOGLETRANSLATE(A2523, ""ar"", ""bn"")"),"imposes")</f>
        <v>imposes</v>
      </c>
    </row>
    <row r="2524">
      <c r="A2524" s="2" t="s">
        <v>5132</v>
      </c>
      <c r="B2524" s="3" t="str">
        <f>IFERROR(__xludf.DUMMYFUNCTION("GOOGLETRANSLATE(A2524, ""ar"", ""bn"")"),"সোয়ালো")</f>
        <v>সোয়ালো</v>
      </c>
    </row>
    <row r="2525">
      <c r="A2525" s="2" t="s">
        <v>5133</v>
      </c>
      <c r="B2525" s="3" t="str">
        <f>IFERROR(__xludf.DUMMYFUNCTION("GOOGLETRANSLATE(A2525, ""ar"", ""bn"")"),"মোটামুটি")</f>
        <v>মোটামুটি</v>
      </c>
    </row>
    <row r="2526">
      <c r="A2526" s="2" t="s">
        <v>5134</v>
      </c>
      <c r="B2526" s="3" t="str">
        <f>IFERROR(__xludf.DUMMYFUNCTION("GOOGLETRANSLATE(A2526, ""ar"", ""bn"")"),"মেরু")</f>
        <v>মেরু</v>
      </c>
    </row>
    <row r="2527">
      <c r="A2527" s="2" t="s">
        <v>5135</v>
      </c>
      <c r="B2527" s="3" t="str">
        <f>IFERROR(__xludf.DUMMYFUNCTION("GOOGLETRANSLATE(A2527, ""ar"", ""bn"")"),"embraces")</f>
        <v>embraces</v>
      </c>
    </row>
    <row r="2528">
      <c r="A2528" s="2" t="s">
        <v>3368</v>
      </c>
      <c r="B2528" s="3" t="str">
        <f>IFERROR(__xludf.DUMMYFUNCTION("GOOGLETRANSLATE(A2528, ""ar"", ""bn"")"),"রাগ")</f>
        <v>রাগ</v>
      </c>
    </row>
    <row r="2529">
      <c r="A2529" s="2" t="s">
        <v>3374</v>
      </c>
      <c r="B2529" s="3" t="str">
        <f>IFERROR(__xludf.DUMMYFUNCTION("GOOGLETRANSLATE(A2529, ""ar"", ""bn"")"),"ক্রুদ্ধ")</f>
        <v>ক্রুদ্ধ</v>
      </c>
    </row>
    <row r="2530">
      <c r="A2530" s="2" t="s">
        <v>3370</v>
      </c>
      <c r="B2530" s="3" t="str">
        <f>IFERROR(__xludf.DUMMYFUNCTION("GOOGLETRANSLATE(A2530, ""ar"", ""bn"")"),"রাগ করা")</f>
        <v>রাগ করা</v>
      </c>
    </row>
    <row r="2531">
      <c r="A2531" s="2" t="s">
        <v>5136</v>
      </c>
      <c r="B2531" s="3" t="str">
        <f>IFERROR(__xludf.DUMMYFUNCTION("GOOGLETRANSLATE(A2531, ""ar"", ""bn"")"),"উন্মাদক")</f>
        <v>উন্মাদক</v>
      </c>
    </row>
    <row r="2532">
      <c r="A2532" s="2" t="s">
        <v>5137</v>
      </c>
      <c r="B2532" s="3" t="str">
        <f>IFERROR(__xludf.DUMMYFUNCTION("GOOGLETRANSLATE(A2532, ""ar"", ""bn"")"),"ক্রীতদাস করা")</f>
        <v>ক্রীতদাস করা</v>
      </c>
    </row>
    <row r="2533">
      <c r="A2533" s="2" t="s">
        <v>5138</v>
      </c>
      <c r="B2533" s="3" t="str">
        <f>IFERROR(__xludf.DUMMYFUNCTION("GOOGLETRANSLATE(A2533, ""ar"", ""bn"")"),"ক্রীতদাস")</f>
        <v>ক্রীতদাস</v>
      </c>
    </row>
    <row r="2534">
      <c r="A2534" s="2" t="s">
        <v>5139</v>
      </c>
      <c r="B2534" s="3" t="str">
        <f>IFERROR(__xludf.DUMMYFUNCTION("GOOGLETRANSLATE(A2534, ""ar"", ""bn"")"),"বশ্যতা")</f>
        <v>বশ্যতা</v>
      </c>
    </row>
    <row r="2535">
      <c r="A2535" s="2" t="s">
        <v>5140</v>
      </c>
      <c r="B2535" s="3" t="str">
        <f>IFERROR(__xludf.DUMMYFUNCTION("GOOGLETRANSLATE(A2535, ""ar"", ""bn"")"),"Enslaves")</f>
        <v>Enslaves</v>
      </c>
    </row>
    <row r="2536">
      <c r="A2536" s="2" t="s">
        <v>5141</v>
      </c>
      <c r="B2536" s="3" t="str">
        <f>IFERROR(__xludf.DUMMYFUNCTION("GOOGLETRANSLATE(A2536, ""ar"", ""bn"")"),"জন্য পড়ে")</f>
        <v>জন্য পড়ে</v>
      </c>
    </row>
    <row r="2537">
      <c r="A2537" s="2" t="s">
        <v>5142</v>
      </c>
      <c r="B2537" s="3" t="str">
        <f>IFERROR(__xludf.DUMMYFUNCTION("GOOGLETRANSLATE(A2537, ""ar"", ""bn"")"),"জড়িত")</f>
        <v>জড়িত</v>
      </c>
    </row>
    <row r="2538">
      <c r="A2538" s="2" t="s">
        <v>5143</v>
      </c>
      <c r="B2538" s="3" t="str">
        <f>IFERROR(__xludf.DUMMYFUNCTION("GOOGLETRANSLATE(A2538, ""ar"", ""bn"")"),"জট")</f>
        <v>জট</v>
      </c>
    </row>
    <row r="2539">
      <c r="A2539" s="2" t="s">
        <v>5144</v>
      </c>
      <c r="B2539" s="3" t="str">
        <f>IFERROR(__xludf.DUMMYFUNCTION("GOOGLETRANSLATE(A2539, ""ar"", ""bn"")"),"জড়িয়ে ফেলে")</f>
        <v>জড়িয়ে ফেলে</v>
      </c>
    </row>
    <row r="2540">
      <c r="A2540" s="2" t="s">
        <v>5145</v>
      </c>
      <c r="B2540" s="3" t="str">
        <f>IFERROR(__xludf.DUMMYFUNCTION("GOOGLETRANSLATE(A2540, ""ar"", ""bn"")"),"জটিল")</f>
        <v>জটিল</v>
      </c>
    </row>
    <row r="2541">
      <c r="A2541" s="2" t="s">
        <v>5144</v>
      </c>
      <c r="B2541" s="3" t="str">
        <f>IFERROR(__xludf.DUMMYFUNCTION("GOOGLETRANSLATE(A2541, ""ar"", ""bn"")"),"জড়িয়ে ফেলে")</f>
        <v>জড়িয়ে ফেলে</v>
      </c>
    </row>
    <row r="2542">
      <c r="A2542" s="2" t="s">
        <v>5146</v>
      </c>
      <c r="B2542" s="3" t="str">
        <f>IFERROR(__xludf.DUMMYFUNCTION("GOOGLETRANSLATE(A2542, ""ar"", ""bn"")"),"সনির্বন্ধ অনুরোধ করা")</f>
        <v>সনির্বন্ধ অনুরোধ করা</v>
      </c>
    </row>
    <row r="2543">
      <c r="A2543" s="2" t="s">
        <v>5147</v>
      </c>
      <c r="B2543" s="3" t="str">
        <f>IFERROR(__xludf.DUMMYFUNCTION("GOOGLETRANSLATE(A2543, ""ar"", ""bn"")"),"মিনতিপূর্ণ")</f>
        <v>মিনতিপূর্ণ</v>
      </c>
    </row>
    <row r="2544">
      <c r="A2544" s="2" t="s">
        <v>5148</v>
      </c>
      <c r="B2544" s="3" t="str">
        <f>IFERROR(__xludf.DUMMYFUNCTION("GOOGLETRANSLATE(A2544, ""ar"", ""bn"")"),"entreaties")</f>
        <v>entreaties</v>
      </c>
    </row>
    <row r="2545">
      <c r="A2545" s="2" t="s">
        <v>5147</v>
      </c>
      <c r="B2545" s="3" t="str">
        <f>IFERROR(__xludf.DUMMYFUNCTION("GOOGLETRANSLATE(A2545, ""ar"", ""bn"")"),"মিনতিপূর্ণ")</f>
        <v>মিনতিপূর্ণ</v>
      </c>
    </row>
    <row r="2546">
      <c r="A2546" s="2" t="s">
        <v>5149</v>
      </c>
      <c r="B2546" s="3" t="str">
        <f>IFERROR(__xludf.DUMMYFUNCTION("GOOGLETRANSLATE(A2546, ""ar"", ""bn"")"),"সনির্বন্ধ মিনতি")</f>
        <v>সনির্বন্ধ মিনতি</v>
      </c>
    </row>
    <row r="2547">
      <c r="A2547" s="2" t="s">
        <v>5146</v>
      </c>
      <c r="B2547" s="3" t="str">
        <f>IFERROR(__xludf.DUMMYFUNCTION("GOOGLETRANSLATE(A2547, ""ar"", ""bn"")"),"সনির্বন্ধ অনুরোধ করা")</f>
        <v>সনির্বন্ধ অনুরোধ করা</v>
      </c>
    </row>
    <row r="2548">
      <c r="A2548" s="2" t="s">
        <v>5150</v>
      </c>
      <c r="B2548" s="3" t="str">
        <f>IFERROR(__xludf.DUMMYFUNCTION("GOOGLETRANSLATE(A2548, ""ar"", ""bn"")"),"বিদ্বিষ্ট")</f>
        <v>বিদ্বিষ্ট</v>
      </c>
    </row>
    <row r="2549">
      <c r="A2549" s="2" t="s">
        <v>5151</v>
      </c>
      <c r="B2549" s="3" t="str">
        <f>IFERROR(__xludf.DUMMYFUNCTION("GOOGLETRANSLATE(A2549, ""ar"", ""bn"")"),"দ্বেষ")</f>
        <v>দ্বেষ</v>
      </c>
    </row>
    <row r="2550">
      <c r="A2550" s="2" t="s">
        <v>5152</v>
      </c>
      <c r="B2550" s="3" t="str">
        <f>IFERROR(__xludf.DUMMYFUNCTION("GOOGLETRANSLATE(A2550, ""ar"", ""bn"")"),"পরশ্রীকাতর")</f>
        <v>পরশ্রীকাতর</v>
      </c>
    </row>
    <row r="2551">
      <c r="A2551" s="2" t="s">
        <v>3583</v>
      </c>
      <c r="B2551" s="3" t="str">
        <f>IFERROR(__xludf.DUMMYFUNCTION("GOOGLETRANSLATE(A2551, ""ar"", ""bn"")"),"begrudgingly")</f>
        <v>begrudgingly</v>
      </c>
    </row>
    <row r="2552">
      <c r="A2552" s="2" t="s">
        <v>3581</v>
      </c>
      <c r="B2552" s="3" t="str">
        <f>IFERROR(__xludf.DUMMYFUNCTION("GOOGLETRANSLATE(A2552, ""ar"", ""bn"")"),"দ্বেষ")</f>
        <v>দ্বেষ</v>
      </c>
    </row>
    <row r="2553">
      <c r="A2553" s="2" t="s">
        <v>5151</v>
      </c>
      <c r="B2553" s="3" t="str">
        <f>IFERROR(__xludf.DUMMYFUNCTION("GOOGLETRANSLATE(A2553, ""ar"", ""bn"")"),"দ্বেষ")</f>
        <v>দ্বেষ</v>
      </c>
    </row>
    <row r="2554">
      <c r="A2554" s="2" t="s">
        <v>5153</v>
      </c>
      <c r="B2554" s="3" t="str">
        <f>IFERROR(__xludf.DUMMYFUNCTION("GOOGLETRANSLATE(A2554, ""ar"", ""bn"")"),"মহামারী")</f>
        <v>মহামারী</v>
      </c>
    </row>
    <row r="2555">
      <c r="A2555" s="2" t="s">
        <v>5154</v>
      </c>
      <c r="B2555" s="3" t="str">
        <f>IFERROR(__xludf.DUMMYFUNCTION("GOOGLETRANSLATE(A2555, ""ar"", ""bn"")"),"মহামারী")</f>
        <v>মহামারী</v>
      </c>
    </row>
    <row r="2556">
      <c r="A2556" s="2" t="s">
        <v>5155</v>
      </c>
      <c r="B2556" s="3" t="str">
        <f>IFERROR(__xludf.DUMMYFUNCTION("GOOGLETRANSLATE(A2556, ""ar"", ""bn"")"),"শিরোনাম")</f>
        <v>শিরোনাম</v>
      </c>
    </row>
    <row r="2557">
      <c r="A2557" s="2" t="s">
        <v>5156</v>
      </c>
      <c r="B2557" s="3" t="str">
        <f>IFERROR(__xludf.DUMMYFUNCTION("GOOGLETRANSLATE(A2557, ""ar"", ""bn"")"),"বিশেষণ")</f>
        <v>বিশেষণ</v>
      </c>
    </row>
    <row r="2558">
      <c r="A2558" s="2" t="s">
        <v>5157</v>
      </c>
      <c r="B2558" s="3" t="str">
        <f>IFERROR(__xludf.DUMMYFUNCTION("GOOGLETRANSLATE(A2558, ""ar"", ""bn"")"),"সন্দেহজনক")</f>
        <v>সন্দেহজনক</v>
      </c>
    </row>
    <row r="2559">
      <c r="A2559" s="2" t="s">
        <v>5093</v>
      </c>
      <c r="B2559" s="3" t="str">
        <f>IFERROR(__xludf.DUMMYFUNCTION("GOOGLETRANSLATE(A2559, ""ar"", ""bn"")"),"বর্জন")</f>
        <v>বর্জন</v>
      </c>
    </row>
    <row r="2560">
      <c r="A2560" s="2" t="s">
        <v>5093</v>
      </c>
      <c r="B2560" s="3" t="str">
        <f>IFERROR(__xludf.DUMMYFUNCTION("GOOGLETRANSLATE(A2560, ""ar"", ""bn"")"),"বর্জন")</f>
        <v>বর্জন</v>
      </c>
    </row>
    <row r="2561">
      <c r="A2561" s="2" t="s">
        <v>5158</v>
      </c>
      <c r="B2561" s="3" t="str">
        <f>IFERROR(__xludf.DUMMYFUNCTION("GOOGLETRANSLATE(A2561, ""ar"", ""bn"")"),"ইরেজিওর")</f>
        <v>ইরেজিওর</v>
      </c>
    </row>
    <row r="2562">
      <c r="A2562" s="2" t="s">
        <v>5159</v>
      </c>
      <c r="B2562" s="3" t="str">
        <f>IFERROR(__xludf.DUMMYFUNCTION("GOOGLETRANSLATE(A2562, ""ar"", ""bn"")"),"মুছে ফেলা")</f>
        <v>মুছে ফেলা</v>
      </c>
    </row>
    <row r="2563">
      <c r="A2563" s="2" t="s">
        <v>5160</v>
      </c>
      <c r="B2563" s="3" t="str">
        <f>IFERROR(__xludf.DUMMYFUNCTION("GOOGLETRANSLATE(A2563, ""ar"", ""bn"")"),"একটি রাবার")</f>
        <v>একটি রাবার</v>
      </c>
    </row>
    <row r="2564">
      <c r="A2564" s="2" t="s">
        <v>5161</v>
      </c>
      <c r="B2564" s="3" t="str">
        <f>IFERROR(__xludf.DUMMYFUNCTION("GOOGLETRANSLATE(A2564, ""ar"", ""bn"")"),"Erasers")</f>
        <v>Erasers</v>
      </c>
    </row>
    <row r="2565">
      <c r="A2565" s="2" t="s">
        <v>3173</v>
      </c>
      <c r="B2565" s="3" t="str">
        <f>IFERROR(__xludf.DUMMYFUNCTION("GOOGLETRANSLATE(A2565, ""ar"", ""bn"")"),"যান")</f>
        <v>যান</v>
      </c>
    </row>
    <row r="2566">
      <c r="A2566" s="2" t="s">
        <v>4207</v>
      </c>
      <c r="B2566" s="3" t="str">
        <f>IFERROR(__xludf.DUMMYFUNCTION("GOOGLETRANSLATE(A2566, ""ar"", ""bn"")"),"খাওয়া")</f>
        <v>খাওয়া</v>
      </c>
    </row>
    <row r="2567">
      <c r="A2567" s="2" t="s">
        <v>4207</v>
      </c>
      <c r="B2567" s="3" t="str">
        <f>IFERROR(__xludf.DUMMYFUNCTION("GOOGLETRANSLATE(A2567, ""ar"", ""bn"")"),"খাওয়া")</f>
        <v>খাওয়া</v>
      </c>
    </row>
    <row r="2568">
      <c r="A2568" s="2" t="s">
        <v>5162</v>
      </c>
      <c r="B2568" s="3" t="str">
        <f>IFERROR(__xludf.DUMMYFUNCTION("GOOGLETRANSLATE(A2568, ""ar"", ""bn"")"),"অবক্ষয় ঘটায়")</f>
        <v>অবক্ষয় ঘটায়</v>
      </c>
    </row>
    <row r="2569">
      <c r="A2569" s="2" t="s">
        <v>4207</v>
      </c>
      <c r="B2569" s="3" t="str">
        <f>IFERROR(__xludf.DUMMYFUNCTION("GOOGLETRANSLATE(A2569, ""ar"", ""bn"")"),"খাওয়া")</f>
        <v>খাওয়া</v>
      </c>
    </row>
    <row r="2570">
      <c r="A2570" s="2" t="s">
        <v>5163</v>
      </c>
      <c r="B2570" s="3" t="str">
        <f>IFERROR(__xludf.DUMMYFUNCTION("GOOGLETRANSLATE(A2570, ""ar"", ""bn"")"),"ভাঙন")</f>
        <v>ভাঙন</v>
      </c>
    </row>
    <row r="2571">
      <c r="A2571" s="2" t="s">
        <v>5164</v>
      </c>
      <c r="B2571" s="3" t="str">
        <f>IFERROR(__xludf.DUMMYFUNCTION("GOOGLETRANSLATE(A2571, ""ar"", ""bn"")"),"ভাঙনে")</f>
        <v>ভাঙনে</v>
      </c>
    </row>
    <row r="2572">
      <c r="A2572" s="2" t="s">
        <v>5165</v>
      </c>
      <c r="B2572" s="3" t="str">
        <f>IFERROR(__xludf.DUMMYFUNCTION("GOOGLETRANSLATE(A2572, ""ar"", ""bn"")"),"ভুল")</f>
        <v>ভুল</v>
      </c>
    </row>
    <row r="2573">
      <c r="A2573" s="2" t="s">
        <v>5166</v>
      </c>
      <c r="B2573" s="3" t="str">
        <f>IFERROR(__xludf.DUMMYFUNCTION("GOOGLETRANSLATE(A2573, ""ar"", ""bn"")"),"প্রেরিত বার্তা")</f>
        <v>প্রেরিত বার্তা</v>
      </c>
    </row>
    <row r="2574">
      <c r="A2574" s="2" t="s">
        <v>5167</v>
      </c>
      <c r="B2574" s="3" t="str">
        <f>IFERROR(__xludf.DUMMYFUNCTION("GOOGLETRANSLATE(A2574, ""ar"", ""bn"")"),"কাজ")</f>
        <v>কাজ</v>
      </c>
    </row>
    <row r="2575">
      <c r="A2575" s="2" t="s">
        <v>5168</v>
      </c>
      <c r="B2575" s="3" t="str">
        <f>IFERROR(__xludf.DUMMYFUNCTION("GOOGLETRANSLATE(A2575, ""ar"", ""bn"")"),"বিপথগামী")</f>
        <v>বিপথগামী</v>
      </c>
    </row>
    <row r="2576">
      <c r="A2576" s="2" t="s">
        <v>5169</v>
      </c>
      <c r="B2576" s="3" t="str">
        <f>IFERROR(__xludf.DUMMYFUNCTION("GOOGLETRANSLATE(A2576, ""ar"", ""bn"")"),"বানান ও অন্যান্য ত্রুটি")</f>
        <v>বানান ও অন্যান্য ত্রুটি</v>
      </c>
    </row>
    <row r="2577">
      <c r="A2577" s="2" t="s">
        <v>3388</v>
      </c>
      <c r="B2577" s="3" t="str">
        <f>IFERROR(__xludf.DUMMYFUNCTION("GOOGLETRANSLATE(A2577, ""ar"", ""bn"")"),"অস্বাভাবিকরকমে")</f>
        <v>অস্বাভাবিকরকমে</v>
      </c>
    </row>
    <row r="2578">
      <c r="A2578" s="2" t="s">
        <v>5170</v>
      </c>
      <c r="B2578" s="3" t="str">
        <f>IFERROR(__xludf.DUMMYFUNCTION("GOOGLETRANSLATE(A2578, ""ar"", ""bn"")"),"উদ্বায়ী")</f>
        <v>উদ্বায়ী</v>
      </c>
    </row>
    <row r="2579">
      <c r="A2579" s="2" t="s">
        <v>5171</v>
      </c>
      <c r="B2579" s="3" t="str">
        <f>IFERROR(__xludf.DUMMYFUNCTION("GOOGLETRANSLATE(A2579, ""ar"", ""bn"")"),"ভুল টাইপ")</f>
        <v>ভুল টাইপ</v>
      </c>
    </row>
    <row r="2580">
      <c r="A2580" s="2" t="s">
        <v>5165</v>
      </c>
      <c r="B2580" s="3" t="str">
        <f>IFERROR(__xludf.DUMMYFUNCTION("GOOGLETRANSLATE(A2580, ""ar"", ""bn"")"),"ভুল")</f>
        <v>ভুল</v>
      </c>
    </row>
    <row r="2581">
      <c r="A2581" s="2" t="s">
        <v>3361</v>
      </c>
      <c r="B2581" s="3" t="str">
        <f>IFERROR(__xludf.DUMMYFUNCTION("GOOGLETRANSLATE(A2581, ""ar"", ""bn"")"),"ভুল")</f>
        <v>ভুল</v>
      </c>
    </row>
    <row r="2582">
      <c r="A2582" s="2" t="s">
        <v>3361</v>
      </c>
      <c r="B2582" s="3" t="str">
        <f>IFERROR(__xludf.DUMMYFUNCTION("GOOGLETRANSLATE(A2582, ""ar"", ""bn"")"),"ভুল")</f>
        <v>ভুল</v>
      </c>
    </row>
    <row r="2583">
      <c r="A2583" s="2" t="s">
        <v>5172</v>
      </c>
      <c r="B2583" s="3" t="str">
        <f>IFERROR(__xludf.DUMMYFUNCTION("GOOGLETRANSLATE(A2583, ""ar"", ""bn"")"),"ত্রুটি")</f>
        <v>ত্রুটি</v>
      </c>
    </row>
    <row r="2584">
      <c r="A2584" s="2" t="s">
        <v>5172</v>
      </c>
      <c r="B2584" s="3" t="str">
        <f>IFERROR(__xludf.DUMMYFUNCTION("GOOGLETRANSLATE(A2584, ""ar"", ""bn"")"),"ত্রুটি")</f>
        <v>ত্রুটি</v>
      </c>
    </row>
    <row r="2585">
      <c r="A2585" s="2" t="s">
        <v>5173</v>
      </c>
      <c r="B2585" s="3" t="str">
        <f>IFERROR(__xludf.DUMMYFUNCTION("GOOGLETRANSLATE(A2585, ""ar"", ""bn"")"),"ত্রুটি")</f>
        <v>ত্রুটি</v>
      </c>
    </row>
    <row r="2586">
      <c r="A2586" s="2" t="s">
        <v>5174</v>
      </c>
      <c r="B2586" s="3" t="str">
        <f>IFERROR(__xludf.DUMMYFUNCTION("GOOGLETRANSLATE(A2586, ""ar"", ""bn"")"),"ভুল করা")</f>
        <v>ভুল করা</v>
      </c>
    </row>
    <row r="2587">
      <c r="A2587" s="2" t="s">
        <v>3361</v>
      </c>
      <c r="B2587" s="3" t="str">
        <f>IFERROR(__xludf.DUMMYFUNCTION("GOOGLETRANSLATE(A2587, ""ar"", ""bn"")"),"ভুল")</f>
        <v>ভুল</v>
      </c>
    </row>
    <row r="2588">
      <c r="A2588" s="2" t="s">
        <v>5172</v>
      </c>
      <c r="B2588" s="3" t="str">
        <f>IFERROR(__xludf.DUMMYFUNCTION("GOOGLETRANSLATE(A2588, ""ar"", ""bn"")"),"ত্রুটি")</f>
        <v>ত্রুটি</v>
      </c>
    </row>
    <row r="2589">
      <c r="A2589" s="2" t="s">
        <v>5172</v>
      </c>
      <c r="B2589" s="3" t="str">
        <f>IFERROR(__xludf.DUMMYFUNCTION("GOOGLETRANSLATE(A2589, ""ar"", ""bn"")"),"ত্রুটি")</f>
        <v>ত্রুটি</v>
      </c>
    </row>
    <row r="2590">
      <c r="A2590" s="2" t="s">
        <v>5173</v>
      </c>
      <c r="B2590" s="3" t="str">
        <f>IFERROR(__xludf.DUMMYFUNCTION("GOOGLETRANSLATE(A2590, ""ar"", ""bn"")"),"ত্রুটি")</f>
        <v>ত্রুটি</v>
      </c>
    </row>
    <row r="2591">
      <c r="A2591" s="2" t="s">
        <v>5175</v>
      </c>
      <c r="B2591" s="3" t="str">
        <f>IFERROR(__xludf.DUMMYFUNCTION("GOOGLETRANSLATE(A2591, ""ar"", ""bn"")"),"গূঢ়")</f>
        <v>গূঢ়</v>
      </c>
    </row>
    <row r="2592">
      <c r="A2592" s="2" t="s">
        <v>5176</v>
      </c>
      <c r="B2592" s="3" t="str">
        <f>IFERROR(__xludf.DUMMYFUNCTION("GOOGLETRANSLATE(A2592, ""ar"", ""bn"")"),"Asotiraka")</f>
        <v>Asotiraka</v>
      </c>
    </row>
    <row r="2593">
      <c r="A2593" s="2" t="s">
        <v>5177</v>
      </c>
      <c r="B2593" s="3" t="str">
        <f>IFERROR(__xludf.DUMMYFUNCTION("GOOGLETRANSLATE(A2593, ""ar"", ""bn"")"),"অভ্যন্তর")</f>
        <v>অভ্যন্তর</v>
      </c>
    </row>
    <row r="2594">
      <c r="A2594" s="2" t="s">
        <v>5178</v>
      </c>
      <c r="B2594" s="3" t="str">
        <f>IFERROR(__xludf.DUMMYFUNCTION("GOOGLETRANSLATE(A2594, ""ar"", ""bn"")"),"ছেড়ে যাওয়া")</f>
        <v>ছেড়ে যাওয়া</v>
      </c>
    </row>
    <row r="2595">
      <c r="A2595" s="2" t="s">
        <v>5179</v>
      </c>
      <c r="B2595" s="3" t="str">
        <f>IFERROR(__xludf.DUMMYFUNCTION("GOOGLETRANSLATE(A2595, ""ar"", ""bn"")"),"টালা")</f>
        <v>টালা</v>
      </c>
    </row>
    <row r="2596">
      <c r="A2596" s="2" t="s">
        <v>5179</v>
      </c>
      <c r="B2596" s="3" t="str">
        <f>IFERROR(__xludf.DUMMYFUNCTION("GOOGLETRANSLATE(A2596, ""ar"", ""bn"")"),"টালা")</f>
        <v>টালা</v>
      </c>
    </row>
    <row r="2597">
      <c r="A2597" s="2" t="s">
        <v>5180</v>
      </c>
      <c r="B2597" s="3" t="str">
        <f>IFERROR(__xludf.DUMMYFUNCTION("GOOGLETRANSLATE(A2597, ""ar"", ""bn"")"),"অসরল")</f>
        <v>অসরল</v>
      </c>
    </row>
    <row r="2598">
      <c r="A2598" s="2" t="s">
        <v>5181</v>
      </c>
      <c r="B2598" s="3" t="str">
        <f>IFERROR(__xludf.DUMMYFUNCTION("GOOGLETRANSLATE(A2598, ""ar"", ""bn"")"),"Evader")</f>
        <v>Evader</v>
      </c>
    </row>
    <row r="2599">
      <c r="A2599" s="2" t="s">
        <v>5182</v>
      </c>
      <c r="B2599" s="3" t="str">
        <f>IFERROR(__xludf.DUMMYFUNCTION("GOOGLETRANSLATE(A2599, ""ar"", ""bn"")"),"Sidestepping")</f>
        <v>Sidestepping</v>
      </c>
    </row>
    <row r="2600">
      <c r="A2600" s="2" t="s">
        <v>5183</v>
      </c>
      <c r="B2600" s="3" t="str">
        <f>IFERROR(__xludf.DUMMYFUNCTION("GOOGLETRANSLATE(A2600, ""ar"", ""bn"")"),"টালা")</f>
        <v>টালা</v>
      </c>
    </row>
    <row r="2601">
      <c r="A2601" s="2" t="s">
        <v>5184</v>
      </c>
      <c r="B2601" s="3" t="str">
        <f>IFERROR(__xludf.DUMMYFUNCTION("GOOGLETRANSLATE(A2601, ""ar"", ""bn"")"),"ছল")</f>
        <v>ছল</v>
      </c>
    </row>
    <row r="2602">
      <c r="A2602" s="2" t="s">
        <v>5185</v>
      </c>
      <c r="B2602" s="3" t="str">
        <f>IFERROR(__xludf.DUMMYFUNCTION("GOOGLETRANSLATE(A2602, ""ar"", ""bn"")"),"পদাঘাত")</f>
        <v>পদাঘাত</v>
      </c>
    </row>
    <row r="2603">
      <c r="A2603" s="2" t="s">
        <v>5185</v>
      </c>
      <c r="B2603" s="3" t="str">
        <f>IFERROR(__xludf.DUMMYFUNCTION("GOOGLETRANSLATE(A2603, ""ar"", ""bn"")"),"পদাঘাত")</f>
        <v>পদাঘাত</v>
      </c>
    </row>
    <row r="2604">
      <c r="A2604" s="2" t="s">
        <v>5185</v>
      </c>
      <c r="B2604" s="3" t="str">
        <f>IFERROR(__xludf.DUMMYFUNCTION("GOOGLETRANSLATE(A2604, ""ar"", ""bn"")"),"পদাঘাত")</f>
        <v>পদাঘাত</v>
      </c>
    </row>
    <row r="2605">
      <c r="A2605" s="2" t="s">
        <v>5185</v>
      </c>
      <c r="B2605" s="3" t="str">
        <f>IFERROR(__xludf.DUMMYFUNCTION("GOOGLETRANSLATE(A2605, ""ar"", ""bn"")"),"পদাঘাত")</f>
        <v>পদাঘাত</v>
      </c>
    </row>
    <row r="2606">
      <c r="A2606" s="2" t="s">
        <v>5186</v>
      </c>
      <c r="B2606" s="3" t="str">
        <f>IFERROR(__xludf.DUMMYFUNCTION("GOOGLETRANSLATE(A2606, ""ar"", ""bn"")"),"অপসারণ")</f>
        <v>অপসারণ</v>
      </c>
    </row>
    <row r="2607">
      <c r="A2607" s="2" t="s">
        <v>5187</v>
      </c>
      <c r="B2607" s="3" t="str">
        <f>IFERROR(__xludf.DUMMYFUNCTION("GOOGLETRANSLATE(A2607, ""ar"", ""bn"")"),"বহিষ্কার করা")</f>
        <v>বহিষ্কার করা</v>
      </c>
    </row>
    <row r="2608">
      <c r="A2608" s="2" t="s">
        <v>5188</v>
      </c>
      <c r="B2608" s="3" t="str">
        <f>IFERROR(__xludf.DUMMYFUNCTION("GOOGLETRANSLATE(A2608, ""ar"", ""bn"")"),"মন্দ")</f>
        <v>মন্দ</v>
      </c>
    </row>
    <row r="2609">
      <c r="A2609" s="2" t="s">
        <v>5189</v>
      </c>
      <c r="B2609" s="3" t="str">
        <f>IFERROR(__xludf.DUMMYFUNCTION("GOOGLETRANSLATE(A2609, ""ar"", ""bn"")"),"অধার্মিক")</f>
        <v>অধার্মিক</v>
      </c>
    </row>
    <row r="2610">
      <c r="A2610" s="2" t="s">
        <v>5190</v>
      </c>
      <c r="B2610" s="3" t="str">
        <f>IFERROR(__xludf.DUMMYFUNCTION("GOOGLETRANSLATE(A2610, ""ar"", ""bn"")"),"পাপ পন্থায়")</f>
        <v>পাপ পন্থায়</v>
      </c>
    </row>
    <row r="2611">
      <c r="A2611" s="2" t="s">
        <v>5191</v>
      </c>
      <c r="B2611" s="3" t="str">
        <f>IFERROR(__xludf.DUMMYFUNCTION("GOOGLETRANSLATE(A2611, ""ar"", ""bn"")"),"মন্দ")</f>
        <v>মন্দ</v>
      </c>
    </row>
    <row r="2612">
      <c r="A2612" s="2" t="s">
        <v>5192</v>
      </c>
      <c r="B2612" s="3" t="str">
        <f>IFERROR(__xludf.DUMMYFUNCTION("GOOGLETRANSLATE(A2612, ""ar"", ""bn"")"),"খারাপ")</f>
        <v>খারাপ</v>
      </c>
    </row>
    <row r="2613">
      <c r="A2613" s="2" t="s">
        <v>5193</v>
      </c>
      <c r="B2613" s="3" t="str">
        <f>IFERROR(__xludf.DUMMYFUNCTION("GOOGLETRANSLATE(A2613, ""ar"", ""bn"")"),"প্রাপ্তবয়স্ক")</f>
        <v>প্রাপ্তবয়স্ক</v>
      </c>
    </row>
    <row r="2614">
      <c r="A2614" s="2" t="s">
        <v>5194</v>
      </c>
      <c r="B2614" s="3" t="str">
        <f>IFERROR(__xludf.DUMMYFUNCTION("GOOGLETRANSLATE(A2614, ""ar"", ""bn"")"),"ক্ষতিকারক")</f>
        <v>ক্ষতিকারক</v>
      </c>
    </row>
    <row r="2615">
      <c r="A2615" s="2" t="s">
        <v>5195</v>
      </c>
      <c r="B2615" s="3" t="str">
        <f>IFERROR(__xludf.DUMMYFUNCTION("GOOGLETRANSLATE(A2615, ""ar"", ""bn"")"),"exaggeratedly")</f>
        <v>exaggeratedly</v>
      </c>
    </row>
    <row r="2616">
      <c r="A2616" s="2" t="s">
        <v>5196</v>
      </c>
      <c r="B2616" s="3" t="str">
        <f>IFERROR(__xludf.DUMMYFUNCTION("GOOGLETRANSLATE(A2616, ""ar"", ""bn"")"),"অতিরঞ্জিত করা")</f>
        <v>অতিরঞ্জিত করা</v>
      </c>
    </row>
    <row r="2617">
      <c r="A2617" s="2" t="s">
        <v>5197</v>
      </c>
      <c r="B2617" s="3" t="str">
        <f>IFERROR(__xludf.DUMMYFUNCTION("GOOGLETRANSLATE(A2617, ""ar"", ""bn"")"),"অত্যুক্তি")</f>
        <v>অত্যুক্তি</v>
      </c>
    </row>
    <row r="2618">
      <c r="A2618" s="2" t="s">
        <v>5198</v>
      </c>
      <c r="B2618" s="3" t="str">
        <f>IFERROR(__xludf.DUMMYFUNCTION("GOOGLETRANSLATE(A2618, ""ar"", ""bn"")"),"অতিরঞ্জিত করা")</f>
        <v>অতিরঞ্জিত করা</v>
      </c>
    </row>
    <row r="2619">
      <c r="A2619" s="2" t="s">
        <v>5199</v>
      </c>
      <c r="B2619" s="3" t="str">
        <f>IFERROR(__xludf.DUMMYFUNCTION("GOOGLETRANSLATE(A2619, ""ar"", ""bn"")"),"অতিরঞ্জিত")</f>
        <v>অতিরঞ্জিত</v>
      </c>
    </row>
    <row r="2620">
      <c r="A2620" s="2" t="s">
        <v>5200</v>
      </c>
      <c r="B2620" s="3" t="str">
        <f>IFERROR(__xludf.DUMMYFUNCTION("GOOGLETRANSLATE(A2620, ""ar"", ""bn"")"),"ক্রুদ্ধ করা")</f>
        <v>ক্রুদ্ধ করা</v>
      </c>
    </row>
    <row r="2621">
      <c r="A2621" s="2" t="s">
        <v>3368</v>
      </c>
      <c r="B2621" s="3" t="str">
        <f>IFERROR(__xludf.DUMMYFUNCTION("GOOGLETRANSLATE(A2621, ""ar"", ""bn"")"),"রাগ")</f>
        <v>রাগ</v>
      </c>
    </row>
    <row r="2622">
      <c r="A2622" s="2" t="s">
        <v>5201</v>
      </c>
      <c r="B2622" s="3" t="str">
        <f>IFERROR(__xludf.DUMMYFUNCTION("GOOGLETRANSLATE(A2622, ""ar"", ""bn"")"),"রাগ লেগেই")</f>
        <v>রাগ লেগেই</v>
      </c>
    </row>
    <row r="2623">
      <c r="A2623" s="2" t="s">
        <v>3374</v>
      </c>
      <c r="B2623" s="3" t="str">
        <f>IFERROR(__xludf.DUMMYFUNCTION("GOOGLETRANSLATE(A2623, ""ar"", ""bn"")"),"ক্রুদ্ধ")</f>
        <v>ক্রুদ্ধ</v>
      </c>
    </row>
    <row r="2624">
      <c r="A2624" s="2" t="s">
        <v>5202</v>
      </c>
      <c r="B2624" s="3" t="str">
        <f>IFERROR(__xludf.DUMMYFUNCTION("GOOGLETRANSLATE(A2624, ""ar"", ""bn"")"),"অসন্তোষ")</f>
        <v>অসন্তোষ</v>
      </c>
    </row>
    <row r="2625">
      <c r="A2625" s="2" t="s">
        <v>5203</v>
      </c>
      <c r="B2625" s="3" t="str">
        <f>IFERROR(__xludf.DUMMYFUNCTION("GOOGLETRANSLATE(A2625, ""ar"", ""bn"")"),"উদ্বৃত্ত")</f>
        <v>উদ্বৃত্ত</v>
      </c>
    </row>
    <row r="2626">
      <c r="A2626" s="2" t="s">
        <v>5204</v>
      </c>
      <c r="B2626" s="3" t="str">
        <f>IFERROR(__xludf.DUMMYFUNCTION("GOOGLETRANSLATE(A2626, ""ar"", ""bn"")"),"বাহুল্যও")</f>
        <v>বাহুল্যও</v>
      </c>
    </row>
    <row r="2627">
      <c r="A2627" s="2" t="s">
        <v>5205</v>
      </c>
      <c r="B2627" s="3" t="str">
        <f>IFERROR(__xludf.DUMMYFUNCTION("GOOGLETRANSLATE(A2627, ""ar"", ""bn"")"),"অত্যধিক")</f>
        <v>অত্যধিক</v>
      </c>
    </row>
    <row r="2628">
      <c r="A2628" s="2" t="s">
        <v>5206</v>
      </c>
      <c r="B2628" s="3" t="str">
        <f>IFERROR(__xludf.DUMMYFUNCTION("GOOGLETRANSLATE(A2628, ""ar"", ""bn"")"),"বেজায়")</f>
        <v>বেজায়</v>
      </c>
    </row>
    <row r="2629">
      <c r="A2629" s="2" t="s">
        <v>5205</v>
      </c>
      <c r="B2629" s="3" t="str">
        <f>IFERROR(__xludf.DUMMYFUNCTION("GOOGLETRANSLATE(A2629, ""ar"", ""bn"")"),"অত্যধিক")</f>
        <v>অত্যধিক</v>
      </c>
    </row>
    <row r="2630">
      <c r="A2630" s="2" t="s">
        <v>5206</v>
      </c>
      <c r="B2630" s="3" t="str">
        <f>IFERROR(__xludf.DUMMYFUNCTION("GOOGLETRANSLATE(A2630, ""ar"", ""bn"")"),"বেজায়")</f>
        <v>বেজায়</v>
      </c>
    </row>
    <row r="2631">
      <c r="A2631" s="2" t="s">
        <v>5207</v>
      </c>
      <c r="B2631" s="3" t="str">
        <f>IFERROR(__xludf.DUMMYFUNCTION("GOOGLETRANSLATE(A2631, ""ar"", ""bn"")"),"বাধা")</f>
        <v>বাধা</v>
      </c>
    </row>
    <row r="2632">
      <c r="A2632" s="2" t="s">
        <v>5208</v>
      </c>
      <c r="B2632" s="3" t="str">
        <f>IFERROR(__xludf.DUMMYFUNCTION("GOOGLETRANSLATE(A2632, ""ar"", ""bn"")"),"বর্জন")</f>
        <v>বর্জন</v>
      </c>
    </row>
    <row r="2633">
      <c r="A2633" s="2" t="s">
        <v>5209</v>
      </c>
      <c r="B2633" s="3" t="str">
        <f>IFERROR(__xludf.DUMMYFUNCTION("GOOGLETRANSLATE(A2633, ""ar"", ""bn"")"),"তথ্য বাদ দেওয়া")</f>
        <v>তথ্য বাদ দেওয়া</v>
      </c>
    </row>
    <row r="2634">
      <c r="A2634" s="2" t="s">
        <v>5210</v>
      </c>
      <c r="B2634" s="3" t="str">
        <f>IFERROR(__xludf.DUMMYFUNCTION("GOOGLETRANSLATE(A2634, ""ar"", ""bn"")"),"বর্জন")</f>
        <v>বর্জন</v>
      </c>
    </row>
    <row r="2635">
      <c r="A2635" s="2" t="s">
        <v>5211</v>
      </c>
      <c r="B2635" s="3" t="str">
        <f>IFERROR(__xludf.DUMMYFUNCTION("GOOGLETRANSLATE(A2635, ""ar"", ""bn"")"),"অতিরিক্ত")</f>
        <v>অতিরিক্ত</v>
      </c>
    </row>
    <row r="2636">
      <c r="A2636" s="2" t="s">
        <v>5212</v>
      </c>
      <c r="B2636" s="3" t="str">
        <f>IFERROR(__xludf.DUMMYFUNCTION("GOOGLETRANSLATE(A2636, ""ar"", ""bn"")"),"ব্যতিক্রমসমূহ")</f>
        <v>ব্যতিক্রমসমূহ</v>
      </c>
    </row>
    <row r="2637">
      <c r="A2637" s="2" t="s">
        <v>4599</v>
      </c>
      <c r="B2637" s="3" t="str">
        <f>IFERROR(__xludf.DUMMYFUNCTION("GOOGLETRANSLATE(A2637, ""ar"", ""bn"")"),"আলাদা করা")</f>
        <v>আলাদা করা</v>
      </c>
    </row>
    <row r="2638">
      <c r="A2638" s="2" t="s">
        <v>4615</v>
      </c>
      <c r="B2638" s="3" t="str">
        <f>IFERROR(__xludf.DUMMYFUNCTION("GOOGLETRANSLATE(A2638, ""ar"", ""bn"")"),"আশ্রয়স্থল")</f>
        <v>আশ্রয়স্থল</v>
      </c>
    </row>
    <row r="2639">
      <c r="A2639" s="2" t="s">
        <v>5213</v>
      </c>
      <c r="B2639" s="3" t="str">
        <f>IFERROR(__xludf.DUMMYFUNCTION("GOOGLETRANSLATE(A2639, ""ar"", ""bn"")"),"Takfiri")</f>
        <v>Takfiri</v>
      </c>
    </row>
    <row r="2640">
      <c r="A2640" s="2" t="s">
        <v>4599</v>
      </c>
      <c r="B2640" s="3" t="str">
        <f>IFERROR(__xludf.DUMMYFUNCTION("GOOGLETRANSLATE(A2640, ""ar"", ""bn"")"),"আলাদা করা")</f>
        <v>আলাদা করা</v>
      </c>
    </row>
    <row r="2641">
      <c r="A2641" s="2" t="s">
        <v>5214</v>
      </c>
      <c r="B2641" s="3" t="str">
        <f>IFERROR(__xludf.DUMMYFUNCTION("GOOGLETRANSLATE(A2641, ""ar"", ""bn"")"),"বেদনাদায়ক")</f>
        <v>বেদনাদায়ক</v>
      </c>
    </row>
    <row r="2642">
      <c r="A2642" s="2" t="s">
        <v>5215</v>
      </c>
      <c r="B2642" s="3" t="str">
        <f>IFERROR(__xludf.DUMMYFUNCTION("GOOGLETRANSLATE(A2642, ""ar"", ""bn"")"),"অসহনীয়রূপে")</f>
        <v>অসহনীয়রূপে</v>
      </c>
    </row>
    <row r="2643">
      <c r="A2643" s="2" t="s">
        <v>5216</v>
      </c>
      <c r="B2643" s="3" t="str">
        <f>IFERROR(__xludf.DUMMYFUNCTION("GOOGLETRANSLATE(A2643, ""ar"", ""bn"")"),"বিরক্তি")</f>
        <v>বিরক্তি</v>
      </c>
    </row>
    <row r="2644">
      <c r="A2644" s="2" t="s">
        <v>5217</v>
      </c>
      <c r="B2644" s="3" t="str">
        <f>IFERROR(__xludf.DUMMYFUNCTION("GOOGLETRANSLATE(A2644, ""ar"", ""bn"")"),"বাস্তবায়ন")</f>
        <v>বাস্তবায়ন</v>
      </c>
    </row>
    <row r="2645">
      <c r="A2645" s="2" t="s">
        <v>5218</v>
      </c>
      <c r="B2645" s="3" t="str">
        <f>IFERROR(__xludf.DUMMYFUNCTION("GOOGLETRANSLATE(A2645, ""ar"", ""bn"")"),"নিষ্পন্ন")</f>
        <v>নিষ্পন্ন</v>
      </c>
    </row>
    <row r="2646">
      <c r="A2646" s="2" t="s">
        <v>5219</v>
      </c>
      <c r="B2646" s="3" t="str">
        <f>IFERROR(__xludf.DUMMYFUNCTION("GOOGLETRANSLATE(A2646, ""ar"", ""bn"")"),"বাস্তবায়ন")</f>
        <v>বাস্তবায়ন</v>
      </c>
    </row>
    <row r="2647">
      <c r="A2647" s="2" t="s">
        <v>5220</v>
      </c>
      <c r="B2647" s="3" t="str">
        <f>IFERROR(__xludf.DUMMYFUNCTION("GOOGLETRANSLATE(A2647, ""ar"", ""bn"")"),"ব্যতিক্রম")</f>
        <v>ব্যতিক্রম</v>
      </c>
    </row>
    <row r="2648">
      <c r="A2648" s="2" t="s">
        <v>5221</v>
      </c>
      <c r="B2648" s="3" t="str">
        <f>IFERROR(__xludf.DUMMYFUNCTION("GOOGLETRANSLATE(A2648, ""ar"", ""bn"")"),"অব্যাহতি")</f>
        <v>অব্যাহতি</v>
      </c>
    </row>
    <row r="2649">
      <c r="A2649" s="2" t="s">
        <v>5221</v>
      </c>
      <c r="B2649" s="3" t="str">
        <f>IFERROR(__xludf.DUMMYFUNCTION("GOOGLETRANSLATE(A2649, ""ar"", ""bn"")"),"অব্যাহতি")</f>
        <v>অব্যাহতি</v>
      </c>
    </row>
    <row r="2650">
      <c r="A2650" s="2" t="s">
        <v>5221</v>
      </c>
      <c r="B2650" s="3" t="str">
        <f>IFERROR(__xludf.DUMMYFUNCTION("GOOGLETRANSLATE(A2650, ""ar"", ""bn"")"),"অব্যাহতি")</f>
        <v>অব্যাহতি</v>
      </c>
    </row>
    <row r="2651">
      <c r="A2651" s="2" t="s">
        <v>5222</v>
      </c>
      <c r="B2651" s="3" t="str">
        <f>IFERROR(__xludf.DUMMYFUNCTION("GOOGLETRANSLATE(A2651, ""ar"", ""bn"")"),"ছাড়")</f>
        <v>ছাড়</v>
      </c>
    </row>
    <row r="2652">
      <c r="A2652" s="2" t="s">
        <v>5223</v>
      </c>
      <c r="B2652" s="3" t="str">
        <f>IFERROR(__xludf.DUMMYFUNCTION("GOOGLETRANSLATE(A2652, ""ar"", ""bn"")"),"অব্যাহতিপ্রাপ্ত")</f>
        <v>অব্যাহতিপ্রাপ্ত</v>
      </c>
    </row>
    <row r="2653">
      <c r="A2653" s="2" t="s">
        <v>5224</v>
      </c>
      <c r="B2653" s="3" t="str">
        <f>IFERROR(__xludf.DUMMYFUNCTION("GOOGLETRANSLATE(A2653, ""ar"", ""bn"")"),"এক্সস্ট")</f>
        <v>এক্সস্ট</v>
      </c>
    </row>
    <row r="2654">
      <c r="A2654" s="2" t="s">
        <v>5225</v>
      </c>
      <c r="B2654" s="3" t="str">
        <f>IFERROR(__xludf.DUMMYFUNCTION("GOOGLETRANSLATE(A2654, ""ar"", ""bn"")"),"ক্লান্ত")</f>
        <v>ক্লান্ত</v>
      </c>
    </row>
    <row r="2655">
      <c r="A2655" s="2" t="s">
        <v>5226</v>
      </c>
      <c r="B2655" s="3" t="str">
        <f>IFERROR(__xludf.DUMMYFUNCTION("GOOGLETRANSLATE(A2655, ""ar"", ""bn"")"),"ক্ষয়শীল")</f>
        <v>ক্ষয়শীল</v>
      </c>
    </row>
    <row r="2656">
      <c r="A2656" s="2" t="s">
        <v>4432</v>
      </c>
      <c r="B2656" s="3" t="str">
        <f>IFERROR(__xludf.DUMMYFUNCTION("GOOGLETRANSLATE(A2656, ""ar"", ""bn"")"),"অবসন্ন")</f>
        <v>অবসন্ন</v>
      </c>
    </row>
    <row r="2657">
      <c r="A2657" s="2" t="s">
        <v>5227</v>
      </c>
      <c r="B2657" s="3" t="str">
        <f>IFERROR(__xludf.DUMMYFUNCTION("GOOGLETRANSLATE(A2657, ""ar"", ""bn"")"),"অবসাদ")</f>
        <v>অবসাদ</v>
      </c>
    </row>
    <row r="2658">
      <c r="A2658" s="2" t="s">
        <v>5228</v>
      </c>
      <c r="B2658" s="3" t="str">
        <f>IFERROR(__xludf.DUMMYFUNCTION("GOOGLETRANSLATE(A2658, ""ar"", ""bn"")"),"অন্তর্ভুক্ত")</f>
        <v>অন্তর্ভুক্ত</v>
      </c>
    </row>
    <row r="2659">
      <c r="A2659" s="2" t="s">
        <v>5229</v>
      </c>
      <c r="B2659" s="3" t="str">
        <f>IFERROR(__xludf.DUMMYFUNCTION("GOOGLETRANSLATE(A2659, ""ar"", ""bn"")"),"ব্যাপকভাবে")</f>
        <v>ব্যাপকভাবে</v>
      </c>
    </row>
    <row r="2660">
      <c r="A2660" s="2" t="s">
        <v>5230</v>
      </c>
      <c r="B2660" s="3" t="str">
        <f>IFERROR(__xludf.DUMMYFUNCTION("GOOGLETRANSLATE(A2660, ""ar"", ""bn"")"),"এক্সস্ট")</f>
        <v>এক্সস্ট</v>
      </c>
    </row>
    <row r="2661">
      <c r="A2661" s="2" t="s">
        <v>5231</v>
      </c>
      <c r="B2661" s="3" t="str">
        <f>IFERROR(__xludf.DUMMYFUNCTION("GOOGLETRANSLATE(A2661, ""ar"", ""bn"")"),"নির্বাসন")</f>
        <v>নির্বাসন</v>
      </c>
    </row>
    <row r="2662">
      <c r="A2662" s="2" t="s">
        <v>5232</v>
      </c>
      <c r="B2662" s="3" t="str">
        <f>IFERROR(__xludf.DUMMYFUNCTION("GOOGLETRANSLATE(A2662, ""ar"", ""bn"")"),"নির্বাসন")</f>
        <v>নির্বাসন</v>
      </c>
    </row>
    <row r="2663">
      <c r="A2663" s="2" t="s">
        <v>5233</v>
      </c>
      <c r="B2663" s="3" t="str">
        <f>IFERROR(__xludf.DUMMYFUNCTION("GOOGLETRANSLATE(A2663, ""ar"", ""bn"")"),"নির্বাসিত")</f>
        <v>নির্বাসিত</v>
      </c>
    </row>
    <row r="2664">
      <c r="A2664" s="2" t="s">
        <v>5234</v>
      </c>
      <c r="B2664" s="3" t="str">
        <f>IFERROR(__xludf.DUMMYFUNCTION("GOOGLETRANSLATE(A2664, ""ar"", ""bn"")"),"বাহির")</f>
        <v>বাহির</v>
      </c>
    </row>
    <row r="2665">
      <c r="A2665" s="2" t="s">
        <v>5235</v>
      </c>
      <c r="B2665" s="3" t="str">
        <f>IFERROR(__xludf.DUMMYFUNCTION("GOOGLETRANSLATE(A2665, ""ar"", ""bn"")"),"বেরিয়ে আসেন")</f>
        <v>বেরিয়ে আসেন</v>
      </c>
    </row>
    <row r="2666">
      <c r="A2666" s="2" t="s">
        <v>5236</v>
      </c>
      <c r="B2666" s="3" t="str">
        <f>IFERROR(__xludf.DUMMYFUNCTION("GOOGLETRANSLATE(A2666, ""ar"", ""bn"")"),"বাহির")</f>
        <v>বাহির</v>
      </c>
    </row>
    <row r="2667">
      <c r="A2667" s="2" t="s">
        <v>5237</v>
      </c>
      <c r="B2667" s="3" t="str">
        <f>IFERROR(__xludf.DUMMYFUNCTION("GOOGLETRANSLATE(A2667, ""ar"", ""bn"")"),"প্রস্থান")</f>
        <v>প্রস্থান</v>
      </c>
    </row>
    <row r="2668">
      <c r="A2668" s="2" t="s">
        <v>5238</v>
      </c>
      <c r="B2668" s="3" t="str">
        <f>IFERROR(__xludf.DUMMYFUNCTION("GOOGLETRANSLATE(A2668, ""ar"", ""bn"")"),"যন্ত্র")</f>
        <v>যন্ত্র</v>
      </c>
    </row>
    <row r="2669">
      <c r="A2669" s="2" t="s">
        <v>5239</v>
      </c>
      <c r="B2669" s="3" t="str">
        <f>IFERROR(__xludf.DUMMYFUNCTION("GOOGLETRANSLATE(A2669, ""ar"", ""bn"")"),"অজুহাত")</f>
        <v>অজুহাত</v>
      </c>
    </row>
    <row r="2670">
      <c r="A2670" s="2" t="s">
        <v>5185</v>
      </c>
      <c r="B2670" s="3" t="str">
        <f>IFERROR(__xludf.DUMMYFUNCTION("GOOGLETRANSLATE(A2670, ""ar"", ""bn"")"),"পদাঘাত")</f>
        <v>পদাঘাত</v>
      </c>
    </row>
    <row r="2671">
      <c r="A2671" s="2" t="s">
        <v>5185</v>
      </c>
      <c r="B2671" s="3" t="str">
        <f>IFERROR(__xludf.DUMMYFUNCTION("GOOGLETRANSLATE(A2671, ""ar"", ""bn"")"),"পদাঘাত")</f>
        <v>পদাঘাত</v>
      </c>
    </row>
    <row r="2672">
      <c r="A2672" s="2" t="s">
        <v>5185</v>
      </c>
      <c r="B2672" s="3" t="str">
        <f>IFERROR(__xludf.DUMMYFUNCTION("GOOGLETRANSLATE(A2672, ""ar"", ""bn"")"),"পদাঘাত")</f>
        <v>পদাঘাত</v>
      </c>
    </row>
    <row r="2673">
      <c r="A2673" s="2" t="s">
        <v>4888</v>
      </c>
      <c r="B2673" s="3" t="str">
        <f>IFERROR(__xludf.DUMMYFUNCTION("GOOGLETRANSLATE(A2673, ""ar"", ""bn"")"),"আগুন")</f>
        <v>আগুন</v>
      </c>
    </row>
    <row r="2674">
      <c r="A2674" s="2" t="s">
        <v>5240</v>
      </c>
      <c r="B2674" s="3" t="str">
        <f>IFERROR(__xludf.DUMMYFUNCTION("GOOGLETRANSLATE(A2674, ""ar"", ""bn"")"),"ব্যয়")</f>
        <v>ব্যয়</v>
      </c>
    </row>
    <row r="2675">
      <c r="A2675" s="2" t="s">
        <v>5241</v>
      </c>
      <c r="B2675" s="3" t="str">
        <f>IFERROR(__xludf.DUMMYFUNCTION("GOOGLETRANSLATE(A2675, ""ar"", ""bn"")"),"খরচ")</f>
        <v>খরচ</v>
      </c>
    </row>
    <row r="2676">
      <c r="A2676" s="2" t="s">
        <v>4218</v>
      </c>
      <c r="B2676" s="3" t="str">
        <f>IFERROR(__xludf.DUMMYFUNCTION("GOOGLETRANSLATE(A2676, ""ar"", ""bn"")"),"ব্যয়বহুল")</f>
        <v>ব্যয়বহুল</v>
      </c>
    </row>
    <row r="2677">
      <c r="A2677" s="2" t="s">
        <v>5242</v>
      </c>
      <c r="B2677" s="3" t="str">
        <f>IFERROR(__xludf.DUMMYFUNCTION("GOOGLETRANSLATE(A2677, ""ar"", ""bn"")"),"একটি ভারী মূল্য")</f>
        <v>একটি ভারী মূল্য</v>
      </c>
    </row>
    <row r="2678">
      <c r="A2678" s="2" t="s">
        <v>5243</v>
      </c>
      <c r="B2678" s="3" t="str">
        <f>IFERROR(__xludf.DUMMYFUNCTION("GOOGLETRANSLATE(A2678, ""ar"", ""bn"")"),"বিস্ফোরণ")</f>
        <v>বিস্ফোরণ</v>
      </c>
    </row>
    <row r="2679">
      <c r="A2679" s="2" t="s">
        <v>5244</v>
      </c>
      <c r="B2679" s="3" t="str">
        <f>IFERROR(__xludf.DUMMYFUNCTION("GOOGLETRANSLATE(A2679, ""ar"", ""bn"")"),"বিস্ফোরিত")</f>
        <v>বিস্ফোরিত</v>
      </c>
    </row>
    <row r="2680">
      <c r="A2680" s="2" t="s">
        <v>5245</v>
      </c>
      <c r="B2680" s="3" t="str">
        <f>IFERROR(__xludf.DUMMYFUNCTION("GOOGLETRANSLATE(A2680, ""ar"", ""bn"")"),"বিস্ফোরক পদার্থ")</f>
        <v>বিস্ফোরক পদার্থ</v>
      </c>
    </row>
    <row r="2681">
      <c r="A2681" s="2" t="s">
        <v>5246</v>
      </c>
      <c r="B2681" s="3" t="str">
        <f>IFERROR(__xludf.DUMMYFUNCTION("GOOGLETRANSLATE(A2681, ""ar"", ""bn"")"),"বোমারু বিমান")</f>
        <v>বোমারু বিমান</v>
      </c>
    </row>
    <row r="2682">
      <c r="A2682" s="2" t="s">
        <v>5247</v>
      </c>
      <c r="B2682" s="3" t="str">
        <f>IFERROR(__xludf.DUMMYFUNCTION("GOOGLETRANSLATE(A2682, ""ar"", ""bn"")"),"explodes")</f>
        <v>explodes</v>
      </c>
    </row>
    <row r="2683">
      <c r="A2683" s="2" t="s">
        <v>5248</v>
      </c>
      <c r="B2683" s="3" t="str">
        <f>IFERROR(__xludf.DUMMYFUNCTION("GOOGLETRANSLATE(A2683, ""ar"", ""bn"")"),"বিস্ফোরণ")</f>
        <v>বিস্ফোরণ</v>
      </c>
    </row>
    <row r="2684">
      <c r="A2684" s="2" t="s">
        <v>5249</v>
      </c>
      <c r="B2684" s="3" t="str">
        <f>IFERROR(__xludf.DUMMYFUNCTION("GOOGLETRANSLATE(A2684, ""ar"", ""bn"")"),"বিস্ফোরণ")</f>
        <v>বিস্ফোরণ</v>
      </c>
    </row>
    <row r="2685">
      <c r="A2685" s="2" t="s">
        <v>5250</v>
      </c>
      <c r="B2685" s="3" t="str">
        <f>IFERROR(__xludf.DUMMYFUNCTION("GOOGLETRANSLATE(A2685, ""ar"", ""bn"")"),"বিস্ফোরক উপাদান")</f>
        <v>বিস্ফোরক উপাদান</v>
      </c>
    </row>
    <row r="2686">
      <c r="A2686" s="2" t="s">
        <v>5251</v>
      </c>
      <c r="B2686" s="3" t="str">
        <f>IFERROR(__xludf.DUMMYFUNCTION("GOOGLETRANSLATE(A2686, ""ar"", ""bn"")"),"বিস্ফোরক")</f>
        <v>বিস্ফোরক</v>
      </c>
    </row>
    <row r="2687">
      <c r="A2687" s="2" t="s">
        <v>5252</v>
      </c>
      <c r="B2687" s="3" t="str">
        <f>IFERROR(__xludf.DUMMYFUNCTION("GOOGLETRANSLATE(A2687, ""ar"", ""bn"")"),"বিধ্বংসী")</f>
        <v>বিধ্বংসী</v>
      </c>
    </row>
    <row r="2688">
      <c r="A2688" s="2" t="s">
        <v>5251</v>
      </c>
      <c r="B2688" s="3" t="str">
        <f>IFERROR(__xludf.DUMMYFUNCTION("GOOGLETRANSLATE(A2688, ""ar"", ""bn"")"),"বিস্ফোরক")</f>
        <v>বিস্ফোরক</v>
      </c>
    </row>
    <row r="2689">
      <c r="A2689" s="2" t="s">
        <v>5253</v>
      </c>
      <c r="B2689" s="3" t="str">
        <f>IFERROR(__xludf.DUMMYFUNCTION("GOOGLETRANSLATE(A2689, ""ar"", ""bn"")"),"প্রকাশ করা")</f>
        <v>প্রকাশ করা</v>
      </c>
    </row>
    <row r="2690">
      <c r="A2690" s="2" t="s">
        <v>5254</v>
      </c>
      <c r="B2690" s="3" t="str">
        <f>IFERROR(__xludf.DUMMYFUNCTION("GOOGLETRANSLATE(A2690, ""ar"", ""bn"")"),"খোলা")</f>
        <v>খোলা</v>
      </c>
    </row>
    <row r="2691">
      <c r="A2691" s="2" t="s">
        <v>5255</v>
      </c>
      <c r="B2691" s="3" t="str">
        <f>IFERROR(__xludf.DUMMYFUNCTION("GOOGLETRANSLATE(A2691, ""ar"", ""bn"")"),"অনাবৃত")</f>
        <v>অনাবৃত</v>
      </c>
    </row>
    <row r="2692">
      <c r="A2692" s="2" t="s">
        <v>3381</v>
      </c>
      <c r="B2692" s="3" t="str">
        <f>IFERROR(__xludf.DUMMYFUNCTION("GOOGLETRANSLATE(A2692, ""ar"", ""bn"")"),"উন্মূলন")</f>
        <v>উন্মূলন</v>
      </c>
    </row>
    <row r="2693">
      <c r="A2693" s="2" t="s">
        <v>3381</v>
      </c>
      <c r="B2693" s="3" t="str">
        <f>IFERROR(__xludf.DUMMYFUNCTION("GOOGLETRANSLATE(A2693, ""ar"", ""bn"")"),"উন্মূলন")</f>
        <v>উন্মূলন</v>
      </c>
    </row>
    <row r="2694">
      <c r="A2694" s="2" t="s">
        <v>5256</v>
      </c>
      <c r="B2694" s="3" t="str">
        <f>IFERROR(__xludf.DUMMYFUNCTION("GOOGLETRANSLATE(A2694, ""ar"", ""bn"")"),"Lebed")</f>
        <v>Lebed</v>
      </c>
    </row>
    <row r="2695">
      <c r="A2695" s="2" t="s">
        <v>3381</v>
      </c>
      <c r="B2695" s="3" t="str">
        <f>IFERROR(__xludf.DUMMYFUNCTION("GOOGLETRANSLATE(A2695, ""ar"", ""bn"")"),"উন্মূলন")</f>
        <v>উন্মূলন</v>
      </c>
    </row>
    <row r="2696">
      <c r="A2696" s="2" t="s">
        <v>3381</v>
      </c>
      <c r="B2696" s="3" t="str">
        <f>IFERROR(__xludf.DUMMYFUNCTION("GOOGLETRANSLATE(A2696, ""ar"", ""bn"")"),"উন্মূলন")</f>
        <v>উন্মূলন</v>
      </c>
    </row>
    <row r="2697">
      <c r="A2697" s="2" t="s">
        <v>5257</v>
      </c>
      <c r="B2697" s="3" t="str">
        <f>IFERROR(__xludf.DUMMYFUNCTION("GOOGLETRANSLATE(A2697, ""ar"", ""bn"")"),"গণহত্যা")</f>
        <v>গণহত্যা</v>
      </c>
    </row>
    <row r="2698">
      <c r="A2698" s="2" t="s">
        <v>5258</v>
      </c>
      <c r="B2698" s="3" t="str">
        <f>IFERROR(__xludf.DUMMYFUNCTION("GOOGLETRANSLATE(A2698, ""ar"", ""bn"")"),"উন্মুলয়িতা")</f>
        <v>উন্মুলয়িতা</v>
      </c>
    </row>
    <row r="2699">
      <c r="A2699" s="2" t="s">
        <v>3381</v>
      </c>
      <c r="B2699" s="3" t="str">
        <f>IFERROR(__xludf.DUMMYFUNCTION("GOOGLETRANSLATE(A2699, ""ar"", ""bn"")"),"উন্মূলন")</f>
        <v>উন্মূলন</v>
      </c>
    </row>
    <row r="2700">
      <c r="A2700" s="2" t="s">
        <v>5259</v>
      </c>
      <c r="B2700" s="3" t="str">
        <f>IFERROR(__xludf.DUMMYFUNCTION("GOOGLETRANSLATE(A2700, ""ar"", ""bn"")"),"লুপ্ত")</f>
        <v>লুপ্ত</v>
      </c>
    </row>
    <row r="2701">
      <c r="A2701" s="2" t="s">
        <v>5260</v>
      </c>
      <c r="B2701" s="3" t="str">
        <f>IFERROR(__xludf.DUMMYFUNCTION("GOOGLETRANSLATE(A2701, ""ar"", ""bn"")"),"বিলোপ")</f>
        <v>বিলোপ</v>
      </c>
    </row>
    <row r="2702">
      <c r="A2702" s="2" t="s">
        <v>5260</v>
      </c>
      <c r="B2702" s="3" t="str">
        <f>IFERROR(__xludf.DUMMYFUNCTION("GOOGLETRANSLATE(A2702, ""ar"", ""bn"")"),"বিলোপ")</f>
        <v>বিলোপ</v>
      </c>
    </row>
    <row r="2703">
      <c r="A2703" s="2" t="s">
        <v>5261</v>
      </c>
      <c r="B2703" s="3" t="str">
        <f>IFERROR(__xludf.DUMMYFUNCTION("GOOGLETRANSLATE(A2703, ""ar"", ""bn"")"),"বিলোপ")</f>
        <v>বিলোপ</v>
      </c>
    </row>
    <row r="2704">
      <c r="A2704" s="2" t="s">
        <v>5262</v>
      </c>
      <c r="B2704" s="3" t="str">
        <f>IFERROR(__xludf.DUMMYFUNCTION("GOOGLETRANSLATE(A2704, ""ar"", ""bn"")"),"নির্বাপিত")</f>
        <v>নির্বাপিত</v>
      </c>
    </row>
    <row r="2705">
      <c r="A2705" s="2" t="s">
        <v>5263</v>
      </c>
      <c r="B2705" s="3" t="str">
        <f>IFERROR(__xludf.DUMMYFUNCTION("GOOGLETRANSLATE(A2705, ""ar"", ""bn"")"),"খালাসী")</f>
        <v>খালাসী</v>
      </c>
    </row>
    <row r="2706">
      <c r="A2706" s="2" t="s">
        <v>5264</v>
      </c>
      <c r="B2706" s="3" t="str">
        <f>IFERROR(__xludf.DUMMYFUNCTION("GOOGLETRANSLATE(A2706, ""ar"", ""bn"")"),"নির্বাপক")</f>
        <v>নির্বাপক</v>
      </c>
    </row>
    <row r="2707">
      <c r="A2707" s="2" t="s">
        <v>5265</v>
      </c>
      <c r="B2707" s="3" t="str">
        <f>IFERROR(__xludf.DUMMYFUNCTION("GOOGLETRANSLATE(A2707, ""ar"", ""bn"")"),"সুইচগুলো বন্ধ")</f>
        <v>সুইচগুলো বন্ধ</v>
      </c>
    </row>
    <row r="2708">
      <c r="A2708" s="2" t="s">
        <v>5261</v>
      </c>
      <c r="B2708" s="3" t="str">
        <f>IFERROR(__xludf.DUMMYFUNCTION("GOOGLETRANSLATE(A2708, ""ar"", ""bn"")"),"বিলোপ")</f>
        <v>বিলোপ</v>
      </c>
    </row>
    <row r="2709">
      <c r="A2709" s="2" t="s">
        <v>5261</v>
      </c>
      <c r="B2709" s="3" t="str">
        <f>IFERROR(__xludf.DUMMYFUNCTION("GOOGLETRANSLATE(A2709, ""ar"", ""bn"")"),"বিলোপ")</f>
        <v>বিলোপ</v>
      </c>
    </row>
    <row r="2710">
      <c r="A2710" s="2" t="s">
        <v>5205</v>
      </c>
      <c r="B2710" s="3" t="str">
        <f>IFERROR(__xludf.DUMMYFUNCTION("GOOGLETRANSLATE(A2710, ""ar"", ""bn"")"),"অত্যধিক")</f>
        <v>অত্যধিক</v>
      </c>
    </row>
    <row r="2711">
      <c r="A2711" s="2" t="s">
        <v>5266</v>
      </c>
      <c r="B2711" s="3" t="str">
        <f>IFERROR(__xludf.DUMMYFUNCTION("GOOGLETRANSLATE(A2711, ""ar"", ""bn"")"),"Extravagantly")</f>
        <v>Extravagantly</v>
      </c>
    </row>
    <row r="2712">
      <c r="A2712" s="2" t="s">
        <v>5267</v>
      </c>
      <c r="B2712" s="3" t="str">
        <f>IFERROR(__xludf.DUMMYFUNCTION("GOOGLETRANSLATE(A2712, ""ar"", ""bn"")"),"প্রণীত")</f>
        <v>প্রণীত</v>
      </c>
    </row>
    <row r="2713">
      <c r="A2713" s="2" t="s">
        <v>5268</v>
      </c>
      <c r="B2713" s="3" t="str">
        <f>IFERROR(__xludf.DUMMYFUNCTION("GOOGLETRANSLATE(A2713, ""ar"", ""bn"")"),"ছলনাপূর্ণ")</f>
        <v>ছলনাপূর্ণ</v>
      </c>
    </row>
    <row r="2714">
      <c r="A2714" s="2" t="s">
        <v>5269</v>
      </c>
      <c r="B2714" s="3" t="str">
        <f>IFERROR(__xludf.DUMMYFUNCTION("GOOGLETRANSLATE(A2714, ""ar"", ""bn"")"),"জালিয়াতি")</f>
        <v>জালিয়াতি</v>
      </c>
    </row>
    <row r="2715">
      <c r="A2715" s="2" t="s">
        <v>5270</v>
      </c>
      <c r="B2715" s="3" t="str">
        <f>IFERROR(__xludf.DUMMYFUNCTION("GOOGLETRANSLATE(A2715, ""ar"", ""bn"")"),"fabricating")</f>
        <v>fabricating</v>
      </c>
    </row>
    <row r="2716">
      <c r="A2716" s="2" t="s">
        <v>5269</v>
      </c>
      <c r="B2716" s="3" t="str">
        <f>IFERROR(__xludf.DUMMYFUNCTION("GOOGLETRANSLATE(A2716, ""ar"", ""bn"")"),"জালিয়াতি")</f>
        <v>জালিয়াতি</v>
      </c>
    </row>
    <row r="2717">
      <c r="A2717" s="2" t="s">
        <v>5271</v>
      </c>
      <c r="B2717" s="3" t="str">
        <f>IFERROR(__xludf.DUMMYFUNCTION("GOOGLETRANSLATE(A2717, ""ar"", ""bn"")"),"মিথ্যা")</f>
        <v>মিথ্যা</v>
      </c>
    </row>
    <row r="2718">
      <c r="A2718" s="2" t="s">
        <v>5272</v>
      </c>
      <c r="B2718" s="3" t="str">
        <f>IFERROR(__xludf.DUMMYFUNCTION("GOOGLETRANSLATE(A2718, ""ar"", ""bn"")"),"গড়া")</f>
        <v>গড়া</v>
      </c>
    </row>
    <row r="2719">
      <c r="A2719" s="2" t="s">
        <v>5273</v>
      </c>
      <c r="B2719" s="3" t="str">
        <f>IFERROR(__xludf.DUMMYFUNCTION("GOOGLETRANSLATE(A2719, ""ar"", ""bn"")"),"গে")</f>
        <v>গে</v>
      </c>
    </row>
    <row r="2720">
      <c r="A2720" s="2" t="s">
        <v>5274</v>
      </c>
      <c r="B2720" s="3" t="str">
        <f>IFERROR(__xludf.DUMMYFUNCTION("GOOGLETRANSLATE(A2720, ""ar"", ""bn"")"),"গে একদল")</f>
        <v>গে একদল</v>
      </c>
    </row>
    <row r="2721">
      <c r="A2721" s="2" t="s">
        <v>5275</v>
      </c>
      <c r="B2721" s="3" t="str">
        <f>IFERROR(__xludf.DUMMYFUNCTION("GOOGLETRANSLATE(A2721, ""ar"", ""bn"")"),"ব্যর্থ")</f>
        <v>ব্যর্থ</v>
      </c>
    </row>
    <row r="2722">
      <c r="A2722" s="2" t="s">
        <v>5275</v>
      </c>
      <c r="B2722" s="3" t="str">
        <f>IFERROR(__xludf.DUMMYFUNCTION("GOOGLETRANSLATE(A2722, ""ar"", ""bn"")"),"ব্যর্থ")</f>
        <v>ব্যর্থ</v>
      </c>
    </row>
    <row r="2723">
      <c r="A2723" s="2" t="s">
        <v>5276</v>
      </c>
      <c r="B2723" s="3" t="str">
        <f>IFERROR(__xludf.DUMMYFUNCTION("GOOGLETRANSLATE(A2723, ""ar"", ""bn"")"),"ব্যার্থ")</f>
        <v>ব্যার্থ</v>
      </c>
    </row>
    <row r="2724">
      <c r="A2724" s="2" t="s">
        <v>5277</v>
      </c>
      <c r="B2724" s="3" t="str">
        <f>IFERROR(__xludf.DUMMYFUNCTION("GOOGLETRANSLATE(A2724, ""ar"", ""bn"")"),"অপ্রতুলতা")</f>
        <v>অপ্রতুলতা</v>
      </c>
    </row>
    <row r="2725">
      <c r="A2725" s="2" t="s">
        <v>5275</v>
      </c>
      <c r="B2725" s="3" t="str">
        <f>IFERROR(__xludf.DUMMYFUNCTION("GOOGLETRANSLATE(A2725, ""ar"", ""bn"")"),"ব্যর্থ")</f>
        <v>ব্যর্থ</v>
      </c>
    </row>
    <row r="2726">
      <c r="A2726" s="2" t="s">
        <v>5275</v>
      </c>
      <c r="B2726" s="3" t="str">
        <f>IFERROR(__xludf.DUMMYFUNCTION("GOOGLETRANSLATE(A2726, ""ar"", ""bn"")"),"ব্যর্থ")</f>
        <v>ব্যর্থ</v>
      </c>
    </row>
    <row r="2727">
      <c r="A2727" s="2" t="s">
        <v>5278</v>
      </c>
      <c r="B2727" s="3" t="str">
        <f>IFERROR(__xludf.DUMMYFUNCTION("GOOGLETRANSLATE(A2727, ""ar"", ""bn"")"),"ব্যর্থতা")</f>
        <v>ব্যর্থতা</v>
      </c>
    </row>
    <row r="2728">
      <c r="A2728" s="2" t="s">
        <v>4730</v>
      </c>
      <c r="B2728" s="3" t="str">
        <f>IFERROR(__xludf.DUMMYFUNCTION("GOOGLETRANSLATE(A2728, ""ar"", ""bn"")"),"অজ্ঞান হয়ে")</f>
        <v>অজ্ঞান হয়ে</v>
      </c>
    </row>
    <row r="2729">
      <c r="A2729" s="2" t="s">
        <v>5279</v>
      </c>
      <c r="B2729" s="3" t="str">
        <f>IFERROR(__xludf.DUMMYFUNCTION("GOOGLETRANSLATE(A2729, ""ar"", ""bn"")"),"অজ্ঞান")</f>
        <v>অজ্ঞান</v>
      </c>
    </row>
    <row r="2730">
      <c r="A2730" s="2" t="s">
        <v>5280</v>
      </c>
      <c r="B2730" s="3" t="str">
        <f>IFERROR(__xludf.DUMMYFUNCTION("GOOGLETRANSLATE(A2730, ""ar"", ""bn"")"),"Fainter")</f>
        <v>Fainter</v>
      </c>
    </row>
    <row r="2731">
      <c r="A2731" s="2" t="s">
        <v>5281</v>
      </c>
      <c r="B2731" s="3" t="str">
        <f>IFERROR(__xludf.DUMMYFUNCTION("GOOGLETRANSLATE(A2731, ""ar"", ""bn"")"),"দুর্বল")</f>
        <v>দুর্বল</v>
      </c>
    </row>
    <row r="2732">
      <c r="A2732" s="2" t="s">
        <v>5282</v>
      </c>
      <c r="B2732" s="3" t="str">
        <f>IFERROR(__xludf.DUMMYFUNCTION("GOOGLETRANSLATE(A2732, ""ar"", ""bn"")"),"কাঠির মত")</f>
        <v>কাঠির মত</v>
      </c>
    </row>
    <row r="2733">
      <c r="A2733" s="2" t="s">
        <v>5283</v>
      </c>
      <c r="B2733" s="3" t="str">
        <f>IFERROR(__xludf.DUMMYFUNCTION("GOOGLETRANSLATE(A2733, ""ar"", ""bn"")"),"মূচ্র্ছা")</f>
        <v>মূচ্র্ছা</v>
      </c>
    </row>
    <row r="2734">
      <c r="A2734" s="2" t="s">
        <v>5284</v>
      </c>
      <c r="B2734" s="3" t="str">
        <f>IFERROR(__xludf.DUMMYFUNCTION("GOOGLETRANSLATE(A2734, ""ar"", ""bn"")"),"দুর্বলভাবে")</f>
        <v>দুর্বলভাবে</v>
      </c>
    </row>
    <row r="2735">
      <c r="A2735" s="2" t="s">
        <v>5285</v>
      </c>
      <c r="B2735" s="3" t="str">
        <f>IFERROR(__xludf.DUMMYFUNCTION("GOOGLETRANSLATE(A2735, ""ar"", ""bn"")"),"দুর্বলতা")</f>
        <v>দুর্বলতা</v>
      </c>
    </row>
    <row r="2736">
      <c r="A2736" s="2" t="s">
        <v>5286</v>
      </c>
      <c r="B2736" s="3" t="str">
        <f>IFERROR(__xludf.DUMMYFUNCTION("GOOGLETRANSLATE(A2736, ""ar"", ""bn"")"),"অজ্ঞান")</f>
        <v>অজ্ঞান</v>
      </c>
    </row>
    <row r="2737">
      <c r="A2737" s="2" t="s">
        <v>5287</v>
      </c>
      <c r="B2737" s="3" t="str">
        <f>IFERROR(__xludf.DUMMYFUNCTION("GOOGLETRANSLATE(A2737, ""ar"", ""bn"")"),"মুসলমান না")</f>
        <v>মুসলমান না</v>
      </c>
    </row>
    <row r="2738">
      <c r="A2738" s="2" t="s">
        <v>2494</v>
      </c>
      <c r="B2738" s="3" t="str">
        <f>IFERROR(__xludf.DUMMYFUNCTION("GOOGLETRANSLATE(A2738, ""ar"", ""bn"")"),"বিশ্বাসঘাতকতা")</f>
        <v>বিশ্বাসঘাতকতা</v>
      </c>
    </row>
    <row r="2739">
      <c r="A2739" s="2" t="s">
        <v>5288</v>
      </c>
      <c r="B2739" s="3" t="str">
        <f>IFERROR(__xludf.DUMMYFUNCTION("GOOGLETRANSLATE(A2739, ""ar"", ""bn"")"),"মিথ্যা")</f>
        <v>মিথ্যা</v>
      </c>
    </row>
    <row r="2740">
      <c r="A2740" s="2" t="s">
        <v>3733</v>
      </c>
      <c r="B2740" s="3" t="str">
        <f>IFERROR(__xludf.DUMMYFUNCTION("GOOGLETRANSLATE(A2740, ""ar"", ""bn"")"),"বাজে")</f>
        <v>বাজে</v>
      </c>
    </row>
    <row r="2741">
      <c r="A2741" s="2" t="s">
        <v>5289</v>
      </c>
      <c r="B2741" s="3" t="str">
        <f>IFERROR(__xludf.DUMMYFUNCTION("GOOGLETRANSLATE(A2741, ""ar"", ""bn"")"),"Fakers")</f>
        <v>Fakers</v>
      </c>
    </row>
    <row r="2742">
      <c r="A2742" s="2" t="s">
        <v>5290</v>
      </c>
      <c r="B2742" s="3" t="str">
        <f>IFERROR(__xludf.DUMMYFUNCTION("GOOGLETRANSLATE(A2742, ""ar"", ""bn"")"),"জাল")</f>
        <v>জাল</v>
      </c>
    </row>
    <row r="2743">
      <c r="A2743" s="2" t="s">
        <v>5291</v>
      </c>
      <c r="B2743" s="3" t="str">
        <f>IFERROR(__xludf.DUMMYFUNCTION("GOOGLETRANSLATE(A2743, ""ar"", ""bn"")"),"মিথ্যা")</f>
        <v>মিথ্যা</v>
      </c>
    </row>
    <row r="2744">
      <c r="A2744" s="2" t="s">
        <v>5292</v>
      </c>
      <c r="B2744" s="3" t="str">
        <f>IFERROR(__xludf.DUMMYFUNCTION("GOOGLETRANSLATE(A2744, ""ar"", ""bn"")"),"হেত্বাভাস")</f>
        <v>হেত্বাভাস</v>
      </c>
    </row>
    <row r="2745">
      <c r="A2745" s="2" t="s">
        <v>5293</v>
      </c>
      <c r="B2745" s="3" t="str">
        <f>IFERROR(__xludf.DUMMYFUNCTION("GOOGLETRANSLATE(A2745, ""ar"", ""bn"")"),"শাখা বিস্তার")</f>
        <v>শাখা বিস্তার</v>
      </c>
    </row>
    <row r="2746">
      <c r="A2746" s="2" t="s">
        <v>5294</v>
      </c>
      <c r="B2746" s="3" t="str">
        <f>IFERROR(__xludf.DUMMYFUNCTION("GOOGLETRANSLATE(A2746, ""ar"", ""bn"")"),"মিথ্যা")</f>
        <v>মিথ্যা</v>
      </c>
    </row>
    <row r="2747">
      <c r="A2747" s="2" t="s">
        <v>5295</v>
      </c>
      <c r="B2747" s="3" t="str">
        <f>IFERROR(__xludf.DUMMYFUNCTION("GOOGLETRANSLATE(A2747, ""ar"", ""bn"")"),"মিথ্যাচার")</f>
        <v>মিথ্যাচার</v>
      </c>
    </row>
    <row r="2748">
      <c r="A2748" s="2" t="s">
        <v>5296</v>
      </c>
      <c r="B2748" s="3" t="str">
        <f>IFERROR(__xludf.DUMMYFUNCTION("GOOGLETRANSLATE(A2748, ""ar"", ""bn"")"),"তোতলান")</f>
        <v>তোতলান</v>
      </c>
    </row>
    <row r="2749">
      <c r="A2749" s="2" t="s">
        <v>5297</v>
      </c>
      <c r="B2749" s="3" t="str">
        <f>IFERROR(__xludf.DUMMYFUNCTION("GOOGLETRANSLATE(A2749, ""ar"", ""bn"")"),"পদস্খলিত")</f>
        <v>পদস্খলিত</v>
      </c>
    </row>
    <row r="2750">
      <c r="A2750" s="2" t="s">
        <v>5298</v>
      </c>
      <c r="B2750" s="3" t="str">
        <f>IFERROR(__xludf.DUMMYFUNCTION("GOOGLETRANSLATE(A2750, ""ar"", ""bn"")"),"টলায়মান")</f>
        <v>টলায়মান</v>
      </c>
    </row>
    <row r="2751">
      <c r="A2751" s="2" t="s">
        <v>5299</v>
      </c>
      <c r="B2751" s="3" t="str">
        <f>IFERROR(__xludf.DUMMYFUNCTION("GOOGLETRANSLATE(A2751, ""ar"", ""bn"")"),"পদস্খলন")</f>
        <v>পদস্খলন</v>
      </c>
    </row>
    <row r="2752">
      <c r="A2752" s="2" t="s">
        <v>5296</v>
      </c>
      <c r="B2752" s="3" t="str">
        <f>IFERROR(__xludf.DUMMYFUNCTION("GOOGLETRANSLATE(A2752, ""ar"", ""bn"")"),"তোতলান")</f>
        <v>তোতলান</v>
      </c>
    </row>
    <row r="2753">
      <c r="A2753" s="2" t="s">
        <v>5300</v>
      </c>
      <c r="B2753" s="3" t="str">
        <f>IFERROR(__xludf.DUMMYFUNCTION("GOOGLETRANSLATE(A2753, ""ar"", ""bn"")"),"দুর্ভিক্ষ")</f>
        <v>দুর্ভিক্ষ</v>
      </c>
    </row>
    <row r="2754">
      <c r="A2754" s="2" t="s">
        <v>5301</v>
      </c>
      <c r="B2754" s="3" t="str">
        <f>IFERROR(__xludf.DUMMYFUNCTION("GOOGLETRANSLATE(A2754, ""ar"", ""bn"")"),"দুর্ভিক্ষ")</f>
        <v>দুর্ভিক্ষ</v>
      </c>
    </row>
    <row r="2755">
      <c r="A2755" s="2" t="s">
        <v>5302</v>
      </c>
      <c r="B2755" s="3" t="str">
        <f>IFERROR(__xludf.DUMMYFUNCTION("GOOGLETRANSLATE(A2755, ""ar"", ""bn"")"),"ক্ষুধাকাতর")</f>
        <v>ক্ষুধাকাতর</v>
      </c>
    </row>
    <row r="2756">
      <c r="A2756" s="2" t="s">
        <v>3638</v>
      </c>
      <c r="B2756" s="3" t="str">
        <f>IFERROR(__xludf.DUMMYFUNCTION("GOOGLETRANSLATE(A2756, ""ar"", ""bn"")"),"ধর্মান্ধ")</f>
        <v>ধর্মান্ধ</v>
      </c>
    </row>
    <row r="2757">
      <c r="A2757" s="2" t="s">
        <v>3638</v>
      </c>
      <c r="B2757" s="3" t="str">
        <f>IFERROR(__xludf.DUMMYFUNCTION("GOOGLETRANSLATE(A2757, ""ar"", ""bn"")"),"ধর্মান্ধ")</f>
        <v>ধর্মান্ধ</v>
      </c>
    </row>
    <row r="2758">
      <c r="A2758" s="2" t="s">
        <v>5303</v>
      </c>
      <c r="B2758" s="3" t="str">
        <f>IFERROR(__xludf.DUMMYFUNCTION("GOOGLETRANSLATE(A2758, ""ar"", ""bn"")"),"fanatically")</f>
        <v>fanatically</v>
      </c>
    </row>
    <row r="2759">
      <c r="A2759" s="2" t="s">
        <v>5304</v>
      </c>
      <c r="B2759" s="3" t="str">
        <f>IFERROR(__xludf.DUMMYFUNCTION("GOOGLETRANSLATE(A2759, ""ar"", ""bn"")"),"অক্ষমা")</f>
        <v>অক্ষমা</v>
      </c>
    </row>
    <row r="2760">
      <c r="A2760" s="2" t="s">
        <v>3640</v>
      </c>
      <c r="B2760" s="3" t="str">
        <f>IFERROR(__xludf.DUMMYFUNCTION("GOOGLETRANSLATE(A2760, ""ar"", ""bn"")"),"ধর্মান্ধদের")</f>
        <v>ধর্মান্ধদের</v>
      </c>
    </row>
    <row r="2761">
      <c r="A2761" s="2" t="s">
        <v>5305</v>
      </c>
      <c r="B2761" s="3" t="str">
        <f>IFERROR(__xludf.DUMMYFUNCTION("GOOGLETRANSLATE(A2761, ""ar"", ""bn"")"),"প্রহসন")</f>
        <v>প্রহসন</v>
      </c>
    </row>
    <row r="2762">
      <c r="A2762" s="2" t="s">
        <v>5306</v>
      </c>
      <c r="B2762" s="3" t="str">
        <f>IFERROR(__xludf.DUMMYFUNCTION("GOOGLETRANSLATE(A2762, ""ar"", ""bn"")"),"farces")</f>
        <v>farces</v>
      </c>
    </row>
    <row r="2763">
      <c r="A2763" s="2" t="s">
        <v>5307</v>
      </c>
      <c r="B2763" s="3" t="str">
        <f>IFERROR(__xludf.DUMMYFUNCTION("GOOGLETRANSLATE(A2763, ""ar"", ""bn"")"),"ফ্যাসিস্ট")</f>
        <v>ফ্যাসিস্ট</v>
      </c>
    </row>
    <row r="2764">
      <c r="A2764" s="2" t="s">
        <v>5308</v>
      </c>
      <c r="B2764" s="3" t="str">
        <f>IFERROR(__xludf.DUMMYFUNCTION("GOOGLETRANSLATE(A2764, ""ar"", ""bn"")"),"ফ্যাসিস্টদের")</f>
        <v>ফ্যাসিস্টদের</v>
      </c>
    </row>
    <row r="2765">
      <c r="A2765" s="2" t="s">
        <v>5309</v>
      </c>
      <c r="B2765" s="3" t="str">
        <f>IFERROR(__xludf.DUMMYFUNCTION("GOOGLETRANSLATE(A2765, ""ar"", ""bn"")"),"চর্বি")</f>
        <v>চর্বি</v>
      </c>
    </row>
    <row r="2766">
      <c r="A2766" s="2" t="s">
        <v>4457</v>
      </c>
      <c r="B2766" s="3" t="str">
        <f>IFERROR(__xludf.DUMMYFUNCTION("GOOGLETRANSLATE(A2766, ""ar"", ""bn"")"),"মারাত্মক")</f>
        <v>মারাত্মক</v>
      </c>
    </row>
    <row r="2767">
      <c r="A2767" s="2" t="s">
        <v>5310</v>
      </c>
      <c r="B2767" s="3" t="str">
        <f>IFERROR(__xludf.DUMMYFUNCTION("GOOGLETRANSLATE(A2767, ""ar"", ""bn"")"),"নির্বন্ধ")</f>
        <v>নির্বন্ধ</v>
      </c>
    </row>
    <row r="2768">
      <c r="A2768" s="2" t="s">
        <v>5311</v>
      </c>
      <c r="B2768" s="3" t="str">
        <f>IFERROR(__xludf.DUMMYFUNCTION("GOOGLETRANSLATE(A2768, ""ar"", ""bn"")"),"অদৃষ্টবাদী")</f>
        <v>অদৃষ্টবাদী</v>
      </c>
    </row>
    <row r="2769">
      <c r="A2769" s="2" t="s">
        <v>5312</v>
      </c>
      <c r="B2769" s="3" t="str">
        <f>IFERROR(__xludf.DUMMYFUNCTION("GOOGLETRANSLATE(A2769, ""ar"", ""bn"")"),"অদৃষ্টবাদী")</f>
        <v>অদৃষ্টবাদী</v>
      </c>
    </row>
    <row r="2770">
      <c r="A2770" s="2" t="s">
        <v>5313</v>
      </c>
      <c r="B2770" s="3" t="str">
        <f>IFERROR(__xludf.DUMMYFUNCTION("GOOGLETRANSLATE(A2770, ""ar"", ""bn"")"),"Algebraically")</f>
        <v>Algebraically</v>
      </c>
    </row>
    <row r="2771">
      <c r="A2771" s="2" t="s">
        <v>5314</v>
      </c>
      <c r="B2771" s="3" t="str">
        <f>IFERROR(__xludf.DUMMYFUNCTION("GOOGLETRANSLATE(A2771, ""ar"", ""bn"")"),"মৃত্যু")</f>
        <v>মৃত্যু</v>
      </c>
    </row>
    <row r="2772">
      <c r="A2772" s="2" t="s">
        <v>5315</v>
      </c>
      <c r="B2772" s="3" t="str">
        <f>IFERROR(__xludf.DUMMYFUNCTION("GOOGLETRANSLATE(A2772, ""ar"", ""bn"")"),"বিপর্যয়")</f>
        <v>বিপর্যয়</v>
      </c>
    </row>
    <row r="2773">
      <c r="A2773" s="2" t="s">
        <v>5316</v>
      </c>
      <c r="B2773" s="3" t="str">
        <f>IFERROR(__xludf.DUMMYFUNCTION("GOOGLETRANSLATE(A2773, ""ar"", ""bn"")"),"মারাত্মকভাবে")</f>
        <v>মারাত্মকভাবে</v>
      </c>
    </row>
    <row r="2774">
      <c r="A2774" s="1" t="s">
        <v>5317</v>
      </c>
      <c r="B2774" s="3" t="str">
        <f>IFERROR(__xludf.DUMMYFUNCTION("GOOGLETRANSLATE(A2774, ""ar"", ""bn"")"),"লোভী মানুষ")</f>
        <v>লোভী মানুষ</v>
      </c>
    </row>
    <row r="2775">
      <c r="A2775" s="2" t="s">
        <v>5318</v>
      </c>
      <c r="B2775" s="3" t="str">
        <f>IFERROR(__xludf.DUMMYFUNCTION("GOOGLETRANSLATE(A2775, ""ar"", ""bn"")"),"ভাগ্য")</f>
        <v>ভাগ্য</v>
      </c>
    </row>
    <row r="2776">
      <c r="A2776" s="2" t="s">
        <v>5319</v>
      </c>
      <c r="B2776" s="3" t="str">
        <f>IFERROR(__xludf.DUMMYFUNCTION("GOOGLETRANSLATE(A2776, ""ar"", ""bn"")"),"আনুমানিক")</f>
        <v>আনুমানিক</v>
      </c>
    </row>
    <row r="2777">
      <c r="A2777" s="2" t="s">
        <v>5320</v>
      </c>
      <c r="B2777" s="3" t="str">
        <f>IFERROR(__xludf.DUMMYFUNCTION("GOOGLETRANSLATE(A2777, ""ar"", ""bn"")"),"অবশ্যম্ভাবী")</f>
        <v>অবশ্যম্ভাবী</v>
      </c>
    </row>
    <row r="2778">
      <c r="A2778" s="2" t="s">
        <v>5321</v>
      </c>
      <c r="B2778" s="3" t="str">
        <f>IFERROR(__xludf.DUMMYFUNCTION("GOOGLETRANSLATE(A2778, ""ar"", ""bn"")"),"ভাগ্য")</f>
        <v>ভাগ্য</v>
      </c>
    </row>
    <row r="2779">
      <c r="A2779" s="2" t="s">
        <v>5322</v>
      </c>
      <c r="B2779" s="3" t="str">
        <f>IFERROR(__xludf.DUMMYFUNCTION("GOOGLETRANSLATE(A2779, ""ar"", ""bn"")"),"বাবা")</f>
        <v>বাবা</v>
      </c>
    </row>
    <row r="2780">
      <c r="A2780" s="2" t="s">
        <v>5323</v>
      </c>
      <c r="B2780" s="3" t="str">
        <f>IFERROR(__xludf.DUMMYFUNCTION("GOOGLETRANSLATE(A2780, ""ar"", ""bn"")"),"জন্ম দিয়েছিলো")</f>
        <v>জন্ম দিয়েছিলো</v>
      </c>
    </row>
    <row r="2781">
      <c r="A2781" s="2" t="s">
        <v>5324</v>
      </c>
      <c r="B2781" s="3" t="str">
        <f>IFERROR(__xludf.DUMMYFUNCTION("GOOGLETRANSLATE(A2781, ""ar"", ""bn"")"),"পিতৃত্ব")</f>
        <v>পিতৃত্ব</v>
      </c>
    </row>
    <row r="2782">
      <c r="A2782" s="2" t="s">
        <v>5324</v>
      </c>
      <c r="B2782" s="3" t="str">
        <f>IFERROR(__xludf.DUMMYFUNCTION("GOOGLETRANSLATE(A2782, ""ar"", ""bn"")"),"পিতৃত্ব")</f>
        <v>পিতৃত্ব</v>
      </c>
    </row>
    <row r="2783">
      <c r="A2783" s="2" t="s">
        <v>5325</v>
      </c>
      <c r="B2783" s="3" t="str">
        <f>IFERROR(__xludf.DUMMYFUNCTION("GOOGLETRANSLATE(A2783, ""ar"", ""bn"")"),"জন্মভূমি")</f>
        <v>জন্মভূমি</v>
      </c>
    </row>
    <row r="2784">
      <c r="A2784" s="2" t="s">
        <v>5326</v>
      </c>
      <c r="B2784" s="3" t="str">
        <f>IFERROR(__xludf.DUMMYFUNCTION("GOOGLETRANSLATE(A2784, ""ar"", ""bn"")"),"অনাথ")</f>
        <v>অনাথ</v>
      </c>
    </row>
    <row r="2785">
      <c r="A2785" s="2" t="s">
        <v>5327</v>
      </c>
      <c r="B2785" s="3" t="str">
        <f>IFERROR(__xludf.DUMMYFUNCTION("GOOGLETRANSLATE(A2785, ""ar"", ""bn"")"),"পৈতৃক")</f>
        <v>পৈতৃক</v>
      </c>
    </row>
    <row r="2786">
      <c r="A2786" s="2" t="s">
        <v>5328</v>
      </c>
      <c r="B2786" s="3" t="str">
        <f>IFERROR(__xludf.DUMMYFUNCTION("GOOGLETRANSLATE(A2786, ""ar"", ""bn"")"),"বাবা")</f>
        <v>বাবা</v>
      </c>
    </row>
    <row r="2787">
      <c r="A2787" s="2" t="s">
        <v>5329</v>
      </c>
      <c r="B2787" s="3" t="str">
        <f>IFERROR(__xludf.DUMMYFUNCTION("GOOGLETRANSLATE(A2787, ""ar"", ""bn"")"),"ব্যাম")</f>
        <v>ব্যাম</v>
      </c>
    </row>
    <row r="2788">
      <c r="A2788" s="2" t="s">
        <v>5330</v>
      </c>
      <c r="B2788" s="3" t="str">
        <f>IFERROR(__xludf.DUMMYFUNCTION("GOOGLETRANSLATE(A2788, ""ar"", ""bn"")"),"বোঝা")</f>
        <v>বোঝা</v>
      </c>
    </row>
    <row r="2789">
      <c r="A2789" s="2" t="s">
        <v>3227</v>
      </c>
      <c r="B2789" s="3" t="str">
        <f>IFERROR(__xludf.DUMMYFUNCTION("GOOGLETRANSLATE(A2789, ""ar"", ""bn"")"),"অতল")</f>
        <v>অতল</v>
      </c>
    </row>
    <row r="2790">
      <c r="A2790" s="2" t="s">
        <v>5331</v>
      </c>
      <c r="B2790" s="3" t="str">
        <f>IFERROR(__xludf.DUMMYFUNCTION("GOOGLETRANSLATE(A2790, ""ar"", ""bn"")"),"ফাথমস")</f>
        <v>ফাথমস</v>
      </c>
    </row>
    <row r="2791">
      <c r="A2791" s="2" t="s">
        <v>5332</v>
      </c>
      <c r="B2791" s="3" t="str">
        <f>IFERROR(__xludf.DUMMYFUNCTION("GOOGLETRANSLATE(A2791, ""ar"", ""bn"")"),"অবসাদ")</f>
        <v>অবসাদ</v>
      </c>
    </row>
    <row r="2792">
      <c r="A2792" s="2" t="s">
        <v>4432</v>
      </c>
      <c r="B2792" s="3" t="str">
        <f>IFERROR(__xludf.DUMMYFUNCTION("GOOGLETRANSLATE(A2792, ""ar"", ""bn"")"),"অবসন্ন")</f>
        <v>অবসন্ন</v>
      </c>
    </row>
    <row r="2793">
      <c r="A2793" s="2" t="s">
        <v>5333</v>
      </c>
      <c r="B2793" s="3" t="str">
        <f>IFERROR(__xludf.DUMMYFUNCTION("GOOGLETRANSLATE(A2793, ""ar"", ""bn"")"),"জিয়া")</f>
        <v>জিয়া</v>
      </c>
    </row>
    <row r="2794">
      <c r="A2794" s="2" t="s">
        <v>5334</v>
      </c>
      <c r="B2794" s="3" t="str">
        <f>IFERROR(__xludf.DUMMYFUNCTION("GOOGLETRANSLATE(A2794, ""ar"", ""bn"")"),"অতিমাত্রায় উত্তেজিত")</f>
        <v>অতিমাত্রায় উত্তেজিত</v>
      </c>
    </row>
    <row r="2795">
      <c r="A2795" s="2" t="s">
        <v>5335</v>
      </c>
      <c r="B2795" s="3" t="str">
        <f>IFERROR(__xludf.DUMMYFUNCTION("GOOGLETRANSLATE(A2795, ""ar"", ""bn"")"),"Fatless")</f>
        <v>Fatless</v>
      </c>
    </row>
    <row r="2796">
      <c r="A2796" s="2" t="s">
        <v>5336</v>
      </c>
      <c r="B2796" s="3" t="str">
        <f>IFERROR(__xludf.DUMMYFUNCTION("GOOGLETRANSLATE(A2796, ""ar"", ""bn"")"),"স্থূলতা")</f>
        <v>স্থূলতা</v>
      </c>
    </row>
    <row r="2797">
      <c r="A2797" s="2" t="s">
        <v>5337</v>
      </c>
      <c r="B2797" s="3" t="str">
        <f>IFERROR(__xludf.DUMMYFUNCTION("GOOGLETRANSLATE(A2797, ""ar"", ""bn"")"),"চর্বি")</f>
        <v>চর্বি</v>
      </c>
    </row>
    <row r="2798">
      <c r="A2798" s="2" t="s">
        <v>5338</v>
      </c>
      <c r="B2798" s="3" t="str">
        <f>IFERROR(__xludf.DUMMYFUNCTION("GOOGLETRANSLATE(A2798, ""ar"", ""bn"")"),"মোটাসোটা")</f>
        <v>মোটাসোটা</v>
      </c>
    </row>
    <row r="2799">
      <c r="A2799" s="2" t="s">
        <v>5339</v>
      </c>
      <c r="B2799" s="3" t="str">
        <f>IFERROR(__xludf.DUMMYFUNCTION("GOOGLETRANSLATE(A2799, ""ar"", ""bn"")"),"মার্জারিন")</f>
        <v>মার্জারিন</v>
      </c>
    </row>
    <row r="2800">
      <c r="A2800" s="2" t="s">
        <v>5340</v>
      </c>
      <c r="B2800" s="3" t="str">
        <f>IFERROR(__xludf.DUMMYFUNCTION("GOOGLETRANSLATE(A2800, ""ar"", ""bn"")"),"সংপৃক্ত")</f>
        <v>সংপৃক্ত</v>
      </c>
    </row>
    <row r="2801">
      <c r="A2801" s="2" t="s">
        <v>5341</v>
      </c>
      <c r="B2801" s="3" t="str">
        <f>IFERROR(__xludf.DUMMYFUNCTION("GOOGLETRANSLATE(A2801, ""ar"", ""bn"")"),"মোটাতাজাকরণ")</f>
        <v>মোটাতাজাকরণ</v>
      </c>
    </row>
    <row r="2802">
      <c r="A2802" s="2" t="s">
        <v>5342</v>
      </c>
      <c r="B2802" s="3" t="str">
        <f>IFERROR(__xludf.DUMMYFUNCTION("GOOGLETRANSLATE(A2802, ""ar"", ""bn"")"),"জ্ঞানী মানুষ")</f>
        <v>জ্ঞানী মানুষ</v>
      </c>
    </row>
    <row r="2803">
      <c r="A2803" s="2" t="s">
        <v>5343</v>
      </c>
      <c r="B2803" s="3" t="str">
        <f>IFERROR(__xludf.DUMMYFUNCTION("GOOGLETRANSLATE(A2803, ""ar"", ""bn"")"),"মোটা")</f>
        <v>মোটা</v>
      </c>
    </row>
    <row r="2804">
      <c r="A2804" s="2" t="s">
        <v>5336</v>
      </c>
      <c r="B2804" s="3" t="str">
        <f>IFERROR(__xludf.DUMMYFUNCTION("GOOGLETRANSLATE(A2804, ""ar"", ""bn"")"),"স্থূলতা")</f>
        <v>স্থূলতা</v>
      </c>
    </row>
    <row r="2805">
      <c r="A2805" s="2" t="s">
        <v>5343</v>
      </c>
      <c r="B2805" s="3" t="str">
        <f>IFERROR(__xludf.DUMMYFUNCTION("GOOGLETRANSLATE(A2805, ""ar"", ""bn"")"),"মোটা")</f>
        <v>মোটা</v>
      </c>
    </row>
    <row r="2806">
      <c r="A2806" s="2" t="s">
        <v>5344</v>
      </c>
      <c r="B2806" s="3" t="str">
        <f>IFERROR(__xludf.DUMMYFUNCTION("GOOGLETRANSLATE(A2806, ""ar"", ""bn"")"),"চর্বিযুক্ত")</f>
        <v>চর্বিযুক্ত</v>
      </c>
    </row>
    <row r="2807">
      <c r="A2807" s="2" t="s">
        <v>3823</v>
      </c>
      <c r="B2807" s="3" t="str">
        <f>IFERROR(__xludf.DUMMYFUNCTION("GOOGLETRANSLATE(A2807, ""ar"", ""bn"")"),"বিষ্ঠা")</f>
        <v>বিষ্ঠা</v>
      </c>
    </row>
    <row r="2808">
      <c r="A2808" s="2" t="s">
        <v>3212</v>
      </c>
      <c r="B2808" s="3" t="str">
        <f>IFERROR(__xludf.DUMMYFUNCTION("GOOGLETRANSLATE(A2808, ""ar"", ""bn"")"),"নিরীহ")</f>
        <v>নিরীহ</v>
      </c>
    </row>
    <row r="2809">
      <c r="A2809" s="2" t="s">
        <v>5345</v>
      </c>
      <c r="B2809" s="3" t="str">
        <f>IFERROR(__xludf.DUMMYFUNCTION("GOOGLETRANSLATE(A2809, ""ar"", ""bn"")"),"Fatuously")</f>
        <v>Fatuously</v>
      </c>
    </row>
    <row r="2810">
      <c r="A2810" s="2" t="s">
        <v>5346</v>
      </c>
      <c r="B2810" s="3" t="str">
        <f>IFERROR(__xludf.DUMMYFUNCTION("GOOGLETRANSLATE(A2810, ""ar"", ""bn"")"),"ফতোয়া")</f>
        <v>ফতোয়া</v>
      </c>
    </row>
    <row r="2811">
      <c r="A2811" s="2" t="s">
        <v>4457</v>
      </c>
      <c r="B2811" s="3" t="str">
        <f>IFERROR(__xludf.DUMMYFUNCTION("GOOGLETRANSLATE(A2811, ""ar"", ""bn"")"),"মারাত্মক")</f>
        <v>মারাত্মক</v>
      </c>
    </row>
    <row r="2812">
      <c r="A2812" s="2" t="s">
        <v>5310</v>
      </c>
      <c r="B2812" s="3" t="str">
        <f>IFERROR(__xludf.DUMMYFUNCTION("GOOGLETRANSLATE(A2812, ""ar"", ""bn"")"),"নির্বন্ধ")</f>
        <v>নির্বন্ধ</v>
      </c>
    </row>
    <row r="2813">
      <c r="A2813" s="2" t="s">
        <v>5311</v>
      </c>
      <c r="B2813" s="3" t="str">
        <f>IFERROR(__xludf.DUMMYFUNCTION("GOOGLETRANSLATE(A2813, ""ar"", ""bn"")"),"অদৃষ্টবাদী")</f>
        <v>অদৃষ্টবাদী</v>
      </c>
    </row>
    <row r="2814">
      <c r="A2814" s="2" t="s">
        <v>5312</v>
      </c>
      <c r="B2814" s="3" t="str">
        <f>IFERROR(__xludf.DUMMYFUNCTION("GOOGLETRANSLATE(A2814, ""ar"", ""bn"")"),"অদৃষ্টবাদী")</f>
        <v>অদৃষ্টবাদী</v>
      </c>
    </row>
    <row r="2815">
      <c r="A2815" s="2" t="s">
        <v>5313</v>
      </c>
      <c r="B2815" s="3" t="str">
        <f>IFERROR(__xludf.DUMMYFUNCTION("GOOGLETRANSLATE(A2815, ""ar"", ""bn"")"),"Algebraically")</f>
        <v>Algebraically</v>
      </c>
    </row>
    <row r="2816">
      <c r="A2816" s="2" t="s">
        <v>5314</v>
      </c>
      <c r="B2816" s="3" t="str">
        <f>IFERROR(__xludf.DUMMYFUNCTION("GOOGLETRANSLATE(A2816, ""ar"", ""bn"")"),"মৃত্যু")</f>
        <v>মৃত্যু</v>
      </c>
    </row>
    <row r="2817">
      <c r="A2817" s="2" t="s">
        <v>5315</v>
      </c>
      <c r="B2817" s="3" t="str">
        <f>IFERROR(__xludf.DUMMYFUNCTION("GOOGLETRANSLATE(A2817, ""ar"", ""bn"")"),"বিপর্যয়")</f>
        <v>বিপর্যয়</v>
      </c>
    </row>
    <row r="2818">
      <c r="A2818" s="2" t="s">
        <v>5316</v>
      </c>
      <c r="B2818" s="3" t="str">
        <f>IFERROR(__xludf.DUMMYFUNCTION("GOOGLETRANSLATE(A2818, ""ar"", ""bn"")"),"মারাত্মকভাবে")</f>
        <v>মারাত্মকভাবে</v>
      </c>
    </row>
    <row r="2819">
      <c r="A2819" s="2" t="s">
        <v>5332</v>
      </c>
      <c r="B2819" s="3" t="str">
        <f>IFERROR(__xludf.DUMMYFUNCTION("GOOGLETRANSLATE(A2819, ""ar"", ""bn"")"),"অবসাদ")</f>
        <v>অবসাদ</v>
      </c>
    </row>
    <row r="2820">
      <c r="A2820" s="2" t="s">
        <v>4432</v>
      </c>
      <c r="B2820" s="3" t="str">
        <f>IFERROR(__xludf.DUMMYFUNCTION("GOOGLETRANSLATE(A2820, ""ar"", ""bn"")"),"অবসন্ন")</f>
        <v>অবসন্ন</v>
      </c>
    </row>
    <row r="2821">
      <c r="A2821" s="2" t="s">
        <v>5333</v>
      </c>
      <c r="B2821" s="3" t="str">
        <f>IFERROR(__xludf.DUMMYFUNCTION("GOOGLETRANSLATE(A2821, ""ar"", ""bn"")"),"জিয়া")</f>
        <v>জিয়া</v>
      </c>
    </row>
    <row r="2822">
      <c r="A2822" s="2" t="s">
        <v>5334</v>
      </c>
      <c r="B2822" s="3" t="str">
        <f>IFERROR(__xludf.DUMMYFUNCTION("GOOGLETRANSLATE(A2822, ""ar"", ""bn"")"),"অতিমাত্রায় উত্তেজিত")</f>
        <v>অতিমাত্রায় উত্তেজিত</v>
      </c>
    </row>
    <row r="2823">
      <c r="A2823" s="2" t="s">
        <v>5344</v>
      </c>
      <c r="B2823" s="3" t="str">
        <f>IFERROR(__xludf.DUMMYFUNCTION("GOOGLETRANSLATE(A2823, ""ar"", ""bn"")"),"চর্বিযুক্ত")</f>
        <v>চর্বিযুক্ত</v>
      </c>
    </row>
    <row r="2824">
      <c r="A2824" s="2" t="s">
        <v>5172</v>
      </c>
      <c r="B2824" s="3" t="str">
        <f>IFERROR(__xludf.DUMMYFUNCTION("GOOGLETRANSLATE(A2824, ""ar"", ""bn"")"),"ত্রুটি")</f>
        <v>ত্রুটি</v>
      </c>
    </row>
    <row r="2825">
      <c r="A2825" s="2" t="s">
        <v>5347</v>
      </c>
      <c r="B2825" s="3" t="str">
        <f>IFERROR(__xludf.DUMMYFUNCTION("GOOGLETRANSLATE(A2825, ""ar"", ""bn"")"),"Alsdeih")</f>
        <v>Alsdeih</v>
      </c>
    </row>
    <row r="2826">
      <c r="A2826" s="2" t="s">
        <v>5348</v>
      </c>
      <c r="B2826" s="3" t="str">
        <f>IFERROR(__xludf.DUMMYFUNCTION("GOOGLETRANSLATE(A2826, ""ar"", ""bn"")"),"ফল্টিং")</f>
        <v>ফল্টিং</v>
      </c>
    </row>
    <row r="2827">
      <c r="A2827" s="2" t="s">
        <v>5349</v>
      </c>
      <c r="B2827" s="3" t="str">
        <f>IFERROR(__xludf.DUMMYFUNCTION("GOOGLETRANSLATE(A2827, ""ar"", ""bn"")"),"ত্রুটিহীন")</f>
        <v>ত্রুটিহীন</v>
      </c>
    </row>
    <row r="2828">
      <c r="A2828" s="2" t="s">
        <v>5350</v>
      </c>
      <c r="B2828" s="3" t="str">
        <f>IFERROR(__xludf.DUMMYFUNCTION("GOOGLETRANSLATE(A2828, ""ar"", ""bn"")"),"সম্পূর্ণরূপে")</f>
        <v>সম্পূর্ণরূপে</v>
      </c>
    </row>
    <row r="2829">
      <c r="A2829" s="2" t="s">
        <v>5173</v>
      </c>
      <c r="B2829" s="3" t="str">
        <f>IFERROR(__xludf.DUMMYFUNCTION("GOOGLETRANSLATE(A2829, ""ar"", ""bn"")"),"ত্রুটি")</f>
        <v>ত্রুটি</v>
      </c>
    </row>
    <row r="2830">
      <c r="A2830" s="2" t="s">
        <v>3361</v>
      </c>
      <c r="B2830" s="3" t="str">
        <f>IFERROR(__xludf.DUMMYFUNCTION("GOOGLETRANSLATE(A2830, ""ar"", ""bn"")"),"ভুল")</f>
        <v>ভুল</v>
      </c>
    </row>
    <row r="2831">
      <c r="A2831" s="2" t="s">
        <v>5351</v>
      </c>
      <c r="B2831" s="3" t="str">
        <f>IFERROR(__xludf.DUMMYFUNCTION("GOOGLETRANSLATE(A2831, ""ar"", ""bn"")"),"আনুকূল্য")</f>
        <v>আনুকূল্য</v>
      </c>
    </row>
    <row r="2832">
      <c r="A2832" s="2" t="s">
        <v>5352</v>
      </c>
      <c r="B2832" s="3" t="str">
        <f>IFERROR(__xludf.DUMMYFUNCTION("GOOGLETRANSLATE(A2832, ""ar"", ""bn"")"),"ভয়")</f>
        <v>ভয়</v>
      </c>
    </row>
    <row r="2833">
      <c r="A2833" s="2" t="s">
        <v>5015</v>
      </c>
      <c r="B2833" s="3" t="str">
        <f>IFERROR(__xludf.DUMMYFUNCTION("GOOGLETRANSLATE(A2833, ""ar"", ""bn"")"),"ভয়")</f>
        <v>ভয়</v>
      </c>
    </row>
    <row r="2834">
      <c r="A2834" s="2" t="s">
        <v>3469</v>
      </c>
      <c r="B2834" s="3" t="str">
        <f>IFERROR(__xludf.DUMMYFUNCTION("GOOGLETRANSLATE(A2834, ""ar"", ""bn"")"),"ভয়ের")</f>
        <v>ভয়ের</v>
      </c>
    </row>
    <row r="2835">
      <c r="A2835" s="2" t="s">
        <v>5353</v>
      </c>
      <c r="B2835" s="3" t="str">
        <f>IFERROR(__xludf.DUMMYFUNCTION("GOOGLETRANSLATE(A2835, ""ar"", ""bn"")"),"সশঙ্কে")</f>
        <v>সশঙ্কে</v>
      </c>
    </row>
    <row r="2836">
      <c r="A2836" s="2" t="s">
        <v>5354</v>
      </c>
      <c r="B2836" s="3" t="str">
        <f>IFERROR(__xludf.DUMMYFUNCTION("GOOGLETRANSLATE(A2836, ""ar"", ""bn"")"),"ভয়")</f>
        <v>ভয়</v>
      </c>
    </row>
    <row r="2837">
      <c r="A2837" s="2" t="s">
        <v>5355</v>
      </c>
      <c r="B2837" s="3" t="str">
        <f>IFERROR(__xludf.DUMMYFUNCTION("GOOGLETRANSLATE(A2837, ""ar"", ""bn"")"),"ভয়")</f>
        <v>ভয়</v>
      </c>
    </row>
    <row r="2838">
      <c r="A2838" s="2" t="s">
        <v>5356</v>
      </c>
      <c r="B2838" s="3" t="str">
        <f>IFERROR(__xludf.DUMMYFUNCTION("GOOGLETRANSLATE(A2838, ""ar"", ""bn"")"),"নির্ভীক")</f>
        <v>নির্ভীক</v>
      </c>
    </row>
    <row r="2839">
      <c r="A2839" s="2" t="s">
        <v>5357</v>
      </c>
      <c r="B2839" s="3" t="str">
        <f>IFERROR(__xludf.DUMMYFUNCTION("GOOGLETRANSLATE(A2839, ""ar"", ""bn"")"),"ভয় ছাড়াই")</f>
        <v>ভয় ছাড়াই</v>
      </c>
    </row>
    <row r="2840">
      <c r="A2840" s="2" t="s">
        <v>5358</v>
      </c>
      <c r="B2840" s="3" t="str">
        <f>IFERROR(__xludf.DUMMYFUNCTION("GOOGLETRANSLATE(A2840, ""ar"", ""bn"")"),"সাহস")</f>
        <v>সাহস</v>
      </c>
    </row>
    <row r="2841">
      <c r="A2841" s="2" t="s">
        <v>3328</v>
      </c>
      <c r="B2841" s="3" t="str">
        <f>IFERROR(__xludf.DUMMYFUNCTION("GOOGLETRANSLATE(A2841, ""ar"", ""bn"")"),"ভয়")</f>
        <v>ভয়</v>
      </c>
    </row>
    <row r="2842">
      <c r="A2842" s="2" t="s">
        <v>3469</v>
      </c>
      <c r="B2842" s="3" t="str">
        <f>IFERROR(__xludf.DUMMYFUNCTION("GOOGLETRANSLATE(A2842, ""ar"", ""bn"")"),"ভয়ের")</f>
        <v>ভয়ের</v>
      </c>
    </row>
    <row r="2843">
      <c r="A2843" s="2" t="s">
        <v>5359</v>
      </c>
      <c r="B2843" s="3" t="str">
        <f>IFERROR(__xludf.DUMMYFUNCTION("GOOGLETRANSLATE(A2843, ""ar"", ""bn"")"),"ভয়")</f>
        <v>ভয়</v>
      </c>
    </row>
    <row r="2844">
      <c r="A2844" s="2" t="s">
        <v>5015</v>
      </c>
      <c r="B2844" s="3" t="str">
        <f>IFERROR(__xludf.DUMMYFUNCTION("GOOGLETRANSLATE(A2844, ""ar"", ""bn"")"),"ভয়")</f>
        <v>ভয়</v>
      </c>
    </row>
    <row r="2845">
      <c r="A2845" s="2" t="s">
        <v>3469</v>
      </c>
      <c r="B2845" s="3" t="str">
        <f>IFERROR(__xludf.DUMMYFUNCTION("GOOGLETRANSLATE(A2845, ""ar"", ""bn"")"),"ভয়ের")</f>
        <v>ভয়ের</v>
      </c>
    </row>
    <row r="2846">
      <c r="A2846" s="2" t="s">
        <v>5353</v>
      </c>
      <c r="B2846" s="3" t="str">
        <f>IFERROR(__xludf.DUMMYFUNCTION("GOOGLETRANSLATE(A2846, ""ar"", ""bn"")"),"সশঙ্কে")</f>
        <v>সশঙ্কে</v>
      </c>
    </row>
    <row r="2847">
      <c r="A2847" s="2" t="s">
        <v>5354</v>
      </c>
      <c r="B2847" s="3" t="str">
        <f>IFERROR(__xludf.DUMMYFUNCTION("GOOGLETRANSLATE(A2847, ""ar"", ""bn"")"),"ভয়")</f>
        <v>ভয়</v>
      </c>
    </row>
    <row r="2848">
      <c r="A2848" s="2" t="s">
        <v>5355</v>
      </c>
      <c r="B2848" s="3" t="str">
        <f>IFERROR(__xludf.DUMMYFUNCTION("GOOGLETRANSLATE(A2848, ""ar"", ""bn"")"),"ভয়")</f>
        <v>ভয়</v>
      </c>
    </row>
    <row r="2849">
      <c r="A2849" s="2" t="s">
        <v>3328</v>
      </c>
      <c r="B2849" s="3" t="str">
        <f>IFERROR(__xludf.DUMMYFUNCTION("GOOGLETRANSLATE(A2849, ""ar"", ""bn"")"),"ভয়")</f>
        <v>ভয়</v>
      </c>
    </row>
    <row r="2850">
      <c r="A2850" s="2" t="s">
        <v>3469</v>
      </c>
      <c r="B2850" s="3" t="str">
        <f>IFERROR(__xludf.DUMMYFUNCTION("GOOGLETRANSLATE(A2850, ""ar"", ""bn"")"),"ভয়ের")</f>
        <v>ভয়ের</v>
      </c>
    </row>
    <row r="2851">
      <c r="A2851" s="2" t="s">
        <v>5359</v>
      </c>
      <c r="B2851" s="3" t="str">
        <f>IFERROR(__xludf.DUMMYFUNCTION("GOOGLETRANSLATE(A2851, ""ar"", ""bn"")"),"ভয়")</f>
        <v>ভয়</v>
      </c>
    </row>
    <row r="2852">
      <c r="A2852" s="2" t="s">
        <v>3469</v>
      </c>
      <c r="B2852" s="3" t="str">
        <f>IFERROR(__xludf.DUMMYFUNCTION("GOOGLETRANSLATE(A2852, ""ar"", ""bn"")"),"ভয়ের")</f>
        <v>ভয়ের</v>
      </c>
    </row>
    <row r="2853">
      <c r="A2853" s="2" t="s">
        <v>5359</v>
      </c>
      <c r="B2853" s="3" t="str">
        <f>IFERROR(__xludf.DUMMYFUNCTION("GOOGLETRANSLATE(A2853, ""ar"", ""bn"")"),"ভয়")</f>
        <v>ভয়</v>
      </c>
    </row>
    <row r="2854">
      <c r="A2854" s="2" t="s">
        <v>5360</v>
      </c>
      <c r="B2854" s="3" t="str">
        <f>IFERROR(__xludf.DUMMYFUNCTION("GOOGLETRANSLATE(A2854, ""ar"", ""bn"")"),"দুর্বল")</f>
        <v>দুর্বল</v>
      </c>
    </row>
    <row r="2855">
      <c r="A2855" s="2" t="s">
        <v>5361</v>
      </c>
      <c r="B2855" s="3" t="str">
        <f>IFERROR(__xludf.DUMMYFUNCTION("GOOGLETRANSLATE(A2855, ""ar"", ""bn"")"),"দোষ")</f>
        <v>দোষ</v>
      </c>
    </row>
    <row r="2856">
      <c r="A2856" s="2" t="s">
        <v>5362</v>
      </c>
      <c r="B2856" s="3" t="str">
        <f>IFERROR(__xludf.DUMMYFUNCTION("GOOGLETRANSLATE(A2856, ""ar"", ""bn"")"),"দুর্বলতা")</f>
        <v>দুর্বলতা</v>
      </c>
    </row>
    <row r="2857">
      <c r="A2857" s="2" t="s">
        <v>5363</v>
      </c>
      <c r="B2857" s="3" t="str">
        <f>IFERROR(__xludf.DUMMYFUNCTION("GOOGLETRANSLATE(A2857, ""ar"", ""bn"")"),"দুর্বল")</f>
        <v>দুর্বল</v>
      </c>
    </row>
    <row r="2858">
      <c r="A2858" s="2" t="s">
        <v>5364</v>
      </c>
      <c r="B2858" s="3" t="str">
        <f>IFERROR(__xludf.DUMMYFUNCTION("GOOGLETRANSLATE(A2858, ""ar"", ""bn"")"),"ছল করা")</f>
        <v>ছল করা</v>
      </c>
    </row>
    <row r="2859">
      <c r="A2859" s="2" t="s">
        <v>5268</v>
      </c>
      <c r="B2859" s="3" t="str">
        <f>IFERROR(__xludf.DUMMYFUNCTION("GOOGLETRANSLATE(A2859, ""ar"", ""bn"")"),"ছলনাপূর্ণ")</f>
        <v>ছলনাপূর্ণ</v>
      </c>
    </row>
    <row r="2860">
      <c r="A2860" s="2" t="s">
        <v>5365</v>
      </c>
      <c r="B2860" s="3" t="str">
        <f>IFERROR(__xludf.DUMMYFUNCTION("GOOGLETRANSLATE(A2860, ""ar"", ""bn"")"),"অভিশংসক")</f>
        <v>অভিশংসক</v>
      </c>
    </row>
    <row r="2861">
      <c r="A2861" s="2" t="s">
        <v>5366</v>
      </c>
      <c r="B2861" s="3" t="str">
        <f>IFERROR(__xludf.DUMMYFUNCTION("GOOGLETRANSLATE(A2861, ""ar"", ""bn"")"),"Feigns")</f>
        <v>Feigns</v>
      </c>
    </row>
    <row r="2862">
      <c r="A2862" s="2" t="s">
        <v>5367</v>
      </c>
      <c r="B2862" s="3" t="str">
        <f>IFERROR(__xludf.DUMMYFUNCTION("GOOGLETRANSLATE(A2862, ""ar"", ""bn"")"),"ধূর্ত")</f>
        <v>ধূর্ত</v>
      </c>
    </row>
    <row r="2863">
      <c r="A2863" s="2" t="s">
        <v>5368</v>
      </c>
      <c r="B2863" s="3" t="str">
        <f>IFERROR(__xludf.DUMMYFUNCTION("GOOGLETRANSLATE(A2863, ""ar"", ""bn"")"),"ঠাট")</f>
        <v>ঠাট</v>
      </c>
    </row>
    <row r="2864">
      <c r="A2864" s="2" t="s">
        <v>5368</v>
      </c>
      <c r="B2864" s="3" t="str">
        <f>IFERROR(__xludf.DUMMYFUNCTION("GOOGLETRANSLATE(A2864, ""ar"", ""bn"")"),"ঠাট")</f>
        <v>ঠাট</v>
      </c>
    </row>
    <row r="2865">
      <c r="A2865" s="2" t="s">
        <v>4689</v>
      </c>
      <c r="B2865" s="3" t="str">
        <f>IFERROR(__xludf.DUMMYFUNCTION("GOOGLETRANSLATE(A2865, ""ar"", ""bn"")"),"ক্ষতিকর")</f>
        <v>ক্ষতিকর</v>
      </c>
    </row>
    <row r="2866">
      <c r="A2866" s="2" t="s">
        <v>5369</v>
      </c>
      <c r="B2866" s="3" t="str">
        <f>IFERROR(__xludf.DUMMYFUNCTION("GOOGLETRANSLATE(A2866, ""ar"", ""bn"")"),"তীব্র")</f>
        <v>তীব্র</v>
      </c>
    </row>
    <row r="2867">
      <c r="A2867" s="2" t="s">
        <v>5370</v>
      </c>
      <c r="B2867" s="3" t="str">
        <f>IFERROR(__xludf.DUMMYFUNCTION("GOOGLETRANSLATE(A2867, ""ar"", ""bn"")"),"গ্রন্থিল হত্তয়া")</f>
        <v>গ্রন্থিল হত্তয়া</v>
      </c>
    </row>
    <row r="2868">
      <c r="A2868" s="2" t="s">
        <v>5371</v>
      </c>
      <c r="B2868" s="3" t="str">
        <f>IFERROR(__xludf.DUMMYFUNCTION("GOOGLETRANSLATE(A2868, ""ar"", ""bn"")"),"হিংস্রতা")</f>
        <v>হিংস্রতা</v>
      </c>
    </row>
    <row r="2869">
      <c r="A2869" s="2" t="s">
        <v>3377</v>
      </c>
      <c r="B2869" s="3" t="str">
        <f>IFERROR(__xludf.DUMMYFUNCTION("GOOGLETRANSLATE(A2869, ""ar"", ""bn"")"),"চর")</f>
        <v>চর</v>
      </c>
    </row>
    <row r="2870">
      <c r="A2870" s="2" t="s">
        <v>5372</v>
      </c>
      <c r="B2870" s="3" t="str">
        <f>IFERROR(__xludf.DUMMYFUNCTION("GOOGLETRANSLATE(A2870, ""ar"", ""bn"")"),"সামন্ততান্ত্রিক")</f>
        <v>সামন্ততান্ত্রিক</v>
      </c>
    </row>
    <row r="2871">
      <c r="A2871" s="2" t="s">
        <v>5373</v>
      </c>
      <c r="B2871" s="3" t="str">
        <f>IFERROR(__xludf.DUMMYFUNCTION("GOOGLETRANSLATE(A2871, ""ar"", ""bn"")"),"সামন্ততন্ত্র")</f>
        <v>সামন্ততন্ত্র</v>
      </c>
    </row>
    <row r="2872">
      <c r="A2872" s="2" t="s">
        <v>5374</v>
      </c>
      <c r="B2872" s="3" t="str">
        <f>IFERROR(__xludf.DUMMYFUNCTION("GOOGLETRANSLATE(A2872, ""ar"", ""bn"")"),"উষ্ণ আপ")</f>
        <v>উষ্ণ আপ</v>
      </c>
    </row>
    <row r="2873">
      <c r="A2873" s="2" t="s">
        <v>5375</v>
      </c>
      <c r="B2873" s="3" t="str">
        <f>IFERROR(__xludf.DUMMYFUNCTION("GOOGLETRANSLATE(A2873, ""ar"", ""bn"")"),"প্রতিদ্বন্দ্বী")</f>
        <v>প্রতিদ্বন্দ্বী</v>
      </c>
    </row>
    <row r="2874">
      <c r="A2874" s="2" t="s">
        <v>4201</v>
      </c>
      <c r="B2874" s="3" t="str">
        <f>IFERROR(__xludf.DUMMYFUNCTION("GOOGLETRANSLATE(A2874, ""ar"", ""bn"")"),"পার্থক্য")</f>
        <v>পার্থক্য</v>
      </c>
    </row>
    <row r="2875">
      <c r="A2875" s="2" t="s">
        <v>5376</v>
      </c>
      <c r="B2875" s="3" t="str">
        <f>IFERROR(__xludf.DUMMYFUNCTION("GOOGLETRANSLATE(A2875, ""ar"", ""bn"")"),"জ্বর")</f>
        <v>জ্বর</v>
      </c>
    </row>
    <row r="2876">
      <c r="A2876" s="2" t="s">
        <v>5377</v>
      </c>
      <c r="B2876" s="3" t="str">
        <f>IFERROR(__xludf.DUMMYFUNCTION("GOOGLETRANSLATE(A2876, ""ar"", ""bn"")"),"জ্বরাক্রান্ত")</f>
        <v>জ্বরাক্রান্ত</v>
      </c>
    </row>
    <row r="2877">
      <c r="A2877" s="2" t="s">
        <v>5377</v>
      </c>
      <c r="B2877" s="3" t="str">
        <f>IFERROR(__xludf.DUMMYFUNCTION("GOOGLETRANSLATE(A2877, ""ar"", ""bn"")"),"জ্বরাক্রান্ত")</f>
        <v>জ্বরাক্রান্ত</v>
      </c>
    </row>
    <row r="2878">
      <c r="A2878" s="2" t="s">
        <v>5377</v>
      </c>
      <c r="B2878" s="3" t="str">
        <f>IFERROR(__xludf.DUMMYFUNCTION("GOOGLETRANSLATE(A2878, ""ar"", ""bn"")"),"জ্বরাক্রান্ত")</f>
        <v>জ্বরাক্রান্ত</v>
      </c>
    </row>
    <row r="2879">
      <c r="A2879" s="2" t="s">
        <v>5378</v>
      </c>
      <c r="B2879" s="3" t="str">
        <f>IFERROR(__xludf.DUMMYFUNCTION("GOOGLETRANSLATE(A2879, ""ar"", ""bn"")"),"জ্বর")</f>
        <v>জ্বর</v>
      </c>
    </row>
    <row r="2880">
      <c r="A2880" s="2" t="s">
        <v>5377</v>
      </c>
      <c r="B2880" s="3" t="str">
        <f>IFERROR(__xludf.DUMMYFUNCTION("GOOGLETRANSLATE(A2880, ""ar"", ""bn"")"),"জ্বরাক্রান্ত")</f>
        <v>জ্বরাক্রান্ত</v>
      </c>
    </row>
    <row r="2881">
      <c r="A2881" s="2" t="s">
        <v>5377</v>
      </c>
      <c r="B2881" s="3" t="str">
        <f>IFERROR(__xludf.DUMMYFUNCTION("GOOGLETRANSLATE(A2881, ""ar"", ""bn"")"),"জ্বরাক্রান্ত")</f>
        <v>জ্বরাক্রান্ত</v>
      </c>
    </row>
    <row r="2882">
      <c r="A2882" s="2" t="s">
        <v>5275</v>
      </c>
      <c r="B2882" s="3" t="str">
        <f>IFERROR(__xludf.DUMMYFUNCTION("GOOGLETRANSLATE(A2882, ""ar"", ""bn"")"),"ব্যর্থ")</f>
        <v>ব্যর্থ</v>
      </c>
    </row>
    <row r="2883">
      <c r="A2883" s="2" t="s">
        <v>5170</v>
      </c>
      <c r="B2883" s="3" t="str">
        <f>IFERROR(__xludf.DUMMYFUNCTION("GOOGLETRANSLATE(A2883, ""ar"", ""bn"")"),"উদ্বায়ী")</f>
        <v>উদ্বায়ী</v>
      </c>
    </row>
    <row r="2884">
      <c r="A2884" s="2" t="s">
        <v>5379</v>
      </c>
      <c r="B2884" s="3" t="str">
        <f>IFERROR(__xludf.DUMMYFUNCTION("GOOGLETRANSLATE(A2884, ""ar"", ""bn"")"),"অস্থিরতা")</f>
        <v>অস্থিরতা</v>
      </c>
    </row>
    <row r="2885">
      <c r="A2885" s="2" t="s">
        <v>5380</v>
      </c>
      <c r="B2885" s="3" t="str">
        <f>IFERROR(__xludf.DUMMYFUNCTION("GOOGLETRANSLATE(A2885, ""ar"", ""bn"")"),"উসখুস করে")</f>
        <v>উসখুস করে</v>
      </c>
    </row>
    <row r="2886">
      <c r="A2886" s="2" t="s">
        <v>5381</v>
      </c>
      <c r="B2886" s="3" t="str">
        <f>IFERROR(__xludf.DUMMYFUNCTION("GOOGLETRANSLATE(A2886, ""ar"", ""bn"")"),"Tmlmmelt")</f>
        <v>Tmlmmelt</v>
      </c>
    </row>
    <row r="2887">
      <c r="A2887" s="2" t="s">
        <v>5382</v>
      </c>
      <c r="B2887" s="3" t="str">
        <f>IFERROR(__xludf.DUMMYFUNCTION("GOOGLETRANSLATE(A2887, ""ar"", ""bn"")"),"স্নায়বিক অস্থিরতায় ভোগা")</f>
        <v>স্নায়বিক অস্থিরতায় ভোগা</v>
      </c>
    </row>
    <row r="2888">
      <c r="A2888" s="2" t="s">
        <v>5383</v>
      </c>
      <c r="B2888" s="3" t="str">
        <f>IFERROR(__xludf.DUMMYFUNCTION("GOOGLETRANSLATE(A2888, ""ar"", ""bn"")"),"উসখুসানি")</f>
        <v>উসখুসানি</v>
      </c>
    </row>
    <row r="2889">
      <c r="A2889" s="2" t="s">
        <v>5384</v>
      </c>
      <c r="B2889" s="3" t="str">
        <f>IFERROR(__xludf.DUMMYFUNCTION("GOOGLETRANSLATE(A2889, ""ar"", ""bn"")"),"নার্ভীয়")</f>
        <v>নার্ভীয়</v>
      </c>
    </row>
    <row r="2890">
      <c r="A2890" s="2" t="s">
        <v>3256</v>
      </c>
      <c r="B2890" s="3" t="str">
        <f>IFERROR(__xludf.DUMMYFUNCTION("GOOGLETRANSLATE(A2890, ""ar"", ""bn"")"),"আসক্ত")</f>
        <v>আসক্ত</v>
      </c>
    </row>
    <row r="2891">
      <c r="A2891" s="2" t="s">
        <v>3818</v>
      </c>
      <c r="B2891" s="3" t="str">
        <f>IFERROR(__xludf.DUMMYFUNCTION("GOOGLETRANSLATE(A2891, ""ar"", ""bn"")"),"পাশবিক")</f>
        <v>পাশবিক</v>
      </c>
    </row>
    <row r="2892">
      <c r="A2892" s="2" t="s">
        <v>3820</v>
      </c>
      <c r="B2892" s="3" t="str">
        <f>IFERROR(__xludf.DUMMYFUNCTION("GOOGLETRANSLATE(A2892, ""ar"", ""bn"")"),"নিষ্ঠুরভাবে")</f>
        <v>নিষ্ঠুরভাবে</v>
      </c>
    </row>
    <row r="2893">
      <c r="A2893" s="2" t="s">
        <v>4563</v>
      </c>
      <c r="B2893" s="3" t="str">
        <f>IFERROR(__xludf.DUMMYFUNCTION("GOOGLETRANSLATE(A2893, ""ar"", ""bn"")"),"শয়তানদের")</f>
        <v>শয়তানদের</v>
      </c>
    </row>
    <row r="2894">
      <c r="A2894" s="2" t="s">
        <v>5385</v>
      </c>
      <c r="B2894" s="3" t="str">
        <f>IFERROR(__xludf.DUMMYFUNCTION("GOOGLETRANSLATE(A2894, ""ar"", ""bn"")"),"হিংসাত্মক")</f>
        <v>হিংসাত্মক</v>
      </c>
    </row>
    <row r="2895">
      <c r="A2895" s="2" t="s">
        <v>5369</v>
      </c>
      <c r="B2895" s="3" t="str">
        <f>IFERROR(__xludf.DUMMYFUNCTION("GOOGLETRANSLATE(A2895, ""ar"", ""bn"")"),"তীব্র")</f>
        <v>তীব্র</v>
      </c>
    </row>
    <row r="2896">
      <c r="A2896" s="2" t="s">
        <v>5371</v>
      </c>
      <c r="B2896" s="3" t="str">
        <f>IFERROR(__xludf.DUMMYFUNCTION("GOOGLETRANSLATE(A2896, ""ar"", ""bn"")"),"হিংস্রতা")</f>
        <v>হিংস্রতা</v>
      </c>
    </row>
    <row r="2897">
      <c r="A2897" s="2" t="s">
        <v>5370</v>
      </c>
      <c r="B2897" s="3" t="str">
        <f>IFERROR(__xludf.DUMMYFUNCTION("GOOGLETRANSLATE(A2897, ""ar"", ""bn"")"),"গ্রন্থিল হত্তয়া")</f>
        <v>গ্রন্থিল হত্তয়া</v>
      </c>
    </row>
    <row r="2898">
      <c r="A2898" s="2" t="s">
        <v>5386</v>
      </c>
      <c r="B2898" s="3" t="str">
        <f>IFERROR(__xludf.DUMMYFUNCTION("GOOGLETRANSLATE(A2898, ""ar"", ""bn"")"),"Stiffest")</f>
        <v>Stiffest</v>
      </c>
    </row>
    <row r="2899">
      <c r="A2899" s="2" t="s">
        <v>5387</v>
      </c>
      <c r="B2899" s="3" t="str">
        <f>IFERROR(__xludf.DUMMYFUNCTION("GOOGLETRANSLATE(A2899, ""ar"", ""bn"")"),"অগ্নিসদৃশ")</f>
        <v>অগ্নিসদৃশ</v>
      </c>
    </row>
    <row r="2900">
      <c r="A2900" s="2" t="s">
        <v>3776</v>
      </c>
      <c r="B2900" s="3" t="str">
        <f>IFERROR(__xludf.DUMMYFUNCTION("GOOGLETRANSLATE(A2900, ""ar"", ""bn"")"),"ঝগড়া")</f>
        <v>ঝগড়া</v>
      </c>
    </row>
    <row r="2901">
      <c r="A2901" s="2" t="s">
        <v>5388</v>
      </c>
      <c r="B2901" s="3" t="str">
        <f>IFERROR(__xludf.DUMMYFUNCTION("GOOGLETRANSLATE(A2901, ""ar"", ""bn"")"),"রেনেসাঁ")</f>
        <v>রেনেসাঁ</v>
      </c>
    </row>
    <row r="2902">
      <c r="A2902" s="2" t="s">
        <v>4067</v>
      </c>
      <c r="B2902" s="3" t="str">
        <f>IFERROR(__xludf.DUMMYFUNCTION("GOOGLETRANSLATE(A2902, ""ar"", ""bn"")"),"যোদ্ধা")</f>
        <v>যোদ্ধা</v>
      </c>
    </row>
    <row r="2903">
      <c r="A2903" s="2" t="s">
        <v>4068</v>
      </c>
      <c r="B2903" s="3" t="str">
        <f>IFERROR(__xludf.DUMMYFUNCTION("GOOGLETRANSLATE(A2903, ""ar"", ""bn"")"),"মুক্তিযোদ্ধার")</f>
        <v>মুক্তিযোদ্ধার</v>
      </c>
    </row>
    <row r="2904">
      <c r="A2904" s="2" t="s">
        <v>5389</v>
      </c>
      <c r="B2904" s="3" t="str">
        <f>IFERROR(__xludf.DUMMYFUNCTION("GOOGLETRANSLATE(A2904, ""ar"", ""bn"")"),"যুদ্ধ")</f>
        <v>যুদ্ধ</v>
      </c>
    </row>
    <row r="2905">
      <c r="A2905" s="2" t="s">
        <v>3550</v>
      </c>
      <c r="B2905" s="3" t="str">
        <f>IFERROR(__xludf.DUMMYFUNCTION("GOOGLETRANSLATE(A2905, ""ar"", ""bn"")"),"যুদ্ধসমূহ")</f>
        <v>যুদ্ধসমূহ</v>
      </c>
    </row>
    <row r="2906">
      <c r="A2906" s="2" t="s">
        <v>4801</v>
      </c>
      <c r="B2906" s="3" t="str">
        <f>IFERROR(__xludf.DUMMYFUNCTION("GOOGLETRANSLATE(A2906, ""ar"", ""bn"")"),"ময়লা")</f>
        <v>ময়লা</v>
      </c>
    </row>
    <row r="2907">
      <c r="A2907" s="2" t="s">
        <v>5390</v>
      </c>
      <c r="B2907" s="3" t="str">
        <f>IFERROR(__xludf.DUMMYFUNCTION("GOOGLETRANSLATE(A2907, ""ar"", ""bn"")"),"Filthiest")</f>
        <v>Filthiest</v>
      </c>
    </row>
    <row r="2908">
      <c r="A2908" s="2" t="s">
        <v>4806</v>
      </c>
      <c r="B2908" s="3" t="str">
        <f>IFERROR(__xludf.DUMMYFUNCTION("GOOGLETRANSLATE(A2908, ""ar"", ""bn"")"),"মলিন")</f>
        <v>মলিন</v>
      </c>
    </row>
    <row r="2909">
      <c r="A2909" s="2" t="s">
        <v>4806</v>
      </c>
      <c r="B2909" s="3" t="str">
        <f>IFERROR(__xludf.DUMMYFUNCTION("GOOGLETRANSLATE(A2909, ""ar"", ""bn"")"),"মলিন")</f>
        <v>মলিন</v>
      </c>
    </row>
    <row r="2910">
      <c r="A2910" s="2" t="s">
        <v>5391</v>
      </c>
      <c r="B2910" s="3" t="str">
        <f>IFERROR(__xludf.DUMMYFUNCTION("GOOGLETRANSLATE(A2910, ""ar"", ""bn"")"),"চালু")</f>
        <v>চালু</v>
      </c>
    </row>
    <row r="2911">
      <c r="A2911" s="2" t="s">
        <v>5392</v>
      </c>
      <c r="B2911" s="3" t="str">
        <f>IFERROR(__xludf.DUMMYFUNCTION("GOOGLETRANSLATE(A2911, ""ar"", ""bn"")"),"খপ্পর")</f>
        <v>খপ্পর</v>
      </c>
    </row>
    <row r="2912">
      <c r="A2912" s="2" t="s">
        <v>5393</v>
      </c>
      <c r="B2912" s="3" t="str">
        <f>IFERROR(__xludf.DUMMYFUNCTION("GOOGLETRANSLATE(A2912, ""ar"", ""bn"")"),"মুষ্টি")</f>
        <v>মুষ্টি</v>
      </c>
    </row>
    <row r="2913">
      <c r="A2913" s="2" t="s">
        <v>5392</v>
      </c>
      <c r="B2913" s="3" t="str">
        <f>IFERROR(__xludf.DUMMYFUNCTION("GOOGLETRANSLATE(A2913, ""ar"", ""bn"")"),"খপ্পর")</f>
        <v>খপ্পর</v>
      </c>
    </row>
    <row r="2914">
      <c r="A2914" s="2" t="s">
        <v>5394</v>
      </c>
      <c r="B2914" s="3" t="str">
        <f>IFERROR(__xludf.DUMMYFUNCTION("GOOGLETRANSLATE(A2914, ""ar"", ""bn"")"),"ঘুসাঘুসি")</f>
        <v>ঘুসাঘুসি</v>
      </c>
    </row>
    <row r="2915">
      <c r="A2915" s="2" t="s">
        <v>5395</v>
      </c>
      <c r="B2915" s="3" t="str">
        <f>IFERROR(__xludf.DUMMYFUNCTION("GOOGLETRANSLATE(A2915, ""ar"", ""bn"")"),"fists")</f>
        <v>fists</v>
      </c>
    </row>
    <row r="2916">
      <c r="A2916" s="2" t="s">
        <v>5396</v>
      </c>
      <c r="B2916" s="3" t="str">
        <f>IFERROR(__xludf.DUMMYFUNCTION("GOOGLETRANSLATE(A2916, ""ar"", ""bn"")"),"ভগন্দর")</f>
        <v>ভগন্দর</v>
      </c>
    </row>
    <row r="2917">
      <c r="A2917" s="2" t="s">
        <v>5397</v>
      </c>
      <c r="B2917" s="3" t="str">
        <f>IFERROR(__xludf.DUMMYFUNCTION("GOOGLETRANSLATE(A2917, ""ar"", ""bn"")"),"ঘোর")</f>
        <v>ঘোর</v>
      </c>
    </row>
    <row r="2918">
      <c r="A2918" s="2" t="s">
        <v>5397</v>
      </c>
      <c r="B2918" s="3" t="str">
        <f>IFERROR(__xludf.DUMMYFUNCTION("GOOGLETRANSLATE(A2918, ""ar"", ""bn"")"),"ঘোর")</f>
        <v>ঘোর</v>
      </c>
    </row>
    <row r="2919">
      <c r="A2919" s="2" t="s">
        <v>5398</v>
      </c>
      <c r="B2919" s="3" t="str">
        <f>IFERROR(__xludf.DUMMYFUNCTION("GOOGLETRANSLATE(A2919, ""ar"", ""bn"")"),"শিখা")</f>
        <v>শিখা</v>
      </c>
    </row>
    <row r="2920">
      <c r="A2920" s="2" t="s">
        <v>5399</v>
      </c>
      <c r="B2920" s="3" t="str">
        <f>IFERROR(__xludf.DUMMYFUNCTION("GOOGLETRANSLATE(A2920, ""ar"", ""bn"")"),"প্রচণ্ড")</f>
        <v>প্রচণ্ড</v>
      </c>
    </row>
    <row r="2921">
      <c r="A2921" s="2" t="s">
        <v>5400</v>
      </c>
      <c r="B2921" s="3" t="str">
        <f>IFERROR(__xludf.DUMMYFUNCTION("GOOGLETRANSLATE(A2921, ""ar"", ""bn"")"),"ফ্লামেনকো")</f>
        <v>ফ্লামেনকো</v>
      </c>
    </row>
    <row r="2922">
      <c r="A2922" s="2" t="s">
        <v>5401</v>
      </c>
      <c r="B2922" s="3" t="str">
        <f>IFERROR(__xludf.DUMMYFUNCTION("GOOGLETRANSLATE(A2922, ""ar"", ""bn"")"),"অদাহ্য")</f>
        <v>অদাহ্য</v>
      </c>
    </row>
    <row r="2923">
      <c r="A2923" s="2" t="s">
        <v>5402</v>
      </c>
      <c r="B2923" s="3" t="str">
        <f>IFERROR(__xludf.DUMMYFUNCTION("GOOGLETRANSLATE(A2923, ""ar"", ""bn"")"),"আগুন")</f>
        <v>আগুন</v>
      </c>
    </row>
    <row r="2924">
      <c r="A2924" s="2" t="s">
        <v>5399</v>
      </c>
      <c r="B2924" s="3" t="str">
        <f>IFERROR(__xludf.DUMMYFUNCTION("GOOGLETRANSLATE(A2924, ""ar"", ""bn"")"),"প্রচণ্ড")</f>
        <v>প্রচণ্ড</v>
      </c>
    </row>
    <row r="2925">
      <c r="A2925" s="2" t="s">
        <v>3677</v>
      </c>
      <c r="B2925" s="3" t="str">
        <f>IFERROR(__xludf.DUMMYFUNCTION("GOOGLETRANSLATE(A2925, ""ar"", ""bn"")"),"অসুবিধা")</f>
        <v>অসুবিধা</v>
      </c>
    </row>
    <row r="2926">
      <c r="A2926" s="2" t="s">
        <v>4507</v>
      </c>
      <c r="B2926" s="3" t="str">
        <f>IFERROR(__xludf.DUMMYFUNCTION("GOOGLETRANSLATE(A2926, ""ar"", ""bn"")"),"ত্রুটিপূর্ণ")</f>
        <v>ত্রুটিপূর্ণ</v>
      </c>
    </row>
    <row r="2927">
      <c r="A2927" s="2" t="s">
        <v>5403</v>
      </c>
      <c r="B2927" s="3" t="str">
        <f>IFERROR(__xludf.DUMMYFUNCTION("GOOGLETRANSLATE(A2927, ""ar"", ""bn"")"),"নিশ্ছিদ্র")</f>
        <v>নিশ্ছিদ্র</v>
      </c>
    </row>
    <row r="2928">
      <c r="A2928" s="2" t="s">
        <v>5404</v>
      </c>
      <c r="B2928" s="3" t="str">
        <f>IFERROR(__xludf.DUMMYFUNCTION("GOOGLETRANSLATE(A2928, ""ar"", ""bn"")"),"নিশ্ছিদ্র")</f>
        <v>নিশ্ছিদ্র</v>
      </c>
    </row>
    <row r="2929">
      <c r="A2929" s="2" t="s">
        <v>3679</v>
      </c>
      <c r="B2929" s="3" t="str">
        <f>IFERROR(__xludf.DUMMYFUNCTION("GOOGLETRANSLATE(A2929, ""ar"", ""bn"")"),"অপূর্ণতা")</f>
        <v>অপূর্ণতা</v>
      </c>
    </row>
    <row r="2930">
      <c r="A2930" s="2" t="s">
        <v>5405</v>
      </c>
      <c r="B2930" s="3" t="str">
        <f>IFERROR(__xludf.DUMMYFUNCTION("GOOGLETRANSLATE(A2930, ""ar"", ""bn"")"),"ভাগা")</f>
        <v>ভাগা</v>
      </c>
    </row>
    <row r="2931">
      <c r="A2931" s="2" t="s">
        <v>5406</v>
      </c>
      <c r="B2931" s="3" t="str">
        <f>IFERROR(__xludf.DUMMYFUNCTION("GOOGLETRANSLATE(A2931, ""ar"", ""bn"")"),"পক্ষোদ্গম")</f>
        <v>পক্ষোদ্গম</v>
      </c>
    </row>
    <row r="2932">
      <c r="A2932" s="2" t="s">
        <v>5407</v>
      </c>
      <c r="B2932" s="3" t="str">
        <f>IFERROR(__xludf.DUMMYFUNCTION("GOOGLETRANSLATE(A2932, ""ar"", ""bn"")"),"সদস্যতা")</f>
        <v>সদস্যতা</v>
      </c>
    </row>
    <row r="2933">
      <c r="A2933" s="2" t="s">
        <v>5408</v>
      </c>
      <c r="B2933" s="3" t="str">
        <f>IFERROR(__xludf.DUMMYFUNCTION("GOOGLETRANSLATE(A2933, ""ar"", ""bn"")"),"নবযুবক")</f>
        <v>নবযুবক</v>
      </c>
    </row>
    <row r="2934">
      <c r="A2934" s="2" t="s">
        <v>5409</v>
      </c>
      <c r="B2934" s="3" t="str">
        <f>IFERROR(__xludf.DUMMYFUNCTION("GOOGLETRANSLATE(A2934, ""ar"", ""bn"")"),"আইরিশ")</f>
        <v>আইরিশ</v>
      </c>
    </row>
    <row r="2935">
      <c r="A2935" s="2" t="s">
        <v>5410</v>
      </c>
      <c r="B2935" s="3" t="str">
        <f>IFERROR(__xludf.DUMMYFUNCTION("GOOGLETRANSLATE(A2935, ""ar"", ""bn"")"),"জায়মান")</f>
        <v>জায়মান</v>
      </c>
    </row>
    <row r="2936">
      <c r="A2936" s="2" t="s">
        <v>5411</v>
      </c>
      <c r="B2936" s="3" t="str">
        <f>IFERROR(__xludf.DUMMYFUNCTION("GOOGLETRANSLATE(A2936, ""ar"", ""bn"")"),"মেয়ে")</f>
        <v>মেয়ে</v>
      </c>
    </row>
    <row r="2937">
      <c r="A2937" s="2" t="s">
        <v>3196</v>
      </c>
      <c r="B2937" s="3" t="str">
        <f>IFERROR(__xludf.DUMMYFUNCTION("GOOGLETRANSLATE(A2937, ""ar"", ""bn"")"),"পলান")</f>
        <v>পলান</v>
      </c>
    </row>
    <row r="2938">
      <c r="A2938" s="2" t="s">
        <v>5412</v>
      </c>
      <c r="B2938" s="3" t="str">
        <f>IFERROR(__xludf.DUMMYFUNCTION("GOOGLETRANSLATE(A2938, ""ar"", ""bn"")"),"উল")</f>
        <v>উল</v>
      </c>
    </row>
    <row r="2939">
      <c r="A2939" s="2" t="s">
        <v>5413</v>
      </c>
      <c r="B2939" s="3" t="str">
        <f>IFERROR(__xludf.DUMMYFUNCTION("GOOGLETRANSLATE(A2939, ""ar"", ""bn"")"),"sheared")</f>
        <v>sheared</v>
      </c>
    </row>
    <row r="2940">
      <c r="A2940" s="2" t="s">
        <v>5414</v>
      </c>
      <c r="B2940" s="3" t="str">
        <f>IFERROR(__xludf.DUMMYFUNCTION("GOOGLETRANSLATE(A2940, ""ar"", ""bn"")"),"fleeces")</f>
        <v>fleeces</v>
      </c>
    </row>
    <row r="2941">
      <c r="A2941" s="2" t="s">
        <v>5415</v>
      </c>
      <c r="B2941" s="3" t="str">
        <f>IFERROR(__xludf.DUMMYFUNCTION("GOOGLETRANSLATE(A2941, ""ar"", ""bn"")"),"Fleecing")</f>
        <v>Fleecing</v>
      </c>
    </row>
    <row r="2942">
      <c r="A2942" s="2" t="s">
        <v>5416</v>
      </c>
      <c r="B2942" s="3" t="str">
        <f>IFERROR(__xludf.DUMMYFUNCTION("GOOGLETRANSLATE(A2942, ""ar"", ""bn"")"),"সুফী")</f>
        <v>সুফী</v>
      </c>
    </row>
    <row r="2943">
      <c r="A2943" s="2" t="s">
        <v>3196</v>
      </c>
      <c r="B2943" s="3" t="str">
        <f>IFERROR(__xludf.DUMMYFUNCTION("GOOGLETRANSLATE(A2943, ""ar"", ""bn"")"),"পলান")</f>
        <v>পলান</v>
      </c>
    </row>
    <row r="2944">
      <c r="A2944" s="2" t="s">
        <v>5417</v>
      </c>
      <c r="B2944" s="3" t="str">
        <f>IFERROR(__xludf.DUMMYFUNCTION("GOOGLETRANSLATE(A2944, ""ar"", ""bn"")"),"পটকার")</f>
        <v>পটকার</v>
      </c>
    </row>
    <row r="2945">
      <c r="A2945" s="2" t="s">
        <v>5418</v>
      </c>
      <c r="B2945" s="3" t="str">
        <f>IFERROR(__xludf.DUMMYFUNCTION("GOOGLETRANSLATE(A2945, ""ar"", ""bn"")"),"বহর")</f>
        <v>বহর</v>
      </c>
    </row>
    <row r="2946">
      <c r="A2946" s="2" t="s">
        <v>5419</v>
      </c>
      <c r="B2946" s="3" t="str">
        <f>IFERROR(__xludf.DUMMYFUNCTION("GOOGLETRANSLATE(A2946, ""ar"", ""bn"")"),"অস্থায়ী")</f>
        <v>অস্থায়ী</v>
      </c>
    </row>
    <row r="2947">
      <c r="A2947" s="2" t="s">
        <v>5420</v>
      </c>
      <c r="B2947" s="3" t="str">
        <f>IFERROR(__xludf.DUMMYFUNCTION("GOOGLETRANSLATE(A2947, ""ar"", ""bn"")"),"অস্থায়ী")</f>
        <v>অস্থায়ী</v>
      </c>
    </row>
    <row r="2948">
      <c r="A2948" s="2" t="s">
        <v>5421</v>
      </c>
      <c r="B2948" s="3" t="str">
        <f>IFERROR(__xludf.DUMMYFUNCTION("GOOGLETRANSLATE(A2948, ""ar"", ""bn"")"),"fleets")</f>
        <v>fleets</v>
      </c>
    </row>
    <row r="2949">
      <c r="A2949" s="2" t="s">
        <v>5419</v>
      </c>
      <c r="B2949" s="3" t="str">
        <f>IFERROR(__xludf.DUMMYFUNCTION("GOOGLETRANSLATE(A2949, ""ar"", ""bn"")"),"অস্থায়ী")</f>
        <v>অস্থায়ী</v>
      </c>
    </row>
    <row r="2950">
      <c r="A2950" s="2" t="s">
        <v>5420</v>
      </c>
      <c r="B2950" s="3" t="str">
        <f>IFERROR(__xludf.DUMMYFUNCTION("GOOGLETRANSLATE(A2950, ""ar"", ""bn"")"),"অস্থায়ী")</f>
        <v>অস্থায়ী</v>
      </c>
    </row>
    <row r="2951">
      <c r="A2951" s="2" t="s">
        <v>5422</v>
      </c>
      <c r="B2951" s="3" t="str">
        <f>IFERROR(__xludf.DUMMYFUNCTION("GOOGLETRANSLATE(A2951, ""ar"", ""bn"")"),"পাতলা")</f>
        <v>পাতলা</v>
      </c>
    </row>
    <row r="2952">
      <c r="A2952" s="2" t="s">
        <v>3705</v>
      </c>
      <c r="B2952" s="3" t="str">
        <f>IFERROR(__xludf.DUMMYFUNCTION("GOOGLETRANSLATE(A2952, ""ar"", ""bn"")"),"অধ: পতন")</f>
        <v>অধ: পতন</v>
      </c>
    </row>
    <row r="2953">
      <c r="A2953" s="2" t="s">
        <v>5297</v>
      </c>
      <c r="B2953" s="3" t="str">
        <f>IFERROR(__xludf.DUMMYFUNCTION("GOOGLETRANSLATE(A2953, ""ar"", ""bn"")"),"পদস্খলিত")</f>
        <v>পদস্খলিত</v>
      </c>
    </row>
    <row r="2954">
      <c r="A2954" s="2" t="s">
        <v>3705</v>
      </c>
      <c r="B2954" s="3" t="str">
        <f>IFERROR(__xludf.DUMMYFUNCTION("GOOGLETRANSLATE(A2954, ""ar"", ""bn"")"),"অধ: পতন")</f>
        <v>অধ: পতন</v>
      </c>
    </row>
    <row r="2955">
      <c r="A2955" s="2" t="s">
        <v>5296</v>
      </c>
      <c r="B2955" s="3" t="str">
        <f>IFERROR(__xludf.DUMMYFUNCTION("GOOGLETRANSLATE(A2955, ""ar"", ""bn"")"),"তোতলান")</f>
        <v>তোতলান</v>
      </c>
    </row>
    <row r="2956">
      <c r="A2956" s="2" t="s">
        <v>5276</v>
      </c>
      <c r="B2956" s="3" t="str">
        <f>IFERROR(__xludf.DUMMYFUNCTION("GOOGLETRANSLATE(A2956, ""ar"", ""bn"")"),"ব্যার্থ")</f>
        <v>ব্যার্থ</v>
      </c>
    </row>
    <row r="2957">
      <c r="A2957" s="2" t="s">
        <v>5423</v>
      </c>
      <c r="B2957" s="3" t="str">
        <f>IFERROR(__xludf.DUMMYFUNCTION("GOOGLETRANSLATE(A2957, ""ar"", ""bn"")"),"শত্রু")</f>
        <v>শত্রু</v>
      </c>
    </row>
    <row r="2958">
      <c r="A2958" s="2" t="s">
        <v>5424</v>
      </c>
      <c r="B2958" s="3" t="str">
        <f>IFERROR(__xludf.DUMMYFUNCTION("GOOGLETRANSLATE(A2958, ""ar"", ""bn"")"),"বিরোধীরা")</f>
        <v>বিরোধীরা</v>
      </c>
    </row>
    <row r="2959">
      <c r="A2959" s="2" t="s">
        <v>5425</v>
      </c>
      <c r="B2959" s="3" t="str">
        <f>IFERROR(__xludf.DUMMYFUNCTION("GOOGLETRANSLATE(A2959, ""ar"", ""bn"")"),"ভ্রূণের")</f>
        <v>ভ্রূণের</v>
      </c>
    </row>
    <row r="2960">
      <c r="A2960" s="2" t="s">
        <v>5426</v>
      </c>
      <c r="B2960" s="3" t="str">
        <f>IFERROR(__xludf.DUMMYFUNCTION("GOOGLETRANSLATE(A2960, ""ar"", ""bn"")"),"দুর্গন্ধযুক্ত")</f>
        <v>দুর্গন্ধযুক্ত</v>
      </c>
    </row>
    <row r="2961">
      <c r="A2961" s="2" t="s">
        <v>5427</v>
      </c>
      <c r="B2961" s="3" t="str">
        <f>IFERROR(__xludf.DUMMYFUNCTION("GOOGLETRANSLATE(A2961, ""ar"", ""bn"")"),"ভ্রূণ")</f>
        <v>ভ্রূণ</v>
      </c>
    </row>
    <row r="2962">
      <c r="A2962" s="2" t="s">
        <v>5428</v>
      </c>
      <c r="B2962" s="3" t="str">
        <f>IFERROR(__xludf.DUMMYFUNCTION("GOOGLETRANSLATE(A2962, ""ar"", ""bn"")"),"ভ্রূণ")</f>
        <v>ভ্রূণ</v>
      </c>
    </row>
    <row r="2963">
      <c r="A2963" s="2" t="s">
        <v>5426</v>
      </c>
      <c r="B2963" s="3" t="str">
        <f>IFERROR(__xludf.DUMMYFUNCTION("GOOGLETRANSLATE(A2963, ""ar"", ""bn"")"),"দুর্গন্ধযুক্ত")</f>
        <v>দুর্গন্ধযুক্ত</v>
      </c>
    </row>
    <row r="2964">
      <c r="A2964" s="2" t="s">
        <v>5429</v>
      </c>
      <c r="B2964" s="3" t="str">
        <f>IFERROR(__xludf.DUMMYFUNCTION("GOOGLETRANSLATE(A2964, ""ar"", ""bn"")"),"দুর্বলতা বিন্দু")</f>
        <v>দুর্বলতা বিন্দু</v>
      </c>
    </row>
    <row r="2965">
      <c r="A2965" s="2" t="s">
        <v>5430</v>
      </c>
      <c r="B2965" s="3" t="str">
        <f>IFERROR(__xludf.DUMMYFUNCTION("GOOGLETRANSLATE(A2965, ""ar"", ""bn"")"),"ভুলত্রুটি")</f>
        <v>ভুলত্রুটি</v>
      </c>
    </row>
    <row r="2966">
      <c r="A2966" s="2" t="s">
        <v>4268</v>
      </c>
      <c r="B2966" s="3" t="str">
        <f>IFERROR(__xludf.DUMMYFUNCTION("GOOGLETRANSLATE(A2966, ""ar"", ""bn"")"),"পাগল")</f>
        <v>পাগল</v>
      </c>
    </row>
    <row r="2967">
      <c r="A2967" s="2" t="s">
        <v>5431</v>
      </c>
      <c r="B2967" s="3" t="str">
        <f>IFERROR(__xludf.DUMMYFUNCTION("GOOGLETRANSLATE(A2967, ""ar"", ""bn"")"),"বোকা বানানো")</f>
        <v>বোকা বানানো</v>
      </c>
    </row>
    <row r="2968">
      <c r="A2968" s="2" t="s">
        <v>3823</v>
      </c>
      <c r="B2968" s="3" t="str">
        <f>IFERROR(__xludf.DUMMYFUNCTION("GOOGLETRANSLATE(A2968, ""ar"", ""bn"")"),"বিষ্ঠা")</f>
        <v>বিষ্ঠা</v>
      </c>
    </row>
    <row r="2969">
      <c r="A2969" s="2" t="s">
        <v>5432</v>
      </c>
      <c r="B2969" s="3" t="str">
        <f>IFERROR(__xludf.DUMMYFUNCTION("GOOGLETRANSLATE(A2969, ""ar"", ""bn"")"),"অদূরদর্শিতা")</f>
        <v>অদূরদর্শিতা</v>
      </c>
    </row>
    <row r="2970">
      <c r="A2970" s="2" t="s">
        <v>5433</v>
      </c>
      <c r="B2970" s="3" t="str">
        <f>IFERROR(__xludf.DUMMYFUNCTION("GOOGLETRANSLATE(A2970, ""ar"", ""bn"")"),"বেপরোয়া")</f>
        <v>বেপরোয়া</v>
      </c>
    </row>
    <row r="2971">
      <c r="A2971" s="2" t="s">
        <v>3587</v>
      </c>
      <c r="B2971" s="3" t="str">
        <f>IFERROR(__xludf.DUMMYFUNCTION("GOOGLETRANSLATE(A2971, ""ar"", ""bn"")"),"প্রতারিত")</f>
        <v>প্রতারিত</v>
      </c>
    </row>
    <row r="2972">
      <c r="A2972" s="2" t="s">
        <v>5434</v>
      </c>
      <c r="B2972" s="3" t="str">
        <f>IFERROR(__xludf.DUMMYFUNCTION("GOOGLETRANSLATE(A2972, ""ar"", ""bn"")"),"নির্বোধ")</f>
        <v>নির্বোধ</v>
      </c>
    </row>
    <row r="2973">
      <c r="A2973" s="2" t="s">
        <v>5435</v>
      </c>
      <c r="B2973" s="3" t="str">
        <f>IFERROR(__xludf.DUMMYFUNCTION("GOOGLETRANSLATE(A2973, ""ar"", ""bn"")"),"মূর্খতাপূর্ণভাবে")</f>
        <v>মূর্খতাপূর্ণভাবে</v>
      </c>
    </row>
    <row r="2974">
      <c r="A2974" s="2" t="s">
        <v>5057</v>
      </c>
      <c r="B2974" s="3" t="str">
        <f>IFERROR(__xludf.DUMMYFUNCTION("GOOGLETRANSLATE(A2974, ""ar"", ""bn"")"),"নির্বুদ্ধিতা")</f>
        <v>নির্বুদ্ধিতা</v>
      </c>
    </row>
    <row r="2975">
      <c r="A2975" s="2" t="s">
        <v>5436</v>
      </c>
      <c r="B2975" s="3" t="str">
        <f>IFERROR(__xludf.DUMMYFUNCTION("GOOGLETRANSLATE(A2975, ""ar"", ""bn"")"),"খুব সহজ")</f>
        <v>খুব সহজ</v>
      </c>
    </row>
    <row r="2976">
      <c r="A2976" s="2" t="s">
        <v>5437</v>
      </c>
      <c r="B2976" s="3" t="str">
        <f>IFERROR(__xludf.DUMMYFUNCTION("GOOGLETRANSLATE(A2976, ""ar"", ""bn"")"),"ফুল")</f>
        <v>ফুল</v>
      </c>
    </row>
    <row r="2977">
      <c r="A2977" s="2" t="s">
        <v>5438</v>
      </c>
      <c r="B2977" s="3" t="str">
        <f>IFERROR(__xludf.DUMMYFUNCTION("GOOGLETRANSLATE(A2977, ""ar"", ""bn"")"),"কাগজের মাপবিশেষ")</f>
        <v>কাগজের মাপবিশেষ</v>
      </c>
    </row>
    <row r="2978">
      <c r="A2978" s="2" t="s">
        <v>5207</v>
      </c>
      <c r="B2978" s="3" t="str">
        <f>IFERROR(__xludf.DUMMYFUNCTION("GOOGLETRANSLATE(A2978, ""ar"", ""bn"")"),"বাধা")</f>
        <v>বাধা</v>
      </c>
    </row>
    <row r="2979">
      <c r="A2979" s="2" t="s">
        <v>5439</v>
      </c>
      <c r="B2979" s="3" t="str">
        <f>IFERROR(__xludf.DUMMYFUNCTION("GOOGLETRANSLATE(A2979, ""ar"", ""bn"")"),"নিষিদ্ধ")</f>
        <v>নিষিদ্ধ</v>
      </c>
    </row>
    <row r="2980">
      <c r="A2980" s="2" t="s">
        <v>5207</v>
      </c>
      <c r="B2980" s="3" t="str">
        <f>IFERROR(__xludf.DUMMYFUNCTION("GOOGLETRANSLATE(A2980, ""ar"", ""bn"")"),"বাধা")</f>
        <v>বাধা</v>
      </c>
    </row>
    <row r="2981">
      <c r="A2981" s="2" t="s">
        <v>5440</v>
      </c>
      <c r="B2981" s="3" t="str">
        <f>IFERROR(__xludf.DUMMYFUNCTION("GOOGLETRANSLATE(A2981, ""ar"", ""bn"")"),"Mumtahinah")</f>
        <v>Mumtahinah</v>
      </c>
    </row>
    <row r="2982">
      <c r="A2982" s="2" t="s">
        <v>5207</v>
      </c>
      <c r="B2982" s="3" t="str">
        <f>IFERROR(__xludf.DUMMYFUNCTION("GOOGLETRANSLATE(A2982, ""ar"", ""bn"")"),"বাধা")</f>
        <v>বাধা</v>
      </c>
    </row>
    <row r="2983">
      <c r="A2983" s="2" t="s">
        <v>5441</v>
      </c>
      <c r="B2983" s="3" t="str">
        <f>IFERROR(__xludf.DUMMYFUNCTION("GOOGLETRANSLATE(A2983, ""ar"", ""bn"")"),"শক্তি")</f>
        <v>শক্তি</v>
      </c>
    </row>
    <row r="2984">
      <c r="A2984" s="2" t="s">
        <v>4049</v>
      </c>
      <c r="B2984" s="3" t="str">
        <f>IFERROR(__xludf.DUMMYFUNCTION("GOOGLETRANSLATE(A2984, ""ar"", ""bn"")"),"জোরপূর্বক")</f>
        <v>জোরপূর্বক</v>
      </c>
    </row>
    <row r="2985">
      <c r="A2985" s="2" t="s">
        <v>5442</v>
      </c>
      <c r="B2985" s="3" t="str">
        <f>IFERROR(__xludf.DUMMYFUNCTION("GOOGLETRANSLATE(A2985, ""ar"", ""bn"")"),"শক্তিশালী")</f>
        <v>শক্তিশালী</v>
      </c>
    </row>
    <row r="2986">
      <c r="A2986" s="2" t="s">
        <v>3295</v>
      </c>
      <c r="B2986" s="3" t="str">
        <f>IFERROR(__xludf.DUMMYFUNCTION("GOOGLETRANSLATE(A2986, ""ar"", ""bn"")"),"প্রবলভাবে")</f>
        <v>প্রবলভাবে</v>
      </c>
    </row>
    <row r="2987">
      <c r="A2987" s="2" t="s">
        <v>5441</v>
      </c>
      <c r="B2987" s="3" t="str">
        <f>IFERROR(__xludf.DUMMYFUNCTION("GOOGLETRANSLATE(A2987, ""ar"", ""bn"")"),"শক্তি")</f>
        <v>শক্তি</v>
      </c>
    </row>
    <row r="2988">
      <c r="A2988" s="2" t="s">
        <v>5443</v>
      </c>
      <c r="B2988" s="3" t="str">
        <f>IFERROR(__xludf.DUMMYFUNCTION("GOOGLETRANSLATE(A2988, ""ar"", ""bn"")"),"চিমটা")</f>
        <v>চিমটা</v>
      </c>
    </row>
    <row r="2989">
      <c r="A2989" s="2" t="s">
        <v>5444</v>
      </c>
      <c r="B2989" s="3" t="str">
        <f>IFERROR(__xludf.DUMMYFUNCTION("GOOGLETRANSLATE(A2989, ""ar"", ""bn"")"),"ফোর্সেস")</f>
        <v>ফোর্সেস</v>
      </c>
    </row>
    <row r="2990">
      <c r="A2990" s="2" t="s">
        <v>5445</v>
      </c>
      <c r="B2990" s="3" t="str">
        <f>IFERROR(__xludf.DUMMYFUNCTION("GOOGLETRANSLATE(A2990, ""ar"", ""bn"")"),"কুবিন্দু")</f>
        <v>কুবিন্দু</v>
      </c>
    </row>
    <row r="2991">
      <c r="A2991" s="2" t="s">
        <v>5446</v>
      </c>
      <c r="B2991" s="3" t="str">
        <f>IFERROR(__xludf.DUMMYFUNCTION("GOOGLETRANSLATE(A2991, ""ar"", ""bn"")"),"Forebodings")</f>
        <v>Forebodings</v>
      </c>
    </row>
    <row r="2992">
      <c r="A2992" s="2" t="s">
        <v>3333</v>
      </c>
      <c r="B2992" s="3" t="str">
        <f>IFERROR(__xludf.DUMMYFUNCTION("GOOGLETRANSLATE(A2992, ""ar"", ""bn"")"),"বিদেশী")</f>
        <v>বিদেশী</v>
      </c>
    </row>
    <row r="2993">
      <c r="A2993" s="2" t="s">
        <v>3333</v>
      </c>
      <c r="B2993" s="3" t="str">
        <f>IFERROR(__xludf.DUMMYFUNCTION("GOOGLETRANSLATE(A2993, ""ar"", ""bn"")"),"বিদেশী")</f>
        <v>বিদেশী</v>
      </c>
    </row>
    <row r="2994">
      <c r="A2994" s="2" t="s">
        <v>3339</v>
      </c>
      <c r="B2994" s="3" t="str">
        <f>IFERROR(__xludf.DUMMYFUNCTION("GOOGLETRANSLATE(A2994, ""ar"", ""bn"")"),"বিদেশীদের")</f>
        <v>বিদেশীদের</v>
      </c>
    </row>
    <row r="2995">
      <c r="A2995" s="2" t="s">
        <v>5447</v>
      </c>
      <c r="B2995" s="3" t="str">
        <f>IFERROR(__xludf.DUMMYFUNCTION("GOOGLETRANSLATE(A2995, ""ar"", ""bn"")"),"অদ্ভুত")</f>
        <v>অদ্ভুত</v>
      </c>
    </row>
    <row r="2996">
      <c r="A2996" s="2" t="s">
        <v>4138</v>
      </c>
      <c r="B2996" s="3" t="str">
        <f>IFERROR(__xludf.DUMMYFUNCTION("GOOGLETRANSLATE(A2996, ""ar"", ""bn"")"),"উপগ্রহণ")</f>
        <v>উপগ্রহণ</v>
      </c>
    </row>
    <row r="2997">
      <c r="A2997" s="2" t="s">
        <v>5448</v>
      </c>
      <c r="B2997" s="3" t="str">
        <f>IFERROR(__xludf.DUMMYFUNCTION("GOOGLETRANSLATE(A2997, ""ar"", ""bn"")"),"বাজেয়াপ্ত")</f>
        <v>বাজেয়াপ্ত</v>
      </c>
    </row>
    <row r="2998">
      <c r="A2998" s="2" t="s">
        <v>4138</v>
      </c>
      <c r="B2998" s="3" t="str">
        <f>IFERROR(__xludf.DUMMYFUNCTION("GOOGLETRANSLATE(A2998, ""ar"", ""bn"")"),"উপগ্রহণ")</f>
        <v>উপগ্রহণ</v>
      </c>
    </row>
    <row r="2999">
      <c r="A2999" s="2" t="s">
        <v>5449</v>
      </c>
      <c r="B2999" s="3" t="str">
        <f>IFERROR(__xludf.DUMMYFUNCTION("GOOGLETRANSLATE(A2999, ""ar"", ""bn"")"),"Expropriations")</f>
        <v>Expropriations</v>
      </c>
    </row>
    <row r="3000">
      <c r="A3000" s="2" t="s">
        <v>4138</v>
      </c>
      <c r="B3000" s="3" t="str">
        <f>IFERROR(__xludf.DUMMYFUNCTION("GOOGLETRANSLATE(A3000, ""ar"", ""bn"")"),"উপগ্রহণ")</f>
        <v>উপগ্রহণ</v>
      </c>
    </row>
    <row r="3001">
      <c r="A3001" s="2" t="s">
        <v>5450</v>
      </c>
      <c r="B3001" s="3" t="str">
        <f>IFERROR(__xludf.DUMMYFUNCTION("GOOGLETRANSLATE(A3001, ""ar"", ""bn"")"),"বিস্মৃতি")</f>
        <v>বিস্মৃতি</v>
      </c>
    </row>
    <row r="3002">
      <c r="A3002" s="2" t="s">
        <v>4595</v>
      </c>
      <c r="B3002" s="3" t="str">
        <f>IFERROR(__xludf.DUMMYFUNCTION("GOOGLETRANSLATE(A3002, ""ar"", ""bn"")"),"দু: স্থ")</f>
        <v>দু: স্থ</v>
      </c>
    </row>
    <row r="3003">
      <c r="A3003" s="2" t="s">
        <v>5451</v>
      </c>
      <c r="B3003" s="3" t="str">
        <f>IFERROR(__xludf.DUMMYFUNCTION("GOOGLETRANSLATE(A3003, ""ar"", ""bn"")"),"পেইড")</f>
        <v>পেইড</v>
      </c>
    </row>
    <row r="3004">
      <c r="A3004" s="2" t="s">
        <v>5452</v>
      </c>
      <c r="B3004" s="3" t="str">
        <f>IFERROR(__xludf.DUMMYFUNCTION("GOOGLETRANSLATE(A3004, ""ar"", ""bn"")"),"প্রচুর")</f>
        <v>প্রচুর</v>
      </c>
    </row>
    <row r="3005">
      <c r="A3005" s="2" t="s">
        <v>3166</v>
      </c>
      <c r="B3005" s="3" t="str">
        <f>IFERROR(__xludf.DUMMYFUNCTION("GOOGLETRANSLATE(A3005, ""ar"", ""bn"")"),"ছুটি")</f>
        <v>ছুটি</v>
      </c>
    </row>
    <row r="3006">
      <c r="A3006" s="2" t="s">
        <v>5453</v>
      </c>
      <c r="B3006" s="3" t="str">
        <f>IFERROR(__xludf.DUMMYFUNCTION("GOOGLETRANSLATE(A3006, ""ar"", ""bn"")"),"পরিত্যক্ত")</f>
        <v>পরিত্যক্ত</v>
      </c>
    </row>
    <row r="3007">
      <c r="A3007" s="2" t="s">
        <v>3167</v>
      </c>
      <c r="B3007" s="3" t="str">
        <f>IFERROR(__xludf.DUMMYFUNCTION("GOOGLETRANSLATE(A3007, ""ar"", ""bn"")"),"পরিত্যাগ করা")</f>
        <v>পরিত্যাগ করা</v>
      </c>
    </row>
    <row r="3008">
      <c r="A3008" s="2" t="s">
        <v>3434</v>
      </c>
      <c r="B3008" s="3" t="str">
        <f>IFERROR(__xludf.DUMMYFUNCTION("GOOGLETRANSLATE(A3008, ""ar"", ""bn"")"),"হত্যাকারী")</f>
        <v>হত্যাকারী</v>
      </c>
    </row>
    <row r="3009">
      <c r="A3009" s="2" t="s">
        <v>5454</v>
      </c>
      <c r="B3009" s="3" t="str">
        <f>IFERROR(__xludf.DUMMYFUNCTION("GOOGLETRANSLATE(A3009, ""ar"", ""bn"")"),"প্রতিষ্ঠাতা")</f>
        <v>প্রতিষ্ঠাতা</v>
      </c>
    </row>
    <row r="3010">
      <c r="A3010" s="2" t="s">
        <v>5297</v>
      </c>
      <c r="B3010" s="3" t="str">
        <f>IFERROR(__xludf.DUMMYFUNCTION("GOOGLETRANSLATE(A3010, ""ar"", ""bn"")"),"পদস্খলিত")</f>
        <v>পদস্খলিত</v>
      </c>
    </row>
    <row r="3011">
      <c r="A3011" s="2" t="s">
        <v>5035</v>
      </c>
      <c r="B3011" s="3" t="str">
        <f>IFERROR(__xludf.DUMMYFUNCTION("GOOGLETRANSLATE(A3011, ""ar"", ""bn"")"),"ডুবন্ত")</f>
        <v>ডুবন্ত</v>
      </c>
    </row>
    <row r="3012">
      <c r="A3012" s="2" t="s">
        <v>5455</v>
      </c>
      <c r="B3012" s="3" t="str">
        <f>IFERROR(__xludf.DUMMYFUNCTION("GOOGLETRANSLATE(A3012, ""ar"", ""bn"")"),"প্রতিষ্ঠাতার")</f>
        <v>প্রতিষ্ঠাতার</v>
      </c>
    </row>
    <row r="3013">
      <c r="A3013" s="2" t="s">
        <v>3798</v>
      </c>
      <c r="B3013" s="3" t="str">
        <f>IFERROR(__xludf.DUMMYFUNCTION("GOOGLETRANSLATE(A3013, ""ar"", ""bn"")"),"ভেঙ্গে ফেলা")</f>
        <v>ভেঙ্গে ফেলা</v>
      </c>
    </row>
    <row r="3014">
      <c r="A3014" s="2" t="s">
        <v>3798</v>
      </c>
      <c r="B3014" s="3" t="str">
        <f>IFERROR(__xludf.DUMMYFUNCTION("GOOGLETRANSLATE(A3014, ""ar"", ""bn"")"),"ভেঙ্গে ফেলা")</f>
        <v>ভেঙ্গে ফেলা</v>
      </c>
    </row>
    <row r="3015">
      <c r="A3015" s="2" t="s">
        <v>5456</v>
      </c>
      <c r="B3015" s="3" t="str">
        <f>IFERROR(__xludf.DUMMYFUNCTION("GOOGLETRANSLATE(A3015, ""ar"", ""bn"")"),"হাড় ভেঙ্গে")</f>
        <v>হাড় ভেঙ্গে</v>
      </c>
    </row>
    <row r="3016">
      <c r="A3016" s="2" t="s">
        <v>5457</v>
      </c>
      <c r="B3016" s="3" t="str">
        <f>IFERROR(__xludf.DUMMYFUNCTION("GOOGLETRANSLATE(A3016, ""ar"", ""bn"")"),"বাকরখানির")</f>
        <v>বাকরখানির</v>
      </c>
    </row>
    <row r="3017">
      <c r="A3017" s="2" t="s">
        <v>5458</v>
      </c>
      <c r="B3017" s="3" t="str">
        <f>IFERROR(__xludf.DUMMYFUNCTION("GOOGLETRANSLATE(A3017, ""ar"", ""bn"")"),"হাইড্রোফোবিক")</f>
        <v>হাইড্রোফোবিক</v>
      </c>
    </row>
    <row r="3018">
      <c r="A3018" s="2" t="s">
        <v>5459</v>
      </c>
      <c r="B3018" s="3" t="str">
        <f>IFERROR(__xludf.DUMMYFUNCTION("GOOGLETRANSLATE(A3018, ""ar"", ""bn"")"),"উন্মত্তবৎ")</f>
        <v>উন্মত্তবৎ</v>
      </c>
    </row>
    <row r="3019">
      <c r="A3019" s="2" t="s">
        <v>5460</v>
      </c>
      <c r="B3019" s="3" t="str">
        <f>IFERROR(__xludf.DUMMYFUNCTION("GOOGLETRANSLATE(A3019, ""ar"", ""bn"")"),"কেলেঙ্কারি")</f>
        <v>কেলেঙ্কারি</v>
      </c>
    </row>
    <row r="3020">
      <c r="A3020" s="2" t="s">
        <v>5461</v>
      </c>
      <c r="B3020" s="3" t="str">
        <f>IFERROR(__xludf.DUMMYFUNCTION("GOOGLETRANSLATE(A3020, ""ar"", ""bn"")"),"প্রতারণা")</f>
        <v>প্রতারণা</v>
      </c>
    </row>
    <row r="3021">
      <c r="A3021" s="2" t="s">
        <v>4297</v>
      </c>
      <c r="B3021" s="3" t="str">
        <f>IFERROR(__xludf.DUMMYFUNCTION("GOOGLETRANSLATE(A3021, ""ar"", ""bn"")"),"বাঁক")</f>
        <v>বাঁক</v>
      </c>
    </row>
    <row r="3022">
      <c r="A3022" s="2" t="s">
        <v>5462</v>
      </c>
      <c r="B3022" s="3" t="str">
        <f>IFERROR(__xludf.DUMMYFUNCTION("GOOGLETRANSLATE(A3022, ""ar"", ""bn"")"),"জোচ্চোরদের")</f>
        <v>জোচ্চোরদের</v>
      </c>
    </row>
    <row r="3023">
      <c r="A3023" s="2" t="s">
        <v>5463</v>
      </c>
      <c r="B3023" s="3" t="str">
        <f>IFERROR(__xludf.DUMMYFUNCTION("GOOGLETRANSLATE(A3023, ""ar"", ""bn"")"),"বিরূদ্ধে মানুষ")</f>
        <v>বিরূদ্ধে মানুষ</v>
      </c>
    </row>
    <row r="3024">
      <c r="A3024" s="2" t="s">
        <v>5464</v>
      </c>
      <c r="B3024" s="3" t="str">
        <f>IFERROR(__xludf.DUMMYFUNCTION("GOOGLETRANSLATE(A3024, ""ar"", ""bn"")"),"কর্তৃক প্রতারণা বা জালিয়াতির")</f>
        <v>কর্তৃক প্রতারণা বা জালিয়াতির</v>
      </c>
    </row>
    <row r="3025">
      <c r="A3025" s="2" t="s">
        <v>5465</v>
      </c>
      <c r="B3025" s="3" t="str">
        <f>IFERROR(__xludf.DUMMYFUNCTION("GOOGLETRANSLATE(A3025, ""ar"", ""bn"")"),"পরিপূর্ণ")</f>
        <v>পরিপূর্ণ</v>
      </c>
    </row>
    <row r="3026">
      <c r="A3026" s="2" t="s">
        <v>3921</v>
      </c>
      <c r="B3026" s="3" t="str">
        <f>IFERROR(__xludf.DUMMYFUNCTION("GOOGLETRANSLATE(A3026, ""ar"", ""bn"")"),"অভিনব")</f>
        <v>অভিনব</v>
      </c>
    </row>
    <row r="3027">
      <c r="A3027" s="2" t="s">
        <v>5466</v>
      </c>
      <c r="B3027" s="3" t="str">
        <f>IFERROR(__xludf.DUMMYFUNCTION("GOOGLETRANSLATE(A3027, ""ar"", ""bn"")"),"ব্যতিক্রমী")</f>
        <v>ব্যতিক্রমী</v>
      </c>
    </row>
    <row r="3028">
      <c r="A3028" s="2" t="s">
        <v>5467</v>
      </c>
      <c r="B3028" s="3" t="str">
        <f>IFERROR(__xludf.DUMMYFUNCTION("GOOGLETRANSLATE(A3028, ""ar"", ""bn"")"),"বিস্ময়কর")</f>
        <v>বিস্ময়কর</v>
      </c>
    </row>
    <row r="3029">
      <c r="A3029" s="2" t="s">
        <v>5468</v>
      </c>
      <c r="B3029" s="3" t="str">
        <f>IFERROR(__xludf.DUMMYFUNCTION("GOOGLETRANSLATE(A3029, ""ar"", ""bn"")"),"freaks")</f>
        <v>freaks</v>
      </c>
    </row>
    <row r="3030">
      <c r="A3030" s="2" t="s">
        <v>3443</v>
      </c>
      <c r="B3030" s="3" t="str">
        <f>IFERROR(__xludf.DUMMYFUNCTION("GOOGLETRANSLATE(A3030, ""ar"", ""bn"")"),"ভয়ঙ্কর")</f>
        <v>ভয়ঙ্কর</v>
      </c>
    </row>
    <row r="3031">
      <c r="A3031" s="2" t="s">
        <v>5469</v>
      </c>
      <c r="B3031" s="3" t="str">
        <f>IFERROR(__xludf.DUMMYFUNCTION("GOOGLETRANSLATE(A3031, ""ar"", ""bn"")"),"খাওয়া")</f>
        <v>খাওয়া</v>
      </c>
    </row>
    <row r="3032">
      <c r="A3032" s="2" t="s">
        <v>5470</v>
      </c>
      <c r="B3032" s="3" t="str">
        <f>IFERROR(__xludf.DUMMYFUNCTION("GOOGLETRANSLATE(A3032, ""ar"", ""bn"")"),"fretboard")</f>
        <v>fretboard</v>
      </c>
    </row>
    <row r="3033">
      <c r="A3033" s="2" t="s">
        <v>5471</v>
      </c>
      <c r="B3033" s="3" t="str">
        <f>IFERROR(__xludf.DUMMYFUNCTION("GOOGLETRANSLATE(A3033, ""ar"", ""bn"")"),"ভ্রূকুটি")</f>
        <v>ভ্রূকুটি</v>
      </c>
    </row>
    <row r="3034">
      <c r="A3034" s="2" t="s">
        <v>5472</v>
      </c>
      <c r="B3034" s="3" t="str">
        <f>IFERROR(__xludf.DUMMYFUNCTION("GOOGLETRANSLATE(A3034, ""ar"", ""bn"")"),"ভণ্ডামি")</f>
        <v>ভণ্ডামি</v>
      </c>
    </row>
    <row r="3035">
      <c r="A3035" s="2" t="s">
        <v>5473</v>
      </c>
      <c r="B3035" s="3" t="str">
        <f>IFERROR(__xludf.DUMMYFUNCTION("GOOGLETRANSLATE(A3035, ""ar"", ""bn"")"),"জ্বালাতন")</f>
        <v>জ্বালাতন</v>
      </c>
    </row>
    <row r="3036">
      <c r="A3036" s="2" t="s">
        <v>5474</v>
      </c>
      <c r="B3036" s="3" t="str">
        <f>IFERROR(__xludf.DUMMYFUNCTION("GOOGLETRANSLATE(A3036, ""ar"", ""bn"")"),"Fretsaw")</f>
        <v>Fretsaw</v>
      </c>
    </row>
    <row r="3037">
      <c r="A3037" s="2" t="s">
        <v>3169</v>
      </c>
      <c r="B3037" s="3" t="str">
        <f>IFERROR(__xludf.DUMMYFUNCTION("GOOGLETRANSLATE(A3037, ""ar"", ""bn"")"),"ইজ্ড")</f>
        <v>ইজ্ড</v>
      </c>
    </row>
    <row r="3038">
      <c r="A3038" s="2" t="s">
        <v>5475</v>
      </c>
      <c r="B3038" s="3" t="str">
        <f>IFERROR(__xludf.DUMMYFUNCTION("GOOGLETRANSLATE(A3038, ""ar"", ""bn"")"),"ধৈর্যহীন")</f>
        <v>ধৈর্যহীন</v>
      </c>
    </row>
    <row r="3039">
      <c r="A3039" s="2" t="s">
        <v>5476</v>
      </c>
      <c r="B3039" s="3" t="str">
        <f>IFERROR(__xludf.DUMMYFUNCTION("GOOGLETRANSLATE(A3039, ""ar"", ""bn"")"),"নকশার কাজ")</f>
        <v>নকশার কাজ</v>
      </c>
    </row>
    <row r="3040">
      <c r="A3040" s="2" t="s">
        <v>5474</v>
      </c>
      <c r="B3040" s="3" t="str">
        <f>IFERROR(__xludf.DUMMYFUNCTION("GOOGLETRANSLATE(A3040, ""ar"", ""bn"")"),"Fretsaw")</f>
        <v>Fretsaw</v>
      </c>
    </row>
    <row r="3041">
      <c r="A3041" s="2" t="s">
        <v>5477</v>
      </c>
      <c r="B3041" s="3" t="str">
        <f>IFERROR(__xludf.DUMMYFUNCTION("GOOGLETRANSLATE(A3041, ""ar"", ""bn"")"),"ভয়")</f>
        <v>ভয়</v>
      </c>
    </row>
    <row r="3042">
      <c r="A3042" s="2" t="s">
        <v>5352</v>
      </c>
      <c r="B3042" s="3" t="str">
        <f>IFERROR(__xludf.DUMMYFUNCTION("GOOGLETRANSLATE(A3042, ""ar"", ""bn"")"),"ভয়")</f>
        <v>ভয়</v>
      </c>
    </row>
    <row r="3043">
      <c r="A3043" s="2" t="s">
        <v>3286</v>
      </c>
      <c r="B3043" s="3" t="str">
        <f>IFERROR(__xludf.DUMMYFUNCTION("GOOGLETRANSLATE(A3043, ""ar"", ""bn"")"),"সন্ত্রাসিত")</f>
        <v>সন্ত্রাসিত</v>
      </c>
    </row>
    <row r="3044">
      <c r="A3044" s="2" t="s">
        <v>3469</v>
      </c>
      <c r="B3044" s="3" t="str">
        <f>IFERROR(__xludf.DUMMYFUNCTION("GOOGLETRANSLATE(A3044, ""ar"", ""bn"")"),"ভয়ের")</f>
        <v>ভয়ের</v>
      </c>
    </row>
    <row r="3045">
      <c r="A3045" s="2" t="s">
        <v>3469</v>
      </c>
      <c r="B3045" s="3" t="str">
        <f>IFERROR(__xludf.DUMMYFUNCTION("GOOGLETRANSLATE(A3045, ""ar"", ""bn"")"),"ভয়ের")</f>
        <v>ভয়ের</v>
      </c>
    </row>
    <row r="3046">
      <c r="A3046" s="2" t="s">
        <v>5478</v>
      </c>
      <c r="B3046" s="3" t="str">
        <f>IFERROR(__xludf.DUMMYFUNCTION("GOOGLETRANSLATE(A3046, ""ar"", ""bn"")"),"ভীতি")</f>
        <v>ভীতি</v>
      </c>
    </row>
    <row r="3047">
      <c r="A3047" s="2" t="s">
        <v>3469</v>
      </c>
      <c r="B3047" s="3" t="str">
        <f>IFERROR(__xludf.DUMMYFUNCTION("GOOGLETRANSLATE(A3047, ""ar"", ""bn"")"),"ভয়ের")</f>
        <v>ভয়ের</v>
      </c>
    </row>
    <row r="3048">
      <c r="A3048" s="2" t="s">
        <v>5479</v>
      </c>
      <c r="B3048" s="3" t="str">
        <f>IFERROR(__xludf.DUMMYFUNCTION("GOOGLETRANSLATE(A3048, ""ar"", ""bn"")"),"সাঙ্ঘাতিক ভাবে")</f>
        <v>সাঙ্ঘাতিক ভাবে</v>
      </c>
    </row>
    <row r="3049">
      <c r="A3049" s="2" t="s">
        <v>5480</v>
      </c>
      <c r="B3049" s="3" t="str">
        <f>IFERROR(__xludf.DUMMYFUNCTION("GOOGLETRANSLATE(A3049, ""ar"", ""bn"")"),"অল্প গরম")</f>
        <v>অল্প গরম</v>
      </c>
    </row>
    <row r="3050">
      <c r="A3050" s="2" t="s">
        <v>4053</v>
      </c>
      <c r="B3050" s="3" t="str">
        <f>IFERROR(__xludf.DUMMYFUNCTION("GOOGLETRANSLATE(A3050, ""ar"", ""bn"")"),"উদাসীনতা")</f>
        <v>উদাসীনতা</v>
      </c>
    </row>
    <row r="3051">
      <c r="A3051" s="2" t="s">
        <v>3515</v>
      </c>
      <c r="B3051" s="3" t="str">
        <f>IFERROR(__xludf.DUMMYFUNCTION("GOOGLETRANSLATE(A3051, ""ar"", ""bn"")"),"হেলাফেলা করা")</f>
        <v>হেলাফেলা করা</v>
      </c>
    </row>
    <row r="3052">
      <c r="A3052" s="2" t="s">
        <v>5481</v>
      </c>
      <c r="B3052" s="3" t="str">
        <f>IFERROR(__xludf.DUMMYFUNCTION("GOOGLETRANSLATE(A3052, ""ar"", ""bn"")"),"Frivolously")</f>
        <v>Frivolously</v>
      </c>
    </row>
    <row r="3053">
      <c r="A3053" s="2" t="s">
        <v>5471</v>
      </c>
      <c r="B3053" s="3" t="str">
        <f>IFERROR(__xludf.DUMMYFUNCTION("GOOGLETRANSLATE(A3053, ""ar"", ""bn"")"),"ভ্রূকুটি")</f>
        <v>ভ্রূকুটি</v>
      </c>
    </row>
    <row r="3054">
      <c r="A3054" s="2" t="s">
        <v>5482</v>
      </c>
      <c r="B3054" s="3" t="str">
        <f>IFERROR(__xludf.DUMMYFUNCTION("GOOGLETRANSLATE(A3054, ""ar"", ""bn"")"),"ABS")</f>
        <v>ABS</v>
      </c>
    </row>
    <row r="3055">
      <c r="A3055" s="2" t="s">
        <v>5483</v>
      </c>
      <c r="B3055" s="3" t="str">
        <f>IFERROR(__xludf.DUMMYFUNCTION("GOOGLETRANSLATE(A3055, ""ar"", ""bn"")"),"frowning")</f>
        <v>frowning</v>
      </c>
    </row>
    <row r="3056">
      <c r="A3056" s="2" t="s">
        <v>5484</v>
      </c>
      <c r="B3056" s="3" t="str">
        <f>IFERROR(__xludf.DUMMYFUNCTION("GOOGLETRANSLATE(A3056, ""ar"", ""bn"")"),"Frowns")</f>
        <v>Frowns</v>
      </c>
    </row>
    <row r="3057">
      <c r="A3057" s="2" t="s">
        <v>5485</v>
      </c>
      <c r="B3057" s="3" t="str">
        <f>IFERROR(__xludf.DUMMYFUNCTION("GOOGLETRANSLATE(A3057, ""ar"", ""bn"")"),"অফলা")</f>
        <v>অফলা</v>
      </c>
    </row>
    <row r="3058">
      <c r="A3058" s="2" t="s">
        <v>5486</v>
      </c>
      <c r="B3058" s="3" t="str">
        <f>IFERROR(__xludf.DUMMYFUNCTION("GOOGLETRANSLATE(A3058, ""ar"", ""bn"")"),"কোন উপকার")</f>
        <v>কোন উপকার</v>
      </c>
    </row>
    <row r="3059">
      <c r="A3059" s="2" t="s">
        <v>5487</v>
      </c>
      <c r="B3059" s="3" t="str">
        <f>IFERROR(__xludf.DUMMYFUNCTION("GOOGLETRANSLATE(A3059, ""ar"", ""bn"")"),"পাত")</f>
        <v>পাত</v>
      </c>
    </row>
    <row r="3060">
      <c r="A3060" s="2" t="s">
        <v>5488</v>
      </c>
      <c r="B3060" s="3" t="str">
        <f>IFERROR(__xludf.DUMMYFUNCTION("GOOGLETRANSLATE(A3060, ""ar"", ""bn"")"),"হতাশ")</f>
        <v>হতাশ</v>
      </c>
    </row>
    <row r="3061">
      <c r="A3061" s="2" t="s">
        <v>5489</v>
      </c>
      <c r="B3061" s="3" t="str">
        <f>IFERROR(__xludf.DUMMYFUNCTION("GOOGLETRANSLATE(A3061, ""ar"", ""bn"")"),"হতাশ")</f>
        <v>হতাশ</v>
      </c>
    </row>
    <row r="3062">
      <c r="A3062" s="2" t="s">
        <v>5488</v>
      </c>
      <c r="B3062" s="3" t="str">
        <f>IFERROR(__xludf.DUMMYFUNCTION("GOOGLETRANSLATE(A3062, ""ar"", ""bn"")"),"হতাশ")</f>
        <v>হতাশ</v>
      </c>
    </row>
    <row r="3063">
      <c r="A3063" s="2" t="s">
        <v>5488</v>
      </c>
      <c r="B3063" s="3" t="str">
        <f>IFERROR(__xludf.DUMMYFUNCTION("GOOGLETRANSLATE(A3063, ""ar"", ""bn"")"),"হতাশ")</f>
        <v>হতাশ</v>
      </c>
    </row>
    <row r="3064">
      <c r="A3064" s="2" t="s">
        <v>5490</v>
      </c>
      <c r="B3064" s="3" t="str">
        <f>IFERROR(__xludf.DUMMYFUNCTION("GOOGLETRANSLATE(A3064, ""ar"", ""bn"")"),"পরাজয়")</f>
        <v>পরাজয়</v>
      </c>
    </row>
    <row r="3065">
      <c r="A3065" s="2" t="s">
        <v>5491</v>
      </c>
      <c r="B3065" s="3" t="str">
        <f>IFERROR(__xludf.DUMMYFUNCTION("GOOGLETRANSLATE(A3065, ""ar"", ""bn"")"),"পরাজয়")</f>
        <v>পরাজয়</v>
      </c>
    </row>
    <row r="3066">
      <c r="A3066" s="2" t="s">
        <v>4146</v>
      </c>
      <c r="B3066" s="3" t="str">
        <f>IFERROR(__xludf.DUMMYFUNCTION("GOOGLETRANSLATE(A3066, ""ar"", ""bn"")"),"অঙ্গবিক্ষেপ")</f>
        <v>অঙ্গবিক্ষেপ</v>
      </c>
    </row>
    <row r="3067">
      <c r="A3067" s="2" t="s">
        <v>5492</v>
      </c>
      <c r="B3067" s="3" t="str">
        <f>IFERROR(__xludf.DUMMYFUNCTION("GOOGLETRANSLATE(A3067, ""ar"", ""bn"")"),"মিছরি")</f>
        <v>মিছরি</v>
      </c>
    </row>
    <row r="3068">
      <c r="A3068" s="2" t="s">
        <v>5493</v>
      </c>
      <c r="B3068" s="3" t="str">
        <f>IFERROR(__xludf.DUMMYFUNCTION("GOOGLETRANSLATE(A3068, ""ar"", ""bn"")"),"গড়া")</f>
        <v>গড়া</v>
      </c>
    </row>
    <row r="3069">
      <c r="A3069" s="2" t="s">
        <v>5494</v>
      </c>
      <c r="B3069" s="3" t="str">
        <f>IFERROR(__xludf.DUMMYFUNCTION("GOOGLETRANSLATE(A3069, ""ar"", ""bn"")"),"Fudging")</f>
        <v>Fudging</v>
      </c>
    </row>
    <row r="3070">
      <c r="A3070" s="2" t="s">
        <v>3198</v>
      </c>
      <c r="B3070" s="3" t="str">
        <f>IFERROR(__xludf.DUMMYFUNCTION("GOOGLETRANSLATE(A3070, ""ar"", ""bn"")"),"পলায়ন")</f>
        <v>পলায়ন</v>
      </c>
    </row>
    <row r="3071">
      <c r="A3071" s="2" t="s">
        <v>5495</v>
      </c>
      <c r="B3071" s="3" t="str">
        <f>IFERROR(__xludf.DUMMYFUNCTION("GOOGLETRANSLATE(A3071, ""ar"", ""bn"")"),"পলাতকদের")</f>
        <v>পলাতকদের</v>
      </c>
    </row>
    <row r="3072">
      <c r="A3072" s="2" t="s">
        <v>3849</v>
      </c>
      <c r="B3072" s="3" t="str">
        <f>IFERROR(__xludf.DUMMYFUNCTION("GOOGLETRANSLATE(A3072, ""ar"", ""bn"")"),"তোতলান")</f>
        <v>তোতলান</v>
      </c>
    </row>
    <row r="3073">
      <c r="A3073" s="2" t="s">
        <v>5496</v>
      </c>
      <c r="B3073" s="3" t="str">
        <f>IFERROR(__xludf.DUMMYFUNCTION("GOOGLETRANSLATE(A3073, ""ar"", ""bn"")"),"Floundered")</f>
        <v>Floundered</v>
      </c>
    </row>
    <row r="3074">
      <c r="A3074" s="2" t="s">
        <v>5497</v>
      </c>
      <c r="B3074" s="3" t="str">
        <f>IFERROR(__xludf.DUMMYFUNCTION("GOOGLETRANSLATE(A3074, ""ar"", ""bn"")"),"এলোমেলো কথা বলা")</f>
        <v>এলোমেলো কথা বলা</v>
      </c>
    </row>
    <row r="3075">
      <c r="A3075" s="2" t="s">
        <v>5498</v>
      </c>
      <c r="B3075" s="3" t="str">
        <f>IFERROR(__xludf.DUMMYFUNCTION("GOOGLETRANSLATE(A3075, ""ar"", ""bn"")"),"ধোঁয়া")</f>
        <v>ধোঁয়া</v>
      </c>
    </row>
    <row r="3076">
      <c r="A3076" s="2" t="s">
        <v>3373</v>
      </c>
      <c r="B3076" s="3" t="str">
        <f>IFERROR(__xludf.DUMMYFUNCTION("GOOGLETRANSLATE(A3076, ""ar"", ""bn"")"),"ক্রুদ্ধ")</f>
        <v>ক্রুদ্ধ</v>
      </c>
    </row>
    <row r="3077">
      <c r="A3077" s="2" t="s">
        <v>5499</v>
      </c>
      <c r="B3077" s="3" t="str">
        <f>IFERROR(__xludf.DUMMYFUNCTION("GOOGLETRANSLATE(A3077, ""ar"", ""bn"")"),"নির্গত ধোয়া")</f>
        <v>নির্গত ধোয়া</v>
      </c>
    </row>
    <row r="3078">
      <c r="A3078" s="2" t="s">
        <v>5499</v>
      </c>
      <c r="B3078" s="3" t="str">
        <f>IFERROR(__xludf.DUMMYFUNCTION("GOOGLETRANSLATE(A3078, ""ar"", ""bn"")"),"নির্গত ধোয়া")</f>
        <v>নির্গত ধোয়া</v>
      </c>
    </row>
    <row r="3079">
      <c r="A3079" s="2" t="s">
        <v>5500</v>
      </c>
      <c r="B3079" s="3" t="str">
        <f>IFERROR(__xludf.DUMMYFUNCTION("GOOGLETRANSLATE(A3079, ""ar"", ""bn"")"),"Fumigate থেকে")</f>
        <v>Fumigate থেকে</v>
      </c>
    </row>
    <row r="3080">
      <c r="A3080" s="2" t="s">
        <v>3374</v>
      </c>
      <c r="B3080" s="3" t="str">
        <f>IFERROR(__xludf.DUMMYFUNCTION("GOOGLETRANSLATE(A3080, ""ar"", ""bn"")"),"ক্রুদ্ধ")</f>
        <v>ক্রুদ্ধ</v>
      </c>
    </row>
    <row r="3081">
      <c r="A3081" s="2" t="s">
        <v>5369</v>
      </c>
      <c r="B3081" s="3" t="str">
        <f>IFERROR(__xludf.DUMMYFUNCTION("GOOGLETRANSLATE(A3081, ""ar"", ""bn"")"),"তীব্র")</f>
        <v>তীব্র</v>
      </c>
    </row>
    <row r="3082">
      <c r="A3082" s="2" t="s">
        <v>5371</v>
      </c>
      <c r="B3082" s="3" t="str">
        <f>IFERROR(__xludf.DUMMYFUNCTION("GOOGLETRANSLATE(A3082, ""ar"", ""bn"")"),"হিংস্রতা")</f>
        <v>হিংস্রতা</v>
      </c>
    </row>
    <row r="3083">
      <c r="A3083" s="2" t="s">
        <v>5501</v>
      </c>
      <c r="B3083" s="3" t="str">
        <f>IFERROR(__xludf.DUMMYFUNCTION("GOOGLETRANSLATE(A3083, ""ar"", ""bn"")"),"গোলমাল")</f>
        <v>গোলমাল</v>
      </c>
    </row>
    <row r="3084">
      <c r="A3084" s="2" t="s">
        <v>5502</v>
      </c>
      <c r="B3084" s="3" t="str">
        <f>IFERROR(__xludf.DUMMYFUNCTION("GOOGLETRANSLATE(A3084, ""ar"", ""bn"")"),"পয়মাল")</f>
        <v>পয়মাল</v>
      </c>
    </row>
    <row r="3085">
      <c r="A3085" s="2" t="s">
        <v>5503</v>
      </c>
      <c r="B3085" s="3" t="str">
        <f>IFERROR(__xludf.DUMMYFUNCTION("GOOGLETRANSLATE(A3085, ""ar"", ""bn"")"),"Raves")</f>
        <v>Raves</v>
      </c>
    </row>
    <row r="3086">
      <c r="A3086" s="2" t="s">
        <v>5504</v>
      </c>
      <c r="B3086" s="3" t="str">
        <f>IFERROR(__xludf.DUMMYFUNCTION("GOOGLETRANSLATE(A3086, ""ar"", ""bn"")"),"Voser")</f>
        <v>Voser</v>
      </c>
    </row>
    <row r="3087">
      <c r="A3087" s="2" t="s">
        <v>5505</v>
      </c>
      <c r="B3087" s="3" t="str">
        <f>IFERROR(__xludf.DUMMYFUNCTION("GOOGLETRANSLATE(A3087, ""ar"", ""bn"")"),"Fussiest")</f>
        <v>Fussiest</v>
      </c>
    </row>
    <row r="3088">
      <c r="A3088" s="2" t="s">
        <v>5506</v>
      </c>
      <c r="B3088" s="3" t="str">
        <f>IFERROR(__xludf.DUMMYFUNCTION("GOOGLETRANSLATE(A3088, ""ar"", ""bn"")"),"খুব সাবধানে")</f>
        <v>খুব সাবধানে</v>
      </c>
    </row>
    <row r="3089">
      <c r="A3089" s="2" t="s">
        <v>5507</v>
      </c>
      <c r="B3089" s="3" t="str">
        <f>IFERROR(__xludf.DUMMYFUNCTION("GOOGLETRANSLATE(A3089, ""ar"", ""bn"")"),"playfulness")</f>
        <v>playfulness</v>
      </c>
    </row>
    <row r="3090">
      <c r="A3090" s="2" t="s">
        <v>5508</v>
      </c>
      <c r="B3090" s="3" t="str">
        <f>IFERROR(__xludf.DUMMYFUNCTION("GOOGLETRANSLATE(A3090, ""ar"", ""bn"")"),"যাত্রা")</f>
        <v>যাত্রা</v>
      </c>
    </row>
    <row r="3091">
      <c r="A3091" s="2" t="s">
        <v>5509</v>
      </c>
      <c r="B3091" s="3" t="str">
        <f>IFERROR(__xludf.DUMMYFUNCTION("GOOGLETRANSLATE(A3091, ""ar"", ""bn"")"),"ব্যস্তবাগীশ")</f>
        <v>ব্যস্তবাগীশ</v>
      </c>
    </row>
    <row r="3092">
      <c r="A3092" s="2" t="s">
        <v>5509</v>
      </c>
      <c r="B3092" s="3" t="str">
        <f>IFERROR(__xludf.DUMMYFUNCTION("GOOGLETRANSLATE(A3092, ""ar"", ""bn"")"),"ব্যস্তবাগীশ")</f>
        <v>ব্যস্তবাগীশ</v>
      </c>
    </row>
    <row r="3093">
      <c r="A3093" s="2" t="s">
        <v>5510</v>
      </c>
      <c r="B3093" s="3" t="str">
        <f>IFERROR(__xludf.DUMMYFUNCTION("GOOGLETRANSLATE(A3093, ""ar"", ""bn"")"),"নিরর্থকতা")</f>
        <v>নিরর্থকতা</v>
      </c>
    </row>
    <row r="3094">
      <c r="A3094" s="2" t="s">
        <v>3651</v>
      </c>
      <c r="B3094" s="3" t="str">
        <f>IFERROR(__xludf.DUMMYFUNCTION("GOOGLETRANSLATE(A3094, ""ar"", ""bn"")"),"তিক্ত")</f>
        <v>তিক্ত</v>
      </c>
    </row>
    <row r="3095">
      <c r="A3095" s="2" t="s">
        <v>5511</v>
      </c>
      <c r="B3095" s="3" t="str">
        <f>IFERROR(__xludf.DUMMYFUNCTION("GOOGLETRANSLATE(A3095, ""ar"", ""bn"")"),"সাহসী")</f>
        <v>সাহসী</v>
      </c>
    </row>
    <row r="3096">
      <c r="A3096" s="2" t="s">
        <v>5512</v>
      </c>
      <c r="B3096" s="3" t="str">
        <f>IFERROR(__xludf.DUMMYFUNCTION("GOOGLETRANSLATE(A3096, ""ar"", ""bn"")"),"সাহসপূর্বক")</f>
        <v>সাহসপূর্বক</v>
      </c>
    </row>
    <row r="3097">
      <c r="A3097" s="2" t="s">
        <v>5513</v>
      </c>
      <c r="B3097" s="3" t="str">
        <f>IFERROR(__xludf.DUMMYFUNCTION("GOOGLETRANSLATE(A3097, ""ar"", ""bn"")"),"বীরত্ব")</f>
        <v>বীরত্ব</v>
      </c>
    </row>
    <row r="3098">
      <c r="A3098" s="2" t="s">
        <v>5514</v>
      </c>
      <c r="B3098" s="3" t="str">
        <f>IFERROR(__xludf.DUMMYFUNCTION("GOOGLETRANSLATE(A3098, ""ar"", ""bn"")"),"প্রেমপূর্ণ")</f>
        <v>প্রেমপূর্ণ</v>
      </c>
    </row>
    <row r="3099">
      <c r="A3099" s="2" t="s">
        <v>5515</v>
      </c>
      <c r="B3099" s="3" t="str">
        <f>IFERROR(__xludf.DUMMYFUNCTION("GOOGLETRANSLATE(A3099, ""ar"", ""bn"")"),"রাগ")</f>
        <v>রাগ</v>
      </c>
    </row>
    <row r="3100">
      <c r="A3100" s="2" t="s">
        <v>5516</v>
      </c>
      <c r="B3100" s="3" t="str">
        <f>IFERROR(__xludf.DUMMYFUNCTION("GOOGLETRANSLATE(A3100, ""ar"", ""bn"")"),"স্পেইনদেশীয় পোতবিশেষ")</f>
        <v>স্পেইনদেশীয় পোতবিশেষ</v>
      </c>
    </row>
    <row r="3101">
      <c r="A3101" s="2" t="s">
        <v>5517</v>
      </c>
      <c r="B3101" s="3" t="str">
        <f>IFERROR(__xludf.DUMMYFUNCTION("GOOGLETRANSLATE(A3101, ""ar"", ""bn"")"),"স্পেইনদেশীয় পোতবিশেষ")</f>
        <v>স্পেইনদেশীয় পোতবিশেষ</v>
      </c>
    </row>
    <row r="3102">
      <c r="A3102" s="2" t="s">
        <v>5518</v>
      </c>
      <c r="B3102" s="3" t="str">
        <f>IFERROR(__xludf.DUMMYFUNCTION("GOOGLETRANSLATE(A3102, ""ar"", ""bn"")"),"চারু উপর")</f>
        <v>চারু উপর</v>
      </c>
    </row>
    <row r="3103">
      <c r="A3103" s="2" t="s">
        <v>5519</v>
      </c>
      <c r="B3103" s="3" t="str">
        <f>IFERROR(__xludf.DUMMYFUNCTION("GOOGLETRANSLATE(A3103, ""ar"", ""bn"")"),"প্রদর্শনী")</f>
        <v>প্রদর্শনী</v>
      </c>
    </row>
    <row r="3104">
      <c r="A3104" s="2" t="s">
        <v>5520</v>
      </c>
      <c r="B3104" s="3" t="str">
        <f>IFERROR(__xludf.DUMMYFUNCTION("GOOGLETRANSLATE(A3104, ""ar"", ""bn"")"),"দরদালান")</f>
        <v>দরদালান</v>
      </c>
    </row>
    <row r="3105">
      <c r="A3105" s="2" t="s">
        <v>5521</v>
      </c>
      <c r="B3105" s="3" t="str">
        <f>IFERROR(__xludf.DUMMYFUNCTION("GOOGLETRANSLATE(A3105, ""ar"", ""bn"")"),"জাহাজের")</f>
        <v>জাহাজের</v>
      </c>
    </row>
    <row r="3106">
      <c r="A3106" s="2" t="s">
        <v>5522</v>
      </c>
      <c r="B3106" s="3" t="str">
        <f>IFERROR(__xludf.DUMMYFUNCTION("GOOGLETRANSLATE(A3106, ""ar"", ""bn"")"),"galleys")</f>
        <v>galleys</v>
      </c>
    </row>
    <row r="3107">
      <c r="A3107" s="2" t="s">
        <v>5523</v>
      </c>
      <c r="B3107" s="3" t="str">
        <f>IFERROR(__xludf.DUMMYFUNCTION("GOOGLETRANSLATE(A3107, ""ar"", ""bn"")"),"ফরাসী")</f>
        <v>ফরাসী</v>
      </c>
    </row>
    <row r="3108">
      <c r="A3108" s="2" t="s">
        <v>5524</v>
      </c>
      <c r="B3108" s="3" t="str">
        <f>IFERROR(__xludf.DUMMYFUNCTION("GOOGLETRANSLATE(A3108, ""ar"", ""bn"")"),"পীড়াদায়ক")</f>
        <v>পীড়াদায়ক</v>
      </c>
    </row>
    <row r="3109">
      <c r="A3109" s="2" t="s">
        <v>5525</v>
      </c>
      <c r="B3109" s="3" t="str">
        <f>IFERROR(__xludf.DUMMYFUNCTION("GOOGLETRANSLATE(A3109, ""ar"", ""bn"")"),"Gallium উপাদান বিরল ধাতু")</f>
        <v>Gallium উপাদান বিরল ধাতু</v>
      </c>
    </row>
    <row r="3110">
      <c r="A3110" s="2" t="s">
        <v>5526</v>
      </c>
      <c r="B3110" s="3" t="str">
        <f>IFERROR(__xludf.DUMMYFUNCTION("GOOGLETRANSLATE(A3110, ""ar"", ""bn"")"),"ঝুলন্ত আউট")</f>
        <v>ঝুলন্ত আউট</v>
      </c>
    </row>
    <row r="3111">
      <c r="A3111" s="2" t="s">
        <v>5527</v>
      </c>
      <c r="B3111" s="3" t="str">
        <f>IFERROR(__xludf.DUMMYFUNCTION("GOOGLETRANSLATE(A3111, ""ar"", ""bn"")"),"পয়সের পাঁচ সের")</f>
        <v>পয়সের পাঁচ সের</v>
      </c>
    </row>
    <row r="3112">
      <c r="A3112" s="2" t="s">
        <v>5527</v>
      </c>
      <c r="B3112" s="3" t="str">
        <f>IFERROR(__xludf.DUMMYFUNCTION("GOOGLETRANSLATE(A3112, ""ar"", ""bn"")"),"পয়সের পাঁচ সের")</f>
        <v>পয়সের পাঁচ সের</v>
      </c>
    </row>
    <row r="3113">
      <c r="A3113" s="2" t="s">
        <v>5528</v>
      </c>
      <c r="B3113" s="3" t="str">
        <f>IFERROR(__xludf.DUMMYFUNCTION("GOOGLETRANSLATE(A3113, ""ar"", ""bn"")"),"দ্রুত অগ্রসর হত্তয়া")</f>
        <v>দ্রুত অগ্রসর হত্তয়া</v>
      </c>
    </row>
    <row r="3114">
      <c r="A3114" s="2" t="s">
        <v>5529</v>
      </c>
      <c r="B3114" s="3" t="str">
        <f>IFERROR(__xludf.DUMMYFUNCTION("GOOGLETRANSLATE(A3114, ""ar"", ""bn"")"),"ভিড়")</f>
        <v>ভিড়</v>
      </c>
    </row>
    <row r="3115">
      <c r="A3115" s="2" t="s">
        <v>3377</v>
      </c>
      <c r="B3115" s="3" t="str">
        <f>IFERROR(__xludf.DUMMYFUNCTION("GOOGLETRANSLATE(A3115, ""ar"", ""bn"")"),"চর")</f>
        <v>চর</v>
      </c>
    </row>
    <row r="3116">
      <c r="A3116" s="2" t="s">
        <v>5530</v>
      </c>
      <c r="B3116" s="3" t="str">
        <f>IFERROR(__xludf.DUMMYFUNCTION("GOOGLETRANSLATE(A3116, ""ar"", ""bn"")"),"ছোটে")</f>
        <v>ছোটে</v>
      </c>
    </row>
    <row r="3117">
      <c r="A3117" s="2" t="s">
        <v>5531</v>
      </c>
      <c r="B3117" s="3" t="str">
        <f>IFERROR(__xludf.DUMMYFUNCTION("GOOGLETRANSLATE(A3117, ""ar"", ""bn"")"),"ফাঁসিকাঠ")</f>
        <v>ফাঁসিকাঠ</v>
      </c>
    </row>
    <row r="3118">
      <c r="A3118" s="2" t="s">
        <v>5532</v>
      </c>
      <c r="B3118" s="3" t="str">
        <f>IFERROR(__xludf.DUMMYFUNCTION("GOOGLETRANSLATE(A3118, ""ar"", ""bn"")"),"আব")</f>
        <v>আব</v>
      </c>
    </row>
    <row r="3119">
      <c r="A3119" s="2" t="s">
        <v>5533</v>
      </c>
      <c r="B3119" s="3" t="str">
        <f>IFERROR(__xludf.DUMMYFUNCTION("GOOGLETRANSLATE(A3119, ""ar"", ""bn"")"),"গাল্স্তন")</f>
        <v>গাল্স্তন</v>
      </c>
    </row>
    <row r="3120">
      <c r="A3120" s="2" t="s">
        <v>5534</v>
      </c>
      <c r="B3120" s="3" t="str">
        <f>IFERROR(__xludf.DUMMYFUNCTION("GOOGLETRANSLATE(A3120, ""ar"", ""bn"")"),"দু: সাহসিক কাজ")</f>
        <v>দু: সাহসিক কাজ</v>
      </c>
    </row>
    <row r="3121">
      <c r="A3121" s="2" t="s">
        <v>5535</v>
      </c>
      <c r="B3121" s="3" t="str">
        <f>IFERROR(__xludf.DUMMYFUNCTION("GOOGLETRANSLATE(A3121, ""ar"", ""bn"")"),"বাজি")</f>
        <v>বাজি</v>
      </c>
    </row>
    <row r="3122">
      <c r="A3122" s="2" t="s">
        <v>5536</v>
      </c>
      <c r="B3122" s="3" t="str">
        <f>IFERROR(__xludf.DUMMYFUNCTION("GOOGLETRANSLATE(A3122, ""ar"", ""bn"")"),"জুয়াড়ি")</f>
        <v>জুয়াড়ি</v>
      </c>
    </row>
    <row r="3123">
      <c r="A3123" s="2" t="s">
        <v>5537</v>
      </c>
      <c r="B3123" s="3" t="str">
        <f>IFERROR(__xludf.DUMMYFUNCTION("GOOGLETRANSLATE(A3123, ""ar"", ""bn"")"),"জুয়াড়িরা")</f>
        <v>জুয়াড়িরা</v>
      </c>
    </row>
    <row r="3124">
      <c r="A3124" s="2" t="s">
        <v>5538</v>
      </c>
      <c r="B3124" s="3" t="str">
        <f>IFERROR(__xludf.DUMMYFUNCTION("GOOGLETRANSLATE(A3124, ""ar"", ""bn"")"),"যোগ করা")</f>
        <v>যোগ করা</v>
      </c>
    </row>
    <row r="3125">
      <c r="A3125" s="2" t="s">
        <v>5539</v>
      </c>
      <c r="B3125" s="3" t="str">
        <f>IFERROR(__xludf.DUMMYFUNCTION("GOOGLETRANSLATE(A3125, ""ar"", ""bn"")"),"কারাগার")</f>
        <v>কারাগার</v>
      </c>
    </row>
    <row r="3126">
      <c r="A3126" s="2" t="s">
        <v>5540</v>
      </c>
      <c r="B3126" s="3" t="str">
        <f>IFERROR(__xludf.DUMMYFUNCTION("GOOGLETRANSLATE(A3126, ""ar"", ""bn"")"),"জেলার")</f>
        <v>জেলার</v>
      </c>
    </row>
    <row r="3127">
      <c r="A3127" s="2" t="s">
        <v>5541</v>
      </c>
      <c r="B3127" s="3" t="str">
        <f>IFERROR(__xludf.DUMMYFUNCTION("GOOGLETRANSLATE(A3127, ""ar"", ""bn"")"),"Turnkeys")</f>
        <v>Turnkeys</v>
      </c>
    </row>
    <row r="3128">
      <c r="A3128" s="2" t="s">
        <v>5542</v>
      </c>
      <c r="B3128" s="3" t="str">
        <f>IFERROR(__xludf.DUMMYFUNCTION("GOOGLETRANSLATE(A3128, ""ar"", ""bn"")"),"ডেভেলপমেন্ট গোলস")</f>
        <v>ডেভেলপমেন্ট গোলস</v>
      </c>
    </row>
    <row r="3129">
      <c r="A3129" s="2" t="s">
        <v>5543</v>
      </c>
      <c r="B3129" s="3" t="str">
        <f>IFERROR(__xludf.DUMMYFUNCTION("GOOGLETRANSLATE(A3129, ""ar"", ""bn"")"),"আবর্জনা")</f>
        <v>আবর্জনা</v>
      </c>
    </row>
    <row r="3130">
      <c r="A3130" s="2" t="s">
        <v>5544</v>
      </c>
      <c r="B3130" s="3" t="str">
        <f>IFERROR(__xludf.DUMMYFUNCTION("GOOGLETRANSLATE(A3130, ""ar"", ""bn"")"),"গভীর ক্ষত")</f>
        <v>গভীর ক্ষত</v>
      </c>
    </row>
    <row r="3131">
      <c r="A3131" s="2" t="s">
        <v>5545</v>
      </c>
      <c r="B3131" s="3" t="str">
        <f>IFERROR(__xludf.DUMMYFUNCTION("GOOGLETRANSLATE(A3131, ""ar"", ""bn"")"),"Gashes")</f>
        <v>Gashes</v>
      </c>
    </row>
    <row r="3132">
      <c r="A3132" s="2" t="s">
        <v>5546</v>
      </c>
      <c r="B3132" s="3" t="str">
        <f>IFERROR(__xludf.DUMMYFUNCTION("GOOGLETRANSLATE(A3132, ""ar"", ""bn"")"),"গ্যাস")</f>
        <v>গ্যাস</v>
      </c>
    </row>
    <row r="3133">
      <c r="A3133" s="2" t="s">
        <v>5547</v>
      </c>
      <c r="B3133" s="3" t="str">
        <f>IFERROR(__xludf.DUMMYFUNCTION("GOOGLETRANSLATE(A3133, ""ar"", ""bn"")"),"চটকদার")</f>
        <v>চটকদার</v>
      </c>
    </row>
    <row r="3134">
      <c r="A3134" s="2" t="s">
        <v>5548</v>
      </c>
      <c r="B3134" s="3" t="str">
        <f>IFERROR(__xludf.DUMMYFUNCTION("GOOGLETRANSLATE(A3134, ""ar"", ""bn"")"),"গে")</f>
        <v>গে</v>
      </c>
    </row>
    <row r="3135">
      <c r="A3135" s="2" t="s">
        <v>5549</v>
      </c>
      <c r="B3135" s="3" t="str">
        <f>IFERROR(__xludf.DUMMYFUNCTION("GOOGLETRANSLATE(A3135, ""ar"", ""bn"")"),"সমাকামীর")</f>
        <v>সমাকামীর</v>
      </c>
    </row>
    <row r="3136">
      <c r="A3136" s="2" t="s">
        <v>5550</v>
      </c>
      <c r="B3136" s="3" t="str">
        <f>IFERROR(__xludf.DUMMYFUNCTION("GOOGLETRANSLATE(A3136, ""ar"", ""bn"")"),"গিক")</f>
        <v>গিক</v>
      </c>
    </row>
    <row r="3137">
      <c r="A3137" s="2" t="s">
        <v>5551</v>
      </c>
      <c r="B3137" s="3" t="str">
        <f>IFERROR(__xludf.DUMMYFUNCTION("GOOGLETRANSLATE(A3137, ""ar"", ""bn"")"),"geeks")</f>
        <v>geeks</v>
      </c>
    </row>
    <row r="3138">
      <c r="A3138" s="2" t="s">
        <v>5552</v>
      </c>
      <c r="B3138" s="3" t="str">
        <f>IFERROR(__xludf.DUMMYFUNCTION("GOOGLETRANSLATE(A3138, ""ar"", ""bn"")"),"জীবাণু")</f>
        <v>জীবাণু</v>
      </c>
    </row>
    <row r="3139">
      <c r="A3139" s="2" t="s">
        <v>5553</v>
      </c>
      <c r="B3139" s="3" t="str">
        <f>IFERROR(__xludf.DUMMYFUNCTION("GOOGLETRANSLATE(A3139, ""ar"", ""bn"")"),"জার্মান")</f>
        <v>জার্মান</v>
      </c>
    </row>
    <row r="3140">
      <c r="A3140" s="2" t="s">
        <v>5554</v>
      </c>
      <c r="B3140" s="3" t="str">
        <f>IFERROR(__xludf.DUMMYFUNCTION("GOOGLETRANSLATE(A3140, ""ar"", ""bn"")"),"সঙ্গত")</f>
        <v>সঙ্গত</v>
      </c>
    </row>
    <row r="3141">
      <c r="A3141" s="2" t="s">
        <v>5553</v>
      </c>
      <c r="B3141" s="3" t="str">
        <f>IFERROR(__xludf.DUMMYFUNCTION("GOOGLETRANSLATE(A3141, ""ar"", ""bn"")"),"জার্মান")</f>
        <v>জার্মান</v>
      </c>
    </row>
    <row r="3142">
      <c r="A3142" s="2" t="s">
        <v>5555</v>
      </c>
      <c r="B3142" s="3" t="str">
        <f>IFERROR(__xludf.DUMMYFUNCTION("GOOGLETRANSLATE(A3142, ""ar"", ""bn"")"),"জার্মেনিয়াম")</f>
        <v>জার্মেনিয়াম</v>
      </c>
    </row>
    <row r="3143">
      <c r="A3143" s="2" t="s">
        <v>5556</v>
      </c>
      <c r="B3143" s="3" t="str">
        <f>IFERROR(__xludf.DUMMYFUNCTION("GOOGLETRANSLATE(A3143, ""ar"", ""bn"")"),"জার্মানরা")</f>
        <v>জার্মানরা</v>
      </c>
    </row>
    <row r="3144">
      <c r="A3144" s="2" t="s">
        <v>5557</v>
      </c>
      <c r="B3144" s="3" t="str">
        <f>IFERROR(__xludf.DUMMYFUNCTION("GOOGLETRANSLATE(A3144, ""ar"", ""bn"")"),"জার্মানি")</f>
        <v>জার্মানি</v>
      </c>
    </row>
    <row r="3145">
      <c r="A3145" s="2" t="s">
        <v>5558</v>
      </c>
      <c r="B3145" s="3" t="str">
        <f>IFERROR(__xludf.DUMMYFUNCTION("GOOGLETRANSLATE(A3145, ""ar"", ""bn"")"),"Germicidal")</f>
        <v>Germicidal</v>
      </c>
    </row>
    <row r="3146">
      <c r="A3146" s="2" t="s">
        <v>5559</v>
      </c>
      <c r="B3146" s="3" t="str">
        <f>IFERROR(__xludf.DUMMYFUNCTION("GOOGLETRANSLATE(A3146, ""ar"", ""bn"")"),"Microbicides")</f>
        <v>Microbicides</v>
      </c>
    </row>
    <row r="3147">
      <c r="A3147" s="2" t="s">
        <v>5425</v>
      </c>
      <c r="B3147" s="3" t="str">
        <f>IFERROR(__xludf.DUMMYFUNCTION("GOOGLETRANSLATE(A3147, ""ar"", ""bn"")"),"ভ্রূণের")</f>
        <v>ভ্রূণের</v>
      </c>
    </row>
    <row r="3148">
      <c r="A3148" s="2" t="s">
        <v>5560</v>
      </c>
      <c r="B3148" s="3" t="str">
        <f>IFERROR(__xludf.DUMMYFUNCTION("GOOGLETRANSLATE(A3148, ""ar"", ""bn"")"),"অভিক্ষেপ")</f>
        <v>অভিক্ষেপ</v>
      </c>
    </row>
    <row r="3149">
      <c r="A3149" s="2" t="s">
        <v>5561</v>
      </c>
      <c r="B3149" s="3" t="str">
        <f>IFERROR(__xludf.DUMMYFUNCTION("GOOGLETRANSLATE(A3149, ""ar"", ""bn"")"),"অঙ্কুরিত")</f>
        <v>অঙ্কুরিত</v>
      </c>
    </row>
    <row r="3150">
      <c r="A3150" s="2" t="s">
        <v>5562</v>
      </c>
      <c r="B3150" s="3" t="str">
        <f>IFERROR(__xludf.DUMMYFUNCTION("GOOGLETRANSLATE(A3150, ""ar"", ""bn"")"),"অঙ্কুর")</f>
        <v>অঙ্কুর</v>
      </c>
    </row>
    <row r="3151">
      <c r="A3151" s="2" t="s">
        <v>5563</v>
      </c>
      <c r="B3151" s="3" t="str">
        <f>IFERROR(__xludf.DUMMYFUNCTION("GOOGLETRANSLATE(A3151, ""ar"", ""bn"")"),"অঙ্কুর")</f>
        <v>অঙ্কুর</v>
      </c>
    </row>
    <row r="3152">
      <c r="A3152" s="2" t="s">
        <v>5564</v>
      </c>
      <c r="B3152" s="3" t="str">
        <f>IFERROR(__xludf.DUMMYFUNCTION("GOOGLETRANSLATE(A3152, ""ar"", ""bn"")"),"জীবাণু")</f>
        <v>জীবাণু</v>
      </c>
    </row>
    <row r="3153">
      <c r="A3153" s="2" t="s">
        <v>3402</v>
      </c>
      <c r="B3153" s="3" t="str">
        <f>IFERROR(__xludf.DUMMYFUNCTION("GOOGLETRANSLATE(A3153, ""ar"", ""bn"")"),"জঘন্য")</f>
        <v>জঘন্য</v>
      </c>
    </row>
    <row r="3154">
      <c r="A3154" s="2" t="s">
        <v>5565</v>
      </c>
      <c r="B3154" s="3" t="str">
        <f>IFERROR(__xludf.DUMMYFUNCTION("GOOGLETRANSLATE(A3154, ""ar"", ""bn"")"),"শহরে ইন্থর্দিপাড়া")</f>
        <v>শহরে ইন্থর্দিপাড়া</v>
      </c>
    </row>
    <row r="3155">
      <c r="A3155" s="2" t="s">
        <v>5566</v>
      </c>
      <c r="B3155" s="3" t="str">
        <f>IFERROR(__xludf.DUMMYFUNCTION("GOOGLETRANSLATE(A3155, ""ar"", ""bn"")"),"পরচর্চা")</f>
        <v>পরচর্চা</v>
      </c>
    </row>
    <row r="3156">
      <c r="A3156" s="2" t="s">
        <v>5567</v>
      </c>
      <c r="B3156" s="3" t="str">
        <f>IFERROR(__xludf.DUMMYFUNCTION("GOOGLETRANSLATE(A3156, ""ar"", ""bn"")"),"অর্থহীন কথা")</f>
        <v>অর্থহীন কথা</v>
      </c>
    </row>
    <row r="3157">
      <c r="A3157" s="2" t="s">
        <v>5568</v>
      </c>
      <c r="B3157" s="3" t="str">
        <f>IFERROR(__xludf.DUMMYFUNCTION("GOOGLETRANSLATE(A3157, ""ar"", ""bn"")"),"একদৃষ্টি")</f>
        <v>একদৃষ্টি</v>
      </c>
    </row>
    <row r="3158">
      <c r="A3158" s="2" t="s">
        <v>5569</v>
      </c>
      <c r="B3158" s="3" t="str">
        <f>IFERROR(__xludf.DUMMYFUNCTION("GOOGLETRANSLATE(A3158, ""ar"", ""bn"")"),"জ্বলজ্বলে")</f>
        <v>জ্বলজ্বলে</v>
      </c>
    </row>
    <row r="3159">
      <c r="A3159" s="2" t="s">
        <v>5570</v>
      </c>
      <c r="B3159" s="3" t="str">
        <f>IFERROR(__xludf.DUMMYFUNCTION("GOOGLETRANSLATE(A3159, ""ar"", ""bn"")"),"Glares")</f>
        <v>Glares</v>
      </c>
    </row>
    <row r="3160">
      <c r="A3160" s="2" t="s">
        <v>5571</v>
      </c>
      <c r="B3160" s="3" t="str">
        <f>IFERROR(__xludf.DUMMYFUNCTION("GOOGLETRANSLATE(A3160, ""ar"", ""bn"")"),"আনন্দ")</f>
        <v>আনন্দ</v>
      </c>
    </row>
    <row r="3161">
      <c r="A3161" s="2" t="s">
        <v>5572</v>
      </c>
      <c r="B3161" s="3" t="str">
        <f>IFERROR(__xludf.DUMMYFUNCTION("GOOGLETRANSLATE(A3161, ""ar"", ""bn"")"),"Gloated")</f>
        <v>Gloated</v>
      </c>
    </row>
    <row r="3162">
      <c r="A3162" s="2" t="s">
        <v>5573</v>
      </c>
      <c r="B3162" s="3" t="str">
        <f>IFERROR(__xludf.DUMMYFUNCTION("GOOGLETRANSLATE(A3162, ""ar"", ""bn"")"),"gloating")</f>
        <v>gloating</v>
      </c>
    </row>
    <row r="3163">
      <c r="A3163" s="2" t="s">
        <v>3676</v>
      </c>
      <c r="B3163" s="3" t="str">
        <f>IFERROR(__xludf.DUMMYFUNCTION("GOOGLETRANSLATE(A3163, ""ar"", ""bn"")"),"বিষণ্ণতা")</f>
        <v>বিষণ্ণতা</v>
      </c>
    </row>
    <row r="3164">
      <c r="A3164" s="2" t="s">
        <v>3676</v>
      </c>
      <c r="B3164" s="3" t="str">
        <f>IFERROR(__xludf.DUMMYFUNCTION("GOOGLETRANSLATE(A3164, ""ar"", ""bn"")"),"বিষণ্ণতা")</f>
        <v>বিষণ্ণতা</v>
      </c>
    </row>
    <row r="3165">
      <c r="A3165" s="2" t="s">
        <v>5574</v>
      </c>
      <c r="B3165" s="3" t="str">
        <f>IFERROR(__xludf.DUMMYFUNCTION("GOOGLETRANSLATE(A3165, ""ar"", ""bn"")"),"হতাশাপূর্ণ")</f>
        <v>হতাশাপূর্ণ</v>
      </c>
    </row>
    <row r="3166">
      <c r="A3166" s="2" t="s">
        <v>5575</v>
      </c>
      <c r="B3166" s="3" t="str">
        <f>IFERROR(__xludf.DUMMYFUNCTION("GOOGLETRANSLATE(A3166, ""ar"", ""bn"")"),"হতাশায়")</f>
        <v>হতাশায়</v>
      </c>
    </row>
    <row r="3167">
      <c r="A3167" s="2" t="s">
        <v>3676</v>
      </c>
      <c r="B3167" s="3" t="str">
        <f>IFERROR(__xludf.DUMMYFUNCTION("GOOGLETRANSLATE(A3167, ""ar"", ""bn"")"),"বিষণ্ণতা")</f>
        <v>বিষণ্ণতা</v>
      </c>
    </row>
    <row r="3168">
      <c r="A3168" s="2" t="s">
        <v>4610</v>
      </c>
      <c r="B3168" s="3" t="str">
        <f>IFERROR(__xludf.DUMMYFUNCTION("GOOGLETRANSLATE(A3168, ""ar"", ""bn"")"),"বিষণ্ণতা")</f>
        <v>বিষণ্ণতা</v>
      </c>
    </row>
    <row r="3169">
      <c r="A3169" s="2" t="s">
        <v>3673</v>
      </c>
      <c r="B3169" s="3" t="str">
        <f>IFERROR(__xludf.DUMMYFUNCTION("GOOGLETRANSLATE(A3169, ""ar"", ""bn"")"),"নিরানন্দ")</f>
        <v>নিরানন্দ</v>
      </c>
    </row>
    <row r="3170">
      <c r="A3170" s="2" t="s">
        <v>5576</v>
      </c>
      <c r="B3170" s="3" t="str">
        <f>IFERROR(__xludf.DUMMYFUNCTION("GOOGLETRANSLATE(A3170, ""ar"", ""bn"")"),"কীর্তন")</f>
        <v>কীর্তন</v>
      </c>
    </row>
    <row r="3171">
      <c r="A3171" s="2" t="s">
        <v>3673</v>
      </c>
      <c r="B3171" s="3" t="str">
        <f>IFERROR(__xludf.DUMMYFUNCTION("GOOGLETRANSLATE(A3171, ""ar"", ""bn"")"),"নিরানন্দ")</f>
        <v>নিরানন্দ</v>
      </c>
    </row>
    <row r="3172">
      <c r="A3172" s="2" t="s">
        <v>5577</v>
      </c>
      <c r="B3172" s="3" t="str">
        <f>IFERROR(__xludf.DUMMYFUNCTION("GOOGLETRANSLATE(A3172, ""ar"", ""bn"")"),"পরচর্চা")</f>
        <v>পরচর্চা</v>
      </c>
    </row>
    <row r="3173">
      <c r="A3173" s="2" t="s">
        <v>3479</v>
      </c>
      <c r="B3173" s="3" t="str">
        <f>IFERROR(__xludf.DUMMYFUNCTION("GOOGLETRANSLATE(A3173, ""ar"", ""bn"")"),"চিতকার")</f>
        <v>চিতকার</v>
      </c>
    </row>
    <row r="3174">
      <c r="A3174" s="2" t="s">
        <v>5578</v>
      </c>
      <c r="B3174" s="3" t="str">
        <f>IFERROR(__xludf.DUMMYFUNCTION("GOOGLETRANSLATE(A3174, ""ar"", ""bn"")"),"পরচর্চা")</f>
        <v>পরচর্চা</v>
      </c>
    </row>
    <row r="3175">
      <c r="A3175" s="2" t="s">
        <v>5566</v>
      </c>
      <c r="B3175" s="3" t="str">
        <f>IFERROR(__xludf.DUMMYFUNCTION("GOOGLETRANSLATE(A3175, ""ar"", ""bn"")"),"পরচর্চা")</f>
        <v>পরচর্চা</v>
      </c>
    </row>
    <row r="3176">
      <c r="A3176" s="2" t="s">
        <v>3477</v>
      </c>
      <c r="B3176" s="3" t="str">
        <f>IFERROR(__xludf.DUMMYFUNCTION("GOOGLETRANSLATE(A3176, ""ar"", ""bn"")"),"ফচকে")</f>
        <v>ফচকে</v>
      </c>
    </row>
    <row r="3177">
      <c r="A3177" s="2" t="s">
        <v>5579</v>
      </c>
      <c r="B3177" s="3" t="str">
        <f>IFERROR(__xludf.DUMMYFUNCTION("GOOGLETRANSLATE(A3177, ""ar"", ""bn"")"),"দখল")</f>
        <v>দখল</v>
      </c>
    </row>
    <row r="3178">
      <c r="A3178" s="2" t="s">
        <v>5580</v>
      </c>
      <c r="B3178" s="3" t="str">
        <f>IFERROR(__xludf.DUMMYFUNCTION("GOOGLETRANSLATE(A3178, ""ar"", ""bn"")"),"টিয়ার")</f>
        <v>টিয়ার</v>
      </c>
    </row>
    <row r="3179">
      <c r="A3179" s="2" t="s">
        <v>5581</v>
      </c>
      <c r="B3179" s="3" t="str">
        <f>IFERROR(__xludf.DUMMYFUNCTION("GOOGLETRANSLATE(A3179, ""ar"", ""bn"")"),"অর্থগৃধ্নু ব্যক্তি")</f>
        <v>অর্থগৃধ্নু ব্যক্তি</v>
      </c>
    </row>
    <row r="3180">
      <c r="A3180" s="2" t="s">
        <v>5582</v>
      </c>
      <c r="B3180" s="3" t="str">
        <f>IFERROR(__xludf.DUMMYFUNCTION("GOOGLETRANSLATE(A3180, ""ar"", ""bn"")"),"হাত")</f>
        <v>হাত</v>
      </c>
    </row>
    <row r="3181">
      <c r="A3181" s="2" t="s">
        <v>5579</v>
      </c>
      <c r="B3181" s="3" t="str">
        <f>IFERROR(__xludf.DUMMYFUNCTION("GOOGLETRANSLATE(A3181, ""ar"", ""bn"")"),"দখল")</f>
        <v>দখল</v>
      </c>
    </row>
    <row r="3182">
      <c r="A3182" s="2" t="s">
        <v>5583</v>
      </c>
      <c r="B3182" s="3" t="str">
        <f>IFERROR(__xludf.DUMMYFUNCTION("GOOGLETRANSLATE(A3182, ""ar"", ""bn"")"),"grabs")</f>
        <v>grabs</v>
      </c>
    </row>
    <row r="3183">
      <c r="A3183" s="2" t="s">
        <v>5584</v>
      </c>
      <c r="B3183" s="3" t="str">
        <f>IFERROR(__xludf.DUMMYFUNCTION("GOOGLETRANSLATE(A3183, ""ar"", ""bn"")"),"মল্লযুদ্ধ")</f>
        <v>মল্লযুদ্ধ</v>
      </c>
    </row>
    <row r="3184">
      <c r="A3184" s="2" t="s">
        <v>4006</v>
      </c>
      <c r="B3184" s="3" t="str">
        <f>IFERROR(__xludf.DUMMYFUNCTION("GOOGLETRANSLATE(A3184, ""ar"", ""bn"")"),"সংঘর্ষ")</f>
        <v>সংঘর্ষ</v>
      </c>
    </row>
    <row r="3185">
      <c r="A3185" s="2" t="s">
        <v>5585</v>
      </c>
      <c r="B3185" s="3" t="str">
        <f>IFERROR(__xludf.DUMMYFUNCTION("GOOGLETRANSLATE(A3185, ""ar"", ""bn"")"),"সোয়ালোজ")</f>
        <v>সোয়ালোজ</v>
      </c>
    </row>
    <row r="3186">
      <c r="A3186" s="2" t="s">
        <v>5586</v>
      </c>
      <c r="B3186" s="3" t="str">
        <f>IFERROR(__xludf.DUMMYFUNCTION("GOOGLETRANSLATE(A3186, ""ar"", ""bn"")"),"প্রশংসাসূচক")</f>
        <v>প্রশংসাসূচক</v>
      </c>
    </row>
    <row r="3187">
      <c r="A3187" s="2" t="s">
        <v>5587</v>
      </c>
      <c r="B3187" s="3" t="str">
        <f>IFERROR(__xludf.DUMMYFUNCTION("GOOGLETRANSLATE(A3187, ""ar"", ""bn"")"),"আত্মপক্ষ সমর্থন")</f>
        <v>আত্মপক্ষ সমর্থন</v>
      </c>
    </row>
    <row r="3188">
      <c r="A3188" s="2" t="s">
        <v>5588</v>
      </c>
      <c r="B3188" s="3" t="str">
        <f>IFERROR(__xludf.DUMMYFUNCTION("GOOGLETRANSLATE(A3188, ""ar"", ""bn"")"),"Implausibility")</f>
        <v>Implausibility</v>
      </c>
    </row>
    <row r="3189">
      <c r="A3189" s="2" t="s">
        <v>5589</v>
      </c>
      <c r="B3189" s="3" t="str">
        <f>IFERROR(__xludf.DUMMYFUNCTION("GOOGLETRANSLATE(A3189, ""ar"", ""bn"")"),"কবর")</f>
        <v>কবর</v>
      </c>
    </row>
    <row r="3190">
      <c r="A3190" s="2" t="s">
        <v>5590</v>
      </c>
      <c r="B3190" s="3" t="str">
        <f>IFERROR(__xludf.DUMMYFUNCTION("GOOGLETRANSLATE(A3190, ""ar"", ""bn"")"),"কবর খনক")</f>
        <v>কবর খনক</v>
      </c>
    </row>
    <row r="3191">
      <c r="A3191" s="2" t="s">
        <v>5591</v>
      </c>
      <c r="B3191" s="3" t="str">
        <f>IFERROR(__xludf.DUMMYFUNCTION("GOOGLETRANSLATE(A3191, ""ar"", ""bn"")"),"Gravediggers")</f>
        <v>Gravediggers</v>
      </c>
    </row>
    <row r="3192">
      <c r="A3192" s="2" t="s">
        <v>5592</v>
      </c>
      <c r="B3192" s="3" t="str">
        <f>IFERROR(__xludf.DUMMYFUNCTION("GOOGLETRANSLATE(A3192, ""ar"", ""bn"")"),"নুড়ি")</f>
        <v>নুড়ি</v>
      </c>
    </row>
    <row r="3193">
      <c r="A3193" s="2" t="s">
        <v>5593</v>
      </c>
      <c r="B3193" s="3" t="str">
        <f>IFERROR(__xludf.DUMMYFUNCTION("GOOGLETRANSLATE(A3193, ""ar"", ""bn"")"),"নুড়ি")</f>
        <v>নুড়ি</v>
      </c>
    </row>
    <row r="3194">
      <c r="A3194" s="2" t="s">
        <v>5594</v>
      </c>
      <c r="B3194" s="3" t="str">
        <f>IFERROR(__xludf.DUMMYFUNCTION("GOOGLETRANSLATE(A3194, ""ar"", ""bn"")"),"কর্কশ")</f>
        <v>কর্কশ</v>
      </c>
    </row>
    <row r="3195">
      <c r="A3195" s="2" t="s">
        <v>5595</v>
      </c>
      <c r="B3195" s="3" t="str">
        <f>IFERROR(__xludf.DUMMYFUNCTION("GOOGLETRANSLATE(A3195, ""ar"", ""bn"")"),"নুড়ি")</f>
        <v>নুড়ি</v>
      </c>
    </row>
    <row r="3196">
      <c r="A3196" s="2" t="s">
        <v>4409</v>
      </c>
      <c r="B3196" s="3" t="str">
        <f>IFERROR(__xludf.DUMMYFUNCTION("GOOGLETRANSLATE(A3196, ""ar"", ""bn"")"),"বিপজ্জনক")</f>
        <v>বিপজ্জনক</v>
      </c>
    </row>
    <row r="3197">
      <c r="A3197" s="2" t="s">
        <v>5596</v>
      </c>
      <c r="B3197" s="3" t="str">
        <f>IFERROR(__xludf.DUMMYFUNCTION("GOOGLETRANSLATE(A3197, ""ar"", ""bn"")"),"মাটিকাটা")</f>
        <v>মাটিকাটা</v>
      </c>
    </row>
    <row r="3198">
      <c r="A3198" s="2" t="s">
        <v>5597</v>
      </c>
      <c r="B3198" s="3" t="str">
        <f>IFERROR(__xludf.DUMMYFUNCTION("GOOGLETRANSLATE(A3198, ""ar"", ""bn"")"),"বাটালি")</f>
        <v>বাটালি</v>
      </c>
    </row>
    <row r="3199">
      <c r="A3199" s="2" t="s">
        <v>5598</v>
      </c>
      <c r="B3199" s="3" t="str">
        <f>IFERROR(__xludf.DUMMYFUNCTION("GOOGLETRANSLATE(A3199, ""ar"", ""bn"")"),"সমাধিক্ষেত্র")</f>
        <v>সমাধিক্ষেত্র</v>
      </c>
    </row>
    <row r="3200">
      <c r="A3200" s="2" t="s">
        <v>5599</v>
      </c>
      <c r="B3200" s="3" t="str">
        <f>IFERROR(__xludf.DUMMYFUNCTION("GOOGLETRANSLATE(A3200, ""ar"", ""bn"")"),"কবর")</f>
        <v>কবর</v>
      </c>
    </row>
    <row r="3201">
      <c r="A3201" s="2" t="s">
        <v>5600</v>
      </c>
      <c r="B3201" s="3" t="str">
        <f>IFERROR(__xludf.DUMMYFUNCTION("GOOGLETRANSLATE(A3201, ""ar"", ""bn"")"),"সবচাইতে বিপদজনক")</f>
        <v>সবচাইতে বিপদজনক</v>
      </c>
    </row>
    <row r="3202">
      <c r="A3202" s="2" t="s">
        <v>5601</v>
      </c>
      <c r="B3202" s="3" t="str">
        <f>IFERROR(__xludf.DUMMYFUNCTION("GOOGLETRANSLATE(A3202, ""ar"", ""bn"")"),"কবরের শীর্ষদেশে স্থাপিত")</f>
        <v>কবরের শীর্ষদেশে স্থাপিত</v>
      </c>
    </row>
    <row r="3203">
      <c r="A3203" s="2" t="s">
        <v>5602</v>
      </c>
      <c r="B3203" s="3" t="str">
        <f>IFERROR(__xludf.DUMMYFUNCTION("GOOGLETRANSLATE(A3203, ""ar"", ""bn"")"),"Tombstones")</f>
        <v>Tombstones</v>
      </c>
    </row>
    <row r="3204">
      <c r="A3204" s="2" t="s">
        <v>5603</v>
      </c>
      <c r="B3204" s="3" t="str">
        <f>IFERROR(__xludf.DUMMYFUNCTION("GOOGLETRANSLATE(A3204, ""ar"", ""bn"")"),"কবরস্থান")</f>
        <v>কবরস্থান</v>
      </c>
    </row>
    <row r="3205">
      <c r="A3205" s="2" t="s">
        <v>5598</v>
      </c>
      <c r="B3205" s="3" t="str">
        <f>IFERROR(__xludf.DUMMYFUNCTION("GOOGLETRANSLATE(A3205, ""ar"", ""bn"")"),"সমাধিক্ষেত্র")</f>
        <v>সমাধিক্ষেত্র</v>
      </c>
    </row>
    <row r="3206">
      <c r="A3206" s="2" t="s">
        <v>5604</v>
      </c>
      <c r="B3206" s="3" t="str">
        <f>IFERROR(__xludf.DUMMYFUNCTION("GOOGLETRANSLATE(A3206, ""ar"", ""bn"")"),"ক্ষুধা")</f>
        <v>ক্ষুধা</v>
      </c>
    </row>
    <row r="3207">
      <c r="A3207" s="2" t="s">
        <v>5605</v>
      </c>
      <c r="B3207" s="3" t="str">
        <f>IFERROR(__xludf.DUMMYFUNCTION("GOOGLETRANSLATE(A3207, ""ar"", ""bn"")"),"সাগ্রহে")</f>
        <v>সাগ্রহে</v>
      </c>
    </row>
    <row r="3208">
      <c r="A3208" s="2" t="s">
        <v>3455</v>
      </c>
      <c r="B3208" s="3" t="str">
        <f>IFERROR(__xludf.DUMMYFUNCTION("GOOGLETRANSLATE(A3208, ""ar"", ""bn"")"),"ক্ষুধা")</f>
        <v>ক্ষুধা</v>
      </c>
    </row>
    <row r="3209">
      <c r="A3209" s="2" t="s">
        <v>4229</v>
      </c>
      <c r="B3209" s="3" t="str">
        <f>IFERROR(__xludf.DUMMYFUNCTION("GOOGLETRANSLATE(A3209, ""ar"", ""bn"")"),"পালকাবরণ")</f>
        <v>পালকাবরণ</v>
      </c>
    </row>
    <row r="3210">
      <c r="A3210" s="2" t="s">
        <v>4233</v>
      </c>
      <c r="B3210" s="3" t="str">
        <f>IFERROR(__xludf.DUMMYFUNCTION("GOOGLETRANSLATE(A3210, ""ar"", ""bn"")"),"লোভী")</f>
        <v>লোভী</v>
      </c>
    </row>
    <row r="3211">
      <c r="A3211" s="2" t="s">
        <v>5606</v>
      </c>
      <c r="B3211" s="3" t="str">
        <f>IFERROR(__xludf.DUMMYFUNCTION("GOOGLETRANSLATE(A3211, ""ar"", ""bn"")"),"Sadnes")</f>
        <v>Sadnes</v>
      </c>
    </row>
    <row r="3212">
      <c r="A3212" s="2" t="s">
        <v>5607</v>
      </c>
      <c r="B3212" s="3" t="str">
        <f>IFERROR(__xludf.DUMMYFUNCTION("GOOGLETRANSLATE(A3212, ""ar"", ""bn"")"),"দু: খ")</f>
        <v>দু: খ</v>
      </c>
    </row>
    <row r="3213">
      <c r="A3213" s="2" t="s">
        <v>4093</v>
      </c>
      <c r="B3213" s="3" t="str">
        <f>IFERROR(__xludf.DUMMYFUNCTION("GOOGLETRANSLATE(A3213, ""ar"", ""bn"")"),"অভিযোগ")</f>
        <v>অভিযোগ</v>
      </c>
    </row>
    <row r="3214">
      <c r="A3214" s="2" t="s">
        <v>5608</v>
      </c>
      <c r="B3214" s="3" t="str">
        <f>IFERROR(__xludf.DUMMYFUNCTION("GOOGLETRANSLATE(A3214, ""ar"", ""bn"")"),"ক্ষোভের")</f>
        <v>ক্ষোভের</v>
      </c>
    </row>
    <row r="3215">
      <c r="A3215" s="2" t="s">
        <v>5606</v>
      </c>
      <c r="B3215" s="3" t="str">
        <f>IFERROR(__xludf.DUMMYFUNCTION("GOOGLETRANSLATE(A3215, ""ar"", ""bn"")"),"Sadnes")</f>
        <v>Sadnes</v>
      </c>
    </row>
    <row r="3216">
      <c r="A3216" s="2" t="s">
        <v>4536</v>
      </c>
      <c r="B3216" s="3" t="str">
        <f>IFERROR(__xludf.DUMMYFUNCTION("GOOGLETRANSLATE(A3216, ""ar"", ""bn"")"),"বিমর্ষ - বিষণ্ণ")</f>
        <v>বিমর্ষ - বিষণ্ণ</v>
      </c>
    </row>
    <row r="3217">
      <c r="A3217" s="2" t="s">
        <v>5609</v>
      </c>
      <c r="B3217" s="3" t="str">
        <f>IFERROR(__xludf.DUMMYFUNCTION("GOOGLETRANSLATE(A3217, ""ar"", ""bn"")"),"দু: খিত")</f>
        <v>দু: খিত</v>
      </c>
    </row>
    <row r="3218">
      <c r="A3218" s="2" t="s">
        <v>5610</v>
      </c>
      <c r="B3218" s="3" t="str">
        <f>IFERROR(__xludf.DUMMYFUNCTION("GOOGLETRANSLATE(A3218, ""ar"", ""bn"")"),"বিয়োগান্তক")</f>
        <v>বিয়োগান্তক</v>
      </c>
    </row>
    <row r="3219">
      <c r="A3219" s="2" t="s">
        <v>5607</v>
      </c>
      <c r="B3219" s="3" t="str">
        <f>IFERROR(__xludf.DUMMYFUNCTION("GOOGLETRANSLATE(A3219, ""ar"", ""bn"")"),"দু: খ")</f>
        <v>দু: খ</v>
      </c>
    </row>
    <row r="3220">
      <c r="A3220" s="2" t="s">
        <v>4409</v>
      </c>
      <c r="B3220" s="3" t="str">
        <f>IFERROR(__xludf.DUMMYFUNCTION("GOOGLETRANSLATE(A3220, ""ar"", ""bn"")"),"বিপজ্জনক")</f>
        <v>বিপজ্জনক</v>
      </c>
    </row>
    <row r="3221">
      <c r="A3221" s="2" t="s">
        <v>4419</v>
      </c>
      <c r="B3221" s="3" t="str">
        <f>IFERROR(__xludf.DUMMYFUNCTION("GOOGLETRANSLATE(A3221, ""ar"", ""bn"")"),"রহস্যময়ভাবে")</f>
        <v>রহস্যময়ভাবে</v>
      </c>
    </row>
    <row r="3222">
      <c r="A3222" s="2" t="s">
        <v>5611</v>
      </c>
      <c r="B3222" s="3" t="str">
        <f>IFERROR(__xludf.DUMMYFUNCTION("GOOGLETRANSLATE(A3222, ""ar"", ""bn"")"),"ভয়ানক")</f>
        <v>ভয়ানক</v>
      </c>
    </row>
    <row r="3223">
      <c r="A3223" s="2" t="s">
        <v>5612</v>
      </c>
      <c r="B3223" s="3" t="str">
        <f>IFERROR(__xludf.DUMMYFUNCTION("GOOGLETRANSLATE(A3223, ""ar"", ""bn"")"),"মগ")</f>
        <v>মগ</v>
      </c>
    </row>
    <row r="3224">
      <c r="A3224" s="2" t="s">
        <v>5613</v>
      </c>
      <c r="B3224" s="3" t="str">
        <f>IFERROR(__xludf.DUMMYFUNCTION("GOOGLETRANSLATE(A3224, ""ar"", ""bn"")"),"Wiggles ও")</f>
        <v>Wiggles ও</v>
      </c>
    </row>
    <row r="3225">
      <c r="A3225" s="2" t="s">
        <v>5614</v>
      </c>
      <c r="B3225" s="3" t="str">
        <f>IFERROR(__xludf.DUMMYFUNCTION("GOOGLETRANSLATE(A3225, ""ar"", ""bn"")"),"ভ্রূকুটি")</f>
        <v>ভ্রূকুটি</v>
      </c>
    </row>
    <row r="3226">
      <c r="A3226" s="2" t="s">
        <v>5615</v>
      </c>
      <c r="B3226" s="3" t="str">
        <f>IFERROR(__xludf.DUMMYFUNCTION("GOOGLETRANSLATE(A3226, ""ar"", ""bn"")"),"ঘেঙচানো")</f>
        <v>ঘেঙচানো</v>
      </c>
    </row>
    <row r="3227">
      <c r="A3227" s="2" t="s">
        <v>5616</v>
      </c>
      <c r="B3227" s="3" t="str">
        <f>IFERROR(__xludf.DUMMYFUNCTION("GOOGLETRANSLATE(A3227, ""ar"", ""bn"")"),"স্ফীত করা")</f>
        <v>স্ফীত করা</v>
      </c>
    </row>
    <row r="3228">
      <c r="A3228" s="2" t="s">
        <v>5617</v>
      </c>
      <c r="B3228" s="3" t="str">
        <f>IFERROR(__xludf.DUMMYFUNCTION("GOOGLETRANSLATE(A3228, ""ar"", ""bn"")"),"ক্ষমাহীনভাবে")</f>
        <v>ক্ষমাহীনভাবে</v>
      </c>
    </row>
    <row r="3229">
      <c r="A3229" s="2" t="s">
        <v>5618</v>
      </c>
      <c r="B3229" s="3" t="str">
        <f>IFERROR(__xludf.DUMMYFUNCTION("GOOGLETRANSLATE(A3229, ""ar"", ""bn"")"),"গ্রিম")</f>
        <v>গ্রিম</v>
      </c>
    </row>
    <row r="3230">
      <c r="A3230" s="2" t="s">
        <v>5619</v>
      </c>
      <c r="B3230" s="3" t="str">
        <f>IFERROR(__xludf.DUMMYFUNCTION("GOOGLETRANSLATE(A3230, ""ar"", ""bn"")"),"বেশি কঠোর")</f>
        <v>বেশি কঠোর</v>
      </c>
    </row>
    <row r="3231">
      <c r="A3231" s="2" t="s">
        <v>5620</v>
      </c>
      <c r="B3231" s="3" t="str">
        <f>IFERROR(__xludf.DUMMYFUNCTION("GOOGLETRANSLATE(A3231, ""ar"", ""bn"")"),"দু: স্থ")</f>
        <v>দু: স্থ</v>
      </c>
    </row>
    <row r="3232">
      <c r="A3232" s="2" t="s">
        <v>3676</v>
      </c>
      <c r="B3232" s="3" t="str">
        <f>IFERROR(__xludf.DUMMYFUNCTION("GOOGLETRANSLATE(A3232, ""ar"", ""bn"")"),"বিষণ্ণতা")</f>
        <v>বিষণ্ণতা</v>
      </c>
    </row>
    <row r="3233">
      <c r="A3233" s="2" t="s">
        <v>5621</v>
      </c>
      <c r="B3233" s="3" t="str">
        <f>IFERROR(__xludf.DUMMYFUNCTION("GOOGLETRANSLATE(A3233, ""ar"", ""bn"")"),"মলিন")</f>
        <v>মলিন</v>
      </c>
    </row>
    <row r="3234">
      <c r="A3234" s="2" t="s">
        <v>5616</v>
      </c>
      <c r="B3234" s="3" t="str">
        <f>IFERROR(__xludf.DUMMYFUNCTION("GOOGLETRANSLATE(A3234, ""ar"", ""bn"")"),"স্ফীত করা")</f>
        <v>স্ফীত করা</v>
      </c>
    </row>
    <row r="3235">
      <c r="A3235" s="2" t="s">
        <v>5622</v>
      </c>
      <c r="B3235" s="3" t="str">
        <f>IFERROR(__xludf.DUMMYFUNCTION("GOOGLETRANSLATE(A3235, ""ar"", ""bn"")"),"ঘুসরবর্ণ")</f>
        <v>ঘুসরবর্ণ</v>
      </c>
    </row>
    <row r="3236">
      <c r="A3236" s="2" t="s">
        <v>5623</v>
      </c>
      <c r="B3236" s="3" t="str">
        <f>IFERROR(__xludf.DUMMYFUNCTION("GOOGLETRANSLATE(A3236, ""ar"", ""bn"")"),"মোট")</f>
        <v>মোট</v>
      </c>
    </row>
    <row r="3237">
      <c r="A3237" s="2" t="s">
        <v>5624</v>
      </c>
      <c r="B3237" s="3" t="str">
        <f>IFERROR(__xludf.DUMMYFUNCTION("GOOGLETRANSLATE(A3237, ""ar"", ""bn"")"),"অর্জন করা")</f>
        <v>অর্জন করা</v>
      </c>
    </row>
    <row r="3238">
      <c r="A3238" s="2" t="s">
        <v>5625</v>
      </c>
      <c r="B3238" s="3" t="str">
        <f>IFERROR(__xludf.DUMMYFUNCTION("GOOGLETRANSLATE(A3238, ""ar"", ""bn"")"),"মোট")</f>
        <v>মোট</v>
      </c>
    </row>
    <row r="3239">
      <c r="A3239" s="2" t="s">
        <v>5626</v>
      </c>
      <c r="B3239" s="3" t="str">
        <f>IFERROR(__xludf.DUMMYFUNCTION("GOOGLETRANSLATE(A3239, ""ar"", ""bn"")"),"Grossest")</f>
        <v>Grossest</v>
      </c>
    </row>
    <row r="3240">
      <c r="A3240" s="2" t="s">
        <v>5627</v>
      </c>
      <c r="B3240" s="3" t="str">
        <f>IFERROR(__xludf.DUMMYFUNCTION("GOOGLETRANSLATE(A3240, ""ar"", ""bn"")"),"প্রবলভাবে")</f>
        <v>প্রবলভাবে</v>
      </c>
    </row>
    <row r="3241">
      <c r="A3241" s="2" t="s">
        <v>4023</v>
      </c>
      <c r="B3241" s="3" t="str">
        <f>IFERROR(__xludf.DUMMYFUNCTION("GOOGLETRANSLATE(A3241, ""ar"", ""bn"")"),"বন্ধুরতা")</f>
        <v>বন্ধুরতা</v>
      </c>
    </row>
    <row r="3242">
      <c r="A3242" s="2" t="s">
        <v>3654</v>
      </c>
      <c r="B3242" s="3" t="str">
        <f>IFERROR(__xludf.DUMMYFUNCTION("GOOGLETRANSLATE(A3242, ""ar"", ""bn"")"),"একজন আগুন্তুক")</f>
        <v>একজন আগুন্তুক</v>
      </c>
    </row>
    <row r="3243">
      <c r="A3243" s="2" t="s">
        <v>3654</v>
      </c>
      <c r="B3243" s="3" t="str">
        <f>IFERROR(__xludf.DUMMYFUNCTION("GOOGLETRANSLATE(A3243, ""ar"", ""bn"")"),"একজন আগুন্তুক")</f>
        <v>একজন আগুন্তুক</v>
      </c>
    </row>
    <row r="3244">
      <c r="A3244" s="2" t="s">
        <v>5628</v>
      </c>
      <c r="B3244" s="3" t="str">
        <f>IFERROR(__xludf.DUMMYFUNCTION("GOOGLETRANSLATE(A3244, ""ar"", ""bn"")"),"কদর্যতা এবং বর্বরতা")</f>
        <v>কদর্যতা এবং বর্বরতা</v>
      </c>
    </row>
    <row r="3245">
      <c r="A3245" s="2" t="s">
        <v>5629</v>
      </c>
      <c r="B3245" s="3" t="str">
        <f>IFERROR(__xludf.DUMMYFUNCTION("GOOGLETRANSLATE(A3245, ""ar"", ""bn"")"),"টাট্টু ঘোড়া")</f>
        <v>টাট্টু ঘোড়া</v>
      </c>
    </row>
    <row r="3246">
      <c r="A3246" s="2" t="s">
        <v>5630</v>
      </c>
      <c r="B3246" s="3" t="str">
        <f>IFERROR(__xludf.DUMMYFUNCTION("GOOGLETRANSLATE(A3246, ""ar"", ""bn"")"),"কর্কশকণ্ঠ")</f>
        <v>কর্কশকণ্ঠ</v>
      </c>
    </row>
    <row r="3247">
      <c r="A3247" s="2" t="s">
        <v>5629</v>
      </c>
      <c r="B3247" s="3" t="str">
        <f>IFERROR(__xludf.DUMMYFUNCTION("GOOGLETRANSLATE(A3247, ""ar"", ""bn"")"),"টাট্টু ঘোড়া")</f>
        <v>টাট্টু ঘোড়া</v>
      </c>
    </row>
    <row r="3248">
      <c r="A3248" s="2" t="s">
        <v>5631</v>
      </c>
      <c r="B3248" s="3" t="str">
        <f>IFERROR(__xludf.DUMMYFUNCTION("GOOGLETRANSLATE(A3248, ""ar"", ""bn"")"),"বৃথা")</f>
        <v>বৃথা</v>
      </c>
    </row>
    <row r="3249">
      <c r="A3249" s="2" t="s">
        <v>5632</v>
      </c>
      <c r="B3249" s="3" t="str">
        <f>IFERROR(__xludf.DUMMYFUNCTION("GOOGLETRANSLATE(A3249, ""ar"", ""bn"")"),"দাঁড়কাক")</f>
        <v>দাঁড়কাক</v>
      </c>
    </row>
    <row r="3250">
      <c r="A3250" s="2" t="s">
        <v>5633</v>
      </c>
      <c r="B3250" s="3" t="str">
        <f>IFERROR(__xludf.DUMMYFUNCTION("GOOGLETRANSLATE(A3250, ""ar"", ""bn"")"),"অপব্যয়")</f>
        <v>অপব্যয়</v>
      </c>
    </row>
    <row r="3251">
      <c r="A3251" s="2" t="s">
        <v>5634</v>
      </c>
      <c r="B3251" s="3" t="str">
        <f>IFERROR(__xludf.DUMMYFUNCTION("GOOGLETRANSLATE(A3251, ""ar"", ""bn"")"),"গোঁ গোঁ শব্দ করা")</f>
        <v>গোঁ গোঁ শব্দ করা</v>
      </c>
    </row>
    <row r="3252">
      <c r="A3252" s="2" t="s">
        <v>5635</v>
      </c>
      <c r="B3252" s="3" t="str">
        <f>IFERROR(__xludf.DUMMYFUNCTION("GOOGLETRANSLATE(A3252, ""ar"", ""bn"")"),"মনের ঝাল")</f>
        <v>মনের ঝাল</v>
      </c>
    </row>
    <row r="3253">
      <c r="A3253" s="2" t="s">
        <v>5636</v>
      </c>
      <c r="B3253" s="3" t="str">
        <f>IFERROR(__xludf.DUMMYFUNCTION("GOOGLETRANSLATE(A3253, ""ar"", ""bn"")"),"অসন্তোষ")</f>
        <v>অসন্তোষ</v>
      </c>
    </row>
    <row r="3254">
      <c r="A3254" s="2" t="s">
        <v>5594</v>
      </c>
      <c r="B3254" s="3" t="str">
        <f>IFERROR(__xludf.DUMMYFUNCTION("GOOGLETRANSLATE(A3254, ""ar"", ""bn"")"),"কর্কশ")</f>
        <v>কর্কশ</v>
      </c>
    </row>
    <row r="3255">
      <c r="A3255" s="2" t="s">
        <v>5637</v>
      </c>
      <c r="B3255" s="3" t="str">
        <f>IFERROR(__xludf.DUMMYFUNCTION("GOOGLETRANSLATE(A3255, ""ar"", ""bn"")"),"স্থূলভাবে")</f>
        <v>স্থূলভাবে</v>
      </c>
    </row>
    <row r="3256">
      <c r="A3256" s="2" t="s">
        <v>3714</v>
      </c>
      <c r="B3256" s="3" t="str">
        <f>IFERROR(__xludf.DUMMYFUNCTION("GOOGLETRANSLATE(A3256, ""ar"", ""bn"")"),"কর্কশতা")</f>
        <v>কর্কশতা</v>
      </c>
    </row>
    <row r="3257">
      <c r="A3257" s="2" t="s">
        <v>5629</v>
      </c>
      <c r="B3257" s="3" t="str">
        <f>IFERROR(__xludf.DUMMYFUNCTION("GOOGLETRANSLATE(A3257, ""ar"", ""bn"")"),"টাট্টু ঘোড়া")</f>
        <v>টাট্টু ঘোড়া</v>
      </c>
    </row>
    <row r="3258">
      <c r="A3258" s="2" t="s">
        <v>5629</v>
      </c>
      <c r="B3258" s="3" t="str">
        <f>IFERROR(__xludf.DUMMYFUNCTION("GOOGLETRANSLATE(A3258, ""ar"", ""bn"")"),"টাট্টু ঘোড়া")</f>
        <v>টাট্টু ঘোড়া</v>
      </c>
    </row>
    <row r="3259">
      <c r="A3259" s="2" t="s">
        <v>5638</v>
      </c>
      <c r="B3259" s="3" t="str">
        <f>IFERROR(__xludf.DUMMYFUNCTION("GOOGLETRANSLATE(A3259, ""ar"", ""bn"")"),"খিট্খিটে লোক")</f>
        <v>খিট্খিটে লোক</v>
      </c>
    </row>
    <row r="3260">
      <c r="A3260" s="2" t="s">
        <v>5629</v>
      </c>
      <c r="B3260" s="3" t="str">
        <f>IFERROR(__xludf.DUMMYFUNCTION("GOOGLETRANSLATE(A3260, ""ar"", ""bn"")"),"টাট্টু ঘোড়া")</f>
        <v>টাট্টু ঘোড়া</v>
      </c>
    </row>
    <row r="3261">
      <c r="A3261" s="2" t="s">
        <v>5639</v>
      </c>
      <c r="B3261" s="3" t="str">
        <f>IFERROR(__xludf.DUMMYFUNCTION("GOOGLETRANSLATE(A3261, ""ar"", ""bn"")"),"grumbly")</f>
        <v>grumbly</v>
      </c>
    </row>
    <row r="3262">
      <c r="A3262" s="2" t="s">
        <v>5640</v>
      </c>
      <c r="B3262" s="3" t="str">
        <f>IFERROR(__xludf.DUMMYFUNCTION("GOOGLETRANSLATE(A3262, ""ar"", ""bn"")"),"নালিশ")</f>
        <v>নালিশ</v>
      </c>
    </row>
    <row r="3263">
      <c r="A3263" s="2" t="s">
        <v>1084</v>
      </c>
      <c r="B3263" s="3" t="str">
        <f>IFERROR(__xludf.DUMMYFUNCTION("GOOGLETRANSLATE(A3263, ""ar"", ""bn"")"),"গেরিলা")</f>
        <v>গেরিলা</v>
      </c>
    </row>
    <row r="3264">
      <c r="A3264" s="2" t="s">
        <v>1730</v>
      </c>
      <c r="B3264" s="3" t="str">
        <f>IFERROR(__xludf.DUMMYFUNCTION("GOOGLETRANSLATE(A3264, ""ar"", ""bn"")"),"পার্টি")</f>
        <v>পার্টি</v>
      </c>
    </row>
    <row r="3265">
      <c r="A3265" s="2" t="s">
        <v>5641</v>
      </c>
      <c r="B3265" s="3" t="str">
        <f>IFERROR(__xludf.DUMMYFUNCTION("GOOGLETRANSLATE(A3265, ""ar"", ""bn"")"),"পাপ")</f>
        <v>পাপ</v>
      </c>
    </row>
    <row r="3266">
      <c r="A3266" s="2" t="s">
        <v>5642</v>
      </c>
      <c r="B3266" s="3" t="str">
        <f>IFERROR(__xludf.DUMMYFUNCTION("GOOGLETRANSLATE(A3266, ""ar"", ""bn"")"),"পাপ")</f>
        <v>পাপ</v>
      </c>
    </row>
    <row r="3267">
      <c r="A3267" s="2" t="s">
        <v>5643</v>
      </c>
      <c r="B3267" s="3" t="str">
        <f>IFERROR(__xludf.DUMMYFUNCTION("GOOGLETRANSLATE(A3267, ""ar"", ""bn"")"),"guiltily")</f>
        <v>guiltily</v>
      </c>
    </row>
    <row r="3268">
      <c r="A3268" s="2" t="s">
        <v>5641</v>
      </c>
      <c r="B3268" s="3" t="str">
        <f>IFERROR(__xludf.DUMMYFUNCTION("GOOGLETRANSLATE(A3268, ""ar"", ""bn"")"),"পাপ")</f>
        <v>পাপ</v>
      </c>
    </row>
    <row r="3269">
      <c r="A3269" s="2" t="s">
        <v>3662</v>
      </c>
      <c r="B3269" s="3" t="str">
        <f>IFERROR(__xludf.DUMMYFUNCTION("GOOGLETRANSLATE(A3269, ""ar"", ""bn"")"),"নির্দোষ")</f>
        <v>নির্দোষ</v>
      </c>
    </row>
    <row r="3270">
      <c r="A3270" s="2" t="s">
        <v>5644</v>
      </c>
      <c r="B3270" s="3" t="str">
        <f>IFERROR(__xludf.DUMMYFUNCTION("GOOGLETRANSLATE(A3270, ""ar"", ""bn"")"),"পাপের")</f>
        <v>পাপের</v>
      </c>
    </row>
    <row r="3271">
      <c r="A3271" s="2" t="s">
        <v>4374</v>
      </c>
      <c r="B3271" s="3" t="str">
        <f>IFERROR(__xludf.DUMMYFUNCTION("GOOGLETRANSLATE(A3271, ""ar"", ""bn"")"),"দোষী")</f>
        <v>দোষী</v>
      </c>
    </row>
    <row r="3272">
      <c r="A3272" s="2" t="s">
        <v>5645</v>
      </c>
      <c r="B3272" s="3" t="str">
        <f>IFERROR(__xludf.DUMMYFUNCTION("GOOGLETRANSLATE(A3272, ""ar"", ""bn"")"),"চেহারা")</f>
        <v>চেহারা</v>
      </c>
    </row>
    <row r="3273">
      <c r="A3273" s="2" t="s">
        <v>5646</v>
      </c>
      <c r="B3273" s="3" t="str">
        <f>IFERROR(__xludf.DUMMYFUNCTION("GOOGLETRANSLATE(A3273, ""ar"", ""bn"")"),"উপস্থিতি")</f>
        <v>উপস্থিতি</v>
      </c>
    </row>
    <row r="3274">
      <c r="A3274" s="2" t="s">
        <v>4269</v>
      </c>
      <c r="B3274" s="3" t="str">
        <f>IFERROR(__xludf.DUMMYFUNCTION("GOOGLETRANSLATE(A3274, ""ar"", ""bn"")"),"সাদাসিধা")</f>
        <v>সাদাসিধা</v>
      </c>
    </row>
    <row r="3275">
      <c r="A3275" s="2" t="s">
        <v>5647</v>
      </c>
      <c r="B3275" s="3" t="str">
        <f>IFERROR(__xludf.DUMMYFUNCTION("GOOGLETRANSLATE(A3275, ""ar"", ""bn"")"),"বন্দুক")</f>
        <v>বন্দুক</v>
      </c>
    </row>
    <row r="3276">
      <c r="A3276" s="2" t="s">
        <v>5648</v>
      </c>
      <c r="B3276" s="3" t="str">
        <f>IFERROR(__xludf.DUMMYFUNCTION("GOOGLETRANSLATE(A3276, ""ar"", ""bn"")"),"কামান-বাহী পোত")</f>
        <v>কামান-বাহী পোত</v>
      </c>
    </row>
    <row r="3277">
      <c r="A3277" s="2" t="s">
        <v>5649</v>
      </c>
      <c r="B3277" s="3" t="str">
        <f>IFERROR(__xludf.DUMMYFUNCTION("GOOGLETRANSLATE(A3277, ""ar"", ""bn"")"),"গানবোট")</f>
        <v>গানবোট</v>
      </c>
    </row>
    <row r="3278">
      <c r="A3278" s="2" t="s">
        <v>5650</v>
      </c>
      <c r="B3278" s="3" t="str">
        <f>IFERROR(__xludf.DUMMYFUNCTION("GOOGLETRANSLATE(A3278, ""ar"", ""bn"")"),"অঙ্কুর")</f>
        <v>অঙ্কুর</v>
      </c>
    </row>
    <row r="3279">
      <c r="A3279" s="2" t="s">
        <v>5651</v>
      </c>
      <c r="B3279" s="3" t="str">
        <f>IFERROR(__xludf.DUMMYFUNCTION("GOOGLETRANSLATE(A3279, ""ar"", ""bn"")"),"শুটিং")</f>
        <v>শুটিং</v>
      </c>
    </row>
    <row r="3280">
      <c r="A3280" s="2" t="s">
        <v>5652</v>
      </c>
      <c r="B3280" s="3" t="str">
        <f>IFERROR(__xludf.DUMMYFUNCTION("GOOGLETRANSLATE(A3280, ""ar"", ""bn"")"),"রিলিজ আগ্নেয়াস্ত্র")</f>
        <v>রিলিজ আগ্নেয়াস্ত্র</v>
      </c>
    </row>
    <row r="3281">
      <c r="A3281" s="1" t="s">
        <v>5653</v>
      </c>
      <c r="B3281" s="3" t="str">
        <f>IFERROR(__xludf.DUMMYFUNCTION("GOOGLETRANSLATE(A3281, ""ar"", ""bn"")"),"gunite")</f>
        <v>gunite</v>
      </c>
    </row>
    <row r="3282">
      <c r="A3282" s="2" t="s">
        <v>5654</v>
      </c>
      <c r="B3282" s="3" t="str">
        <f>IFERROR(__xludf.DUMMYFUNCTION("GOOGLETRANSLATE(A3282, ""ar"", ""bn"")"),"চটচটে বা তরল পদার্থ")</f>
        <v>চটচটে বা তরল পদার্থ</v>
      </c>
    </row>
    <row r="3283">
      <c r="A3283" s="2" t="s">
        <v>5655</v>
      </c>
      <c r="B3283" s="3" t="str">
        <f>IFERROR(__xludf.DUMMYFUNCTION("GOOGLETRANSLATE(A3283, ""ar"", ""bn"")"),"সশস্ত্র")</f>
        <v>সশস্ত্র</v>
      </c>
    </row>
    <row r="3284">
      <c r="A3284" s="2" t="s">
        <v>5656</v>
      </c>
      <c r="B3284" s="3" t="str">
        <f>IFERROR(__xludf.DUMMYFUNCTION("GOOGLETRANSLATE(A3284, ""ar"", ""bn"")"),"বন্দুকধারীরা")</f>
        <v>বন্দুকধারীরা</v>
      </c>
    </row>
    <row r="3285">
      <c r="A3285" s="2" t="s">
        <v>5657</v>
      </c>
      <c r="B3285" s="3" t="str">
        <f>IFERROR(__xludf.DUMMYFUNCTION("GOOGLETRANSLATE(A3285, ""ar"", ""bn"")"),"Gunmetal")</f>
        <v>Gunmetal</v>
      </c>
    </row>
    <row r="3286">
      <c r="A3286" s="2" t="s">
        <v>3437</v>
      </c>
      <c r="B3286" s="3" t="str">
        <f>IFERROR(__xludf.DUMMYFUNCTION("GOOGLETRANSLATE(A3286, ""ar"", ""bn"")"),"হত্যা")</f>
        <v>হত্যা</v>
      </c>
    </row>
    <row r="3287">
      <c r="A3287" s="2" t="s">
        <v>3742</v>
      </c>
      <c r="B3287" s="3" t="str">
        <f>IFERROR(__xludf.DUMMYFUNCTION("GOOGLETRANSLATE(A3287, ""ar"", ""bn"")"),"গোলন্দাজ")</f>
        <v>গোলন্দাজ</v>
      </c>
    </row>
    <row r="3288">
      <c r="A3288" s="2" t="s">
        <v>5658</v>
      </c>
      <c r="B3288" s="3" t="str">
        <f>IFERROR(__xludf.DUMMYFUNCTION("GOOGLETRANSLATE(A3288, ""ar"", ""bn"")"),"আর্টিলারি")</f>
        <v>আর্টিলারি</v>
      </c>
    </row>
    <row r="3289">
      <c r="A3289" s="2" t="s">
        <v>5658</v>
      </c>
      <c r="B3289" s="3" t="str">
        <f>IFERROR(__xludf.DUMMYFUNCTION("GOOGLETRANSLATE(A3289, ""ar"", ""bn"")"),"আর্টিলারি")</f>
        <v>আর্টিলারি</v>
      </c>
    </row>
    <row r="3290">
      <c r="A3290" s="2" t="s">
        <v>5659</v>
      </c>
      <c r="B3290" s="3" t="str">
        <f>IFERROR(__xludf.DUMMYFUNCTION("GOOGLETRANSLATE(A3290, ""ar"", ""bn"")"),"gunning")</f>
        <v>gunning</v>
      </c>
    </row>
    <row r="3291">
      <c r="A3291" s="2" t="s">
        <v>5660</v>
      </c>
      <c r="B3291" s="3" t="str">
        <f>IFERROR(__xludf.DUMMYFUNCTION("GOOGLETRANSLATE(A3291, ""ar"", ""bn"")"),"অস্ত্র হুমকির")</f>
        <v>অস্ত্র হুমকির</v>
      </c>
    </row>
    <row r="3292">
      <c r="A3292" s="2" t="s">
        <v>5661</v>
      </c>
      <c r="B3292" s="3" t="str">
        <f>IFERROR(__xludf.DUMMYFUNCTION("GOOGLETRANSLATE(A3292, ""ar"", ""bn"")"),"বারূদ")</f>
        <v>বারূদ</v>
      </c>
    </row>
    <row r="3293">
      <c r="A3293" s="2" t="s">
        <v>5662</v>
      </c>
      <c r="B3293" s="3" t="str">
        <f>IFERROR(__xludf.DUMMYFUNCTION("GOOGLETRANSLATE(A3293, ""ar"", ""bn"")"),"বন্দুক")</f>
        <v>বন্দুক</v>
      </c>
    </row>
    <row r="3294">
      <c r="A3294" s="2" t="s">
        <v>5663</v>
      </c>
      <c r="B3294" s="3" t="str">
        <f>IFERROR(__xludf.DUMMYFUNCTION("GOOGLETRANSLATE(A3294, ""ar"", ""bn"")"),"যুদ্ধ")</f>
        <v>যুদ্ধ</v>
      </c>
    </row>
    <row r="3295">
      <c r="A3295" s="2" t="s">
        <v>5664</v>
      </c>
      <c r="B3295" s="3" t="str">
        <f>IFERROR(__xludf.DUMMYFUNCTION("GOOGLETRANSLATE(A3295, ""ar"", ""bn"")"),"বিমান")</f>
        <v>বিমান</v>
      </c>
    </row>
    <row r="3296">
      <c r="A3296" s="2" t="s">
        <v>5665</v>
      </c>
      <c r="B3296" s="3" t="str">
        <f>IFERROR(__xludf.DUMMYFUNCTION("GOOGLETRANSLATE(A3296, ""ar"", ""bn"")"),"শুটিং")</f>
        <v>শুটিং</v>
      </c>
    </row>
    <row r="3297">
      <c r="A3297" s="2" t="s">
        <v>5666</v>
      </c>
      <c r="B3297" s="3" t="str">
        <f>IFERROR(__xludf.DUMMYFUNCTION("GOOGLETRANSLATE(A3297, ""ar"", ""bn"")"),"কামানের পাল্লা")</f>
        <v>কামানের পাল্লা</v>
      </c>
    </row>
    <row r="3298">
      <c r="A3298" s="2" t="s">
        <v>5667</v>
      </c>
      <c r="B3298" s="3" t="str">
        <f>IFERROR(__xludf.DUMMYFUNCTION("GOOGLETRANSLATE(A3298, ""ar"", ""bn"")"),"মুখবন্ধ করা")</f>
        <v>মুখবন্ধ করা</v>
      </c>
    </row>
    <row r="3299">
      <c r="A3299" s="2" t="s">
        <v>5668</v>
      </c>
      <c r="B3299" s="3" t="str">
        <f>IFERROR(__xludf.DUMMYFUNCTION("GOOGLETRANSLATE(A3299, ""ar"", ""bn"")"),"বন্দুকনির্মাতা")</f>
        <v>বন্দুকনির্মাতা</v>
      </c>
    </row>
    <row r="3300">
      <c r="A3300" s="2" t="s">
        <v>5669</v>
      </c>
      <c r="B3300" s="3" t="str">
        <f>IFERROR(__xludf.DUMMYFUNCTION("GOOGLETRANSLATE(A3300, ""ar"", ""bn"")"),"অস্ত্র ব্যাপারী")</f>
        <v>অস্ত্র ব্যাপারী</v>
      </c>
    </row>
    <row r="3301">
      <c r="A3301" s="2" t="s">
        <v>5670</v>
      </c>
      <c r="B3301" s="3" t="str">
        <f>IFERROR(__xludf.DUMMYFUNCTION("GOOGLETRANSLATE(A3301, ""ar"", ""bn"")"),"gunwale")</f>
        <v>gunwale</v>
      </c>
    </row>
    <row r="3302">
      <c r="A3302" s="2" t="s">
        <v>5656</v>
      </c>
      <c r="B3302" s="3" t="str">
        <f>IFERROR(__xludf.DUMMYFUNCTION("GOOGLETRANSLATE(A3302, ""ar"", ""bn"")"),"বন্দুকধারীরা")</f>
        <v>বন্দুকধারীরা</v>
      </c>
    </row>
    <row r="3303">
      <c r="A3303" s="2" t="s">
        <v>5671</v>
      </c>
      <c r="B3303" s="3" t="str">
        <f>IFERROR(__xludf.DUMMYFUNCTION("GOOGLETRANSLATE(A3303, ""ar"", ""bn"")"),"টাট্টু")</f>
        <v>টাট্টু</v>
      </c>
    </row>
    <row r="3304">
      <c r="A3304" s="2" t="s">
        <v>5672</v>
      </c>
      <c r="B3304" s="3" t="str">
        <f>IFERROR(__xludf.DUMMYFUNCTION("GOOGLETRANSLATE(A3304, ""ar"", ""bn"")"),"গভীর ক্ষত")</f>
        <v>গভীর ক্ষত</v>
      </c>
    </row>
    <row r="3305">
      <c r="A3305" s="2" t="s">
        <v>5673</v>
      </c>
      <c r="B3305" s="3" t="str">
        <f>IFERROR(__xludf.DUMMYFUNCTION("GOOGLETRANSLATE(A3305, ""ar"", ""bn"")"),"খালেদার")</f>
        <v>খালেদার</v>
      </c>
    </row>
    <row r="3306">
      <c r="A3306" s="2" t="s">
        <v>5674</v>
      </c>
      <c r="B3306" s="3" t="str">
        <f>IFERROR(__xludf.DUMMYFUNCTION("GOOGLETRANSLATE(A3306, ""ar"", ""bn"")"),"খালেদার")</f>
        <v>খালেদার</v>
      </c>
    </row>
    <row r="3307">
      <c r="A3307" s="2" t="s">
        <v>5675</v>
      </c>
      <c r="B3307" s="3" t="str">
        <f>IFERROR(__xludf.DUMMYFUNCTION("GOOGLETRANSLATE(A3307, ""ar"", ""bn"")"),"গ্রস্থস্বত্বাপহরণ")</f>
        <v>গ্রস্থস্বত্বাপহরণ</v>
      </c>
    </row>
    <row r="3308">
      <c r="A3308" s="2" t="s">
        <v>5676</v>
      </c>
      <c r="B3308" s="3" t="str">
        <f>IFERROR(__xludf.DUMMYFUNCTION("GOOGLETRANSLATE(A3308, ""ar"", ""bn"")"),"গোঁফ")</f>
        <v>গোঁফ</v>
      </c>
    </row>
    <row r="3309">
      <c r="A3309" s="2" t="s">
        <v>3368</v>
      </c>
      <c r="B3309" s="3" t="str">
        <f>IFERROR(__xludf.DUMMYFUNCTION("GOOGLETRANSLATE(A3309, ""ar"", ""bn"")"),"রাগ")</f>
        <v>রাগ</v>
      </c>
    </row>
    <row r="3310">
      <c r="A3310" s="2" t="s">
        <v>5677</v>
      </c>
      <c r="B3310" s="3" t="str">
        <f>IFERROR(__xludf.DUMMYFUNCTION("GOOGLETRANSLATE(A3310, ""ar"", ""bn"")"),"চিরূনি দ্বারা আঁচড়ান")</f>
        <v>চিরূনি দ্বারা আঁচড়ান</v>
      </c>
    </row>
    <row r="3311">
      <c r="A3311" s="2" t="s">
        <v>5678</v>
      </c>
      <c r="B3311" s="3" t="str">
        <f>IFERROR(__xludf.DUMMYFUNCTION("GOOGLETRANSLATE(A3311, ""ar"", ""bn"")"),"ভাড়াটে")</f>
        <v>ভাড়াটে</v>
      </c>
    </row>
    <row r="3312">
      <c r="A3312" s="2" t="s">
        <v>5679</v>
      </c>
      <c r="B3312" s="3" t="str">
        <f>IFERROR(__xludf.DUMMYFUNCTION("GOOGLETRANSLATE(A3312, ""ar"", ""bn"")"),"আঠাল")</f>
        <v>আঠাল</v>
      </c>
    </row>
    <row r="3313">
      <c r="A3313" s="2" t="s">
        <v>5680</v>
      </c>
      <c r="B3313" s="3" t="str">
        <f>IFERROR(__xludf.DUMMYFUNCTION("GOOGLETRANSLATE(A3313, ""ar"", ""bn"")"),"হ্যাক")</f>
        <v>হ্যাক</v>
      </c>
    </row>
    <row r="3314">
      <c r="A3314" s="2" t="s">
        <v>5681</v>
      </c>
      <c r="B3314" s="3" t="str">
        <f>IFERROR(__xludf.DUMMYFUNCTION("GOOGLETRANSLATE(A3314, ""ar"", ""bn"")"),"ধাতু কর্তনের জন্য করাত")</f>
        <v>ধাতু কর্তনের জন্য করাত</v>
      </c>
    </row>
    <row r="3315">
      <c r="A3315" s="2" t="s">
        <v>5682</v>
      </c>
      <c r="B3315" s="3" t="str">
        <f>IFERROR(__xludf.DUMMYFUNCTION("GOOGLETRANSLATE(A3315, ""ar"", ""bn"")"),"কদর্য oldwomen")</f>
        <v>কদর্য oldwomen</v>
      </c>
    </row>
    <row r="3316">
      <c r="A3316" s="2" t="s">
        <v>5683</v>
      </c>
      <c r="B3316" s="3" t="str">
        <f>IFERROR(__xludf.DUMMYFUNCTION("GOOGLETRANSLATE(A3316, ""ar"", ""bn"")"),"জীর্ণশীর্ণ")</f>
        <v>জীর্ণশীর্ণ</v>
      </c>
    </row>
    <row r="3317">
      <c r="A3317" s="2" t="s">
        <v>5684</v>
      </c>
      <c r="B3317" s="3" t="str">
        <f>IFERROR(__xludf.DUMMYFUNCTION("GOOGLETRANSLATE(A3317, ""ar"", ""bn"")"),"অবসাদ")</f>
        <v>অবসাদ</v>
      </c>
    </row>
    <row r="3318">
      <c r="A3318" s="2" t="s">
        <v>5685</v>
      </c>
      <c r="B3318" s="3" t="str">
        <f>IFERROR(__xludf.DUMMYFUNCTION("GOOGLETRANSLATE(A3318, ""ar"", ""bn"")"),"ভেড়া প্রভৃতির কলিজা ফুসফুস ও যকৃতের কিমাদ্বার প্রস্তুত খাদ্যবিশেষ")</f>
        <v>ভেড়া প্রভৃতির কলিজা ফুসফুস ও যকৃতের কিমাদ্বার প্রস্তুত খাদ্যবিশেষ</v>
      </c>
    </row>
    <row r="3319">
      <c r="A3319" s="2" t="s">
        <v>5686</v>
      </c>
      <c r="B3319" s="3" t="str">
        <f>IFERROR(__xludf.DUMMYFUNCTION("GOOGLETRANSLATE(A3319, ""ar"", ""bn"")"),"ফেরি করা")</f>
        <v>ফেরি করা</v>
      </c>
    </row>
    <row r="3320">
      <c r="A3320" s="2" t="s">
        <v>5687</v>
      </c>
      <c r="B3320" s="3" t="str">
        <f>IFERROR(__xludf.DUMMYFUNCTION("GOOGLETRANSLATE(A3320, ""ar"", ""bn"")"),"Haggled")</f>
        <v>Haggled</v>
      </c>
    </row>
    <row r="3321">
      <c r="A3321" s="2" t="s">
        <v>5688</v>
      </c>
      <c r="B3321" s="3" t="str">
        <f>IFERROR(__xludf.DUMMYFUNCTION("GOOGLETRANSLATE(A3321, ""ar"", ""bn"")"),"Haggler")</f>
        <v>Haggler</v>
      </c>
    </row>
    <row r="3322">
      <c r="A3322" s="2" t="s">
        <v>5689</v>
      </c>
      <c r="B3322" s="3" t="str">
        <f>IFERROR(__xludf.DUMMYFUNCTION("GOOGLETRANSLATE(A3322, ""ar"", ""bn"")"),"আপস")</f>
        <v>আপস</v>
      </c>
    </row>
    <row r="3323">
      <c r="A3323" s="2" t="s">
        <v>5690</v>
      </c>
      <c r="B3323" s="3" t="str">
        <f>IFERROR(__xludf.DUMMYFUNCTION("GOOGLETRANSLATE(A3323, ""ar"", ""bn"")"),"hagiography")</f>
        <v>hagiography</v>
      </c>
    </row>
    <row r="3324">
      <c r="A3324" s="2" t="s">
        <v>5691</v>
      </c>
      <c r="B3324" s="3" t="str">
        <f>IFERROR(__xludf.DUMMYFUNCTION("GOOGLETRANSLATE(A3324, ""ar"", ""bn"")"),"sprites")</f>
        <v>sprites</v>
      </c>
    </row>
    <row r="3325">
      <c r="A3325" s="2" t="s">
        <v>5683</v>
      </c>
      <c r="B3325" s="3" t="str">
        <f>IFERROR(__xludf.DUMMYFUNCTION("GOOGLETRANSLATE(A3325, ""ar"", ""bn"")"),"জীর্ণশীর্ণ")</f>
        <v>জীর্ণশীর্ণ</v>
      </c>
    </row>
    <row r="3326">
      <c r="A3326" s="2" t="s">
        <v>5684</v>
      </c>
      <c r="B3326" s="3" t="str">
        <f>IFERROR(__xludf.DUMMYFUNCTION("GOOGLETRANSLATE(A3326, ""ar"", ""bn"")"),"অবসাদ")</f>
        <v>অবসাদ</v>
      </c>
    </row>
    <row r="3327">
      <c r="A3327" s="2" t="s">
        <v>5692</v>
      </c>
      <c r="B3327" s="3" t="str">
        <f>IFERROR(__xludf.DUMMYFUNCTION("GOOGLETRANSLATE(A3327, ""ar"", ""bn"")"),"অন্তরায়")</f>
        <v>অন্তরায়</v>
      </c>
    </row>
    <row r="3328">
      <c r="A3328" s="2" t="s">
        <v>3021</v>
      </c>
      <c r="B3328" s="3" t="str">
        <f>IFERROR(__xludf.DUMMYFUNCTION("GOOGLETRANSLATE(A3328, ""ar"", ""bn"")"),"অক্ষম")</f>
        <v>অক্ষম</v>
      </c>
    </row>
    <row r="3329">
      <c r="A3329" s="2" t="s">
        <v>5693</v>
      </c>
      <c r="B3329" s="3" t="str">
        <f>IFERROR(__xludf.DUMMYFUNCTION("GOOGLETRANSLATE(A3329, ""ar"", ""bn"")"),"হ্যান্ডিক্যাপিং")</f>
        <v>হ্যান্ডিক্যাপিং</v>
      </c>
    </row>
    <row r="3330">
      <c r="A3330" s="2" t="s">
        <v>5694</v>
      </c>
      <c r="B3330" s="3" t="str">
        <f>IFERROR(__xludf.DUMMYFUNCTION("GOOGLETRANSLATE(A3330, ""ar"", ""bn"")"),"অবমুক্ত")</f>
        <v>অবমুক্ত</v>
      </c>
    </row>
    <row r="3331">
      <c r="A3331" s="2" t="s">
        <v>5695</v>
      </c>
      <c r="B3331" s="3" t="str">
        <f>IFERROR(__xludf.DUMMYFUNCTION("GOOGLETRANSLATE(A3331, ""ar"", ""bn"")"),"মন্তব্য")</f>
        <v>মন্তব্য</v>
      </c>
    </row>
    <row r="3332">
      <c r="A3332" s="2" t="s">
        <v>5696</v>
      </c>
      <c r="B3332" s="3" t="str">
        <f>IFERROR(__xludf.DUMMYFUNCTION("GOOGLETRANSLATE(A3332, ""ar"", ""bn"")"),"বিমান থাকিবার স্থান")</f>
        <v>বিমান থাকিবার স্থান</v>
      </c>
    </row>
    <row r="3333">
      <c r="A3333" s="2" t="s">
        <v>5697</v>
      </c>
      <c r="B3333" s="3" t="str">
        <f>IFERROR(__xludf.DUMMYFUNCTION("GOOGLETRANSLATE(A3333, ""ar"", ""bn"")"),"hangars")</f>
        <v>hangars</v>
      </c>
    </row>
    <row r="3334">
      <c r="A3334" s="2" t="s">
        <v>5698</v>
      </c>
      <c r="B3334" s="3" t="str">
        <f>IFERROR(__xludf.DUMMYFUNCTION("GOOGLETRANSLATE(A3334, ""ar"", ""bn"")"),"ক্রীতদাসতুল্য")</f>
        <v>ক্রীতদাসতুল্য</v>
      </c>
    </row>
    <row r="3335">
      <c r="A3335" s="2" t="s">
        <v>5699</v>
      </c>
      <c r="B3335" s="3" t="str">
        <f>IFERROR(__xludf.DUMMYFUNCTION("GOOGLETRANSLATE(A3335, ""ar"", ""bn"")"),"ঝুলানো")</f>
        <v>ঝুলানো</v>
      </c>
    </row>
    <row r="3336">
      <c r="A3336" s="2" t="s">
        <v>5700</v>
      </c>
      <c r="B3336" s="3" t="str">
        <f>IFERROR(__xludf.DUMMYFUNCTION("GOOGLETRANSLATE(A3336, ""ar"", ""bn"")"),"জল্লাদ")</f>
        <v>জল্লাদ</v>
      </c>
    </row>
    <row r="3337">
      <c r="A3337" s="2" t="s">
        <v>5701</v>
      </c>
      <c r="B3337" s="3" t="str">
        <f>IFERROR(__xludf.DUMMYFUNCTION("GOOGLETRANSLATE(A3337, ""ar"", ""bn"")"),"বস্ত্র")</f>
        <v>বস্ত্র</v>
      </c>
    </row>
    <row r="3338">
      <c r="A3338" s="2" t="s">
        <v>5702</v>
      </c>
      <c r="B3338" s="3" t="str">
        <f>IFERROR(__xludf.DUMMYFUNCTION("GOOGLETRANSLATE(A3338, ""ar"", ""bn"")"),"ঝুলন্ত")</f>
        <v>ঝুলন্ত</v>
      </c>
    </row>
    <row r="3339">
      <c r="A3339" s="2" t="s">
        <v>5703</v>
      </c>
      <c r="B3339" s="3" t="str">
        <f>IFERROR(__xludf.DUMMYFUNCTION("GOOGLETRANSLATE(A3339, ""ar"", ""bn"")"),"পর্দা")</f>
        <v>পর্দা</v>
      </c>
    </row>
    <row r="3340">
      <c r="A3340" s="2" t="s">
        <v>5704</v>
      </c>
      <c r="B3340" s="3" t="str">
        <f>IFERROR(__xludf.DUMMYFUNCTION("GOOGLETRANSLATE(A3340, ""ar"", ""bn"")"),"জল্লাদ")</f>
        <v>জল্লাদ</v>
      </c>
    </row>
    <row r="3341">
      <c r="A3341" s="2" t="s">
        <v>5705</v>
      </c>
      <c r="B3341" s="3" t="str">
        <f>IFERROR(__xludf.DUMMYFUNCTION("GOOGLETRANSLATE(A3341, ""ar"", ""bn"")"),"Hangmen")</f>
        <v>Hangmen</v>
      </c>
    </row>
    <row r="3342">
      <c r="A3342" s="2" t="s">
        <v>5706</v>
      </c>
      <c r="B3342" s="3" t="str">
        <f>IFERROR(__xludf.DUMMYFUNCTION("GOOGLETRANSLATE(A3342, ""ar"", ""bn"")"),"বিশ্রাম")</f>
        <v>বিশ্রাম</v>
      </c>
    </row>
    <row r="3343">
      <c r="A3343" s="2" t="s">
        <v>5707</v>
      </c>
      <c r="B3343" s="3" t="str">
        <f>IFERROR(__xludf.DUMMYFUNCTION("GOOGLETRANSLATE(A3343, ""ar"", ""bn"")"),"অবশিষ্টাংশ")</f>
        <v>অবশিষ্টাংশ</v>
      </c>
    </row>
    <row r="3344">
      <c r="A3344" s="2" t="s">
        <v>5708</v>
      </c>
      <c r="B3344" s="3" t="str">
        <f>IFERROR(__xludf.DUMMYFUNCTION("GOOGLETRANSLATE(A3344, ""ar"", ""bn"")"),"অত্যধিক এলকোহল ভোজনের")</f>
        <v>অত্যধিক এলকোহল ভোজনের</v>
      </c>
    </row>
    <row r="3345">
      <c r="A3345" s="2" t="s">
        <v>5709</v>
      </c>
      <c r="B3345" s="3" t="str">
        <f>IFERROR(__xludf.DUMMYFUNCTION("GOOGLETRANSLATE(A3345, ""ar"", ""bn"")"),"স্টপ")</f>
        <v>স্টপ</v>
      </c>
    </row>
    <row r="3346">
      <c r="A3346" s="2" t="s">
        <v>5710</v>
      </c>
      <c r="B3346" s="3" t="str">
        <f>IFERROR(__xludf.DUMMYFUNCTION("GOOGLETRANSLATE(A3346, ""ar"", ""bn"")"),"লেগে থাকা")</f>
        <v>লেগে থাকা</v>
      </c>
    </row>
    <row r="3347">
      <c r="A3347" s="2" t="s">
        <v>5707</v>
      </c>
      <c r="B3347" s="3" t="str">
        <f>IFERROR(__xludf.DUMMYFUNCTION("GOOGLETRANSLATE(A3347, ""ar"", ""bn"")"),"অবশিষ্টাংশ")</f>
        <v>অবশিষ্টাংশ</v>
      </c>
    </row>
    <row r="3348">
      <c r="A3348" s="2" t="s">
        <v>5708</v>
      </c>
      <c r="B3348" s="3" t="str">
        <f>IFERROR(__xludf.DUMMYFUNCTION("GOOGLETRANSLATE(A3348, ""ar"", ""bn"")"),"অত্যধিক এলকোহল ভোজনের")</f>
        <v>অত্যধিক এলকোহল ভোজনের</v>
      </c>
    </row>
    <row r="3349">
      <c r="A3349" s="2" t="s">
        <v>5711</v>
      </c>
      <c r="B3349" s="3" t="str">
        <f>IFERROR(__xludf.DUMMYFUNCTION("GOOGLETRANSLATE(A3349, ""ar"", ""bn"")"),"সমাপতন")</f>
        <v>সমাপতন</v>
      </c>
    </row>
    <row r="3350">
      <c r="A3350" s="2" t="s">
        <v>5712</v>
      </c>
      <c r="B3350" s="3" t="str">
        <f>IFERROR(__xludf.DUMMYFUNCTION("GOOGLETRANSLATE(A3350, ""ar"", ""bn"")"),"এলোমেলো ভাবে")</f>
        <v>এলোমেলো ভাবে</v>
      </c>
    </row>
    <row r="3351">
      <c r="A3351" s="2" t="s">
        <v>5713</v>
      </c>
      <c r="B3351" s="3" t="str">
        <f>IFERROR(__xludf.DUMMYFUNCTION("GOOGLETRANSLATE(A3351, ""ar"", ""bn"")"),"হতভাগ্য")</f>
        <v>হতভাগ্য</v>
      </c>
    </row>
    <row r="3352">
      <c r="A3352" s="2" t="s">
        <v>3766</v>
      </c>
      <c r="B3352" s="3" t="str">
        <f>IFERROR(__xludf.DUMMYFUNCTION("GOOGLETRANSLATE(A3352, ""ar"", ""bn"")"),"হয়রানি")</f>
        <v>হয়রানি</v>
      </c>
    </row>
    <row r="3353">
      <c r="A3353" s="2" t="s">
        <v>5714</v>
      </c>
      <c r="B3353" s="3" t="str">
        <f>IFERROR(__xludf.DUMMYFUNCTION("GOOGLETRANSLATE(A3353, ""ar"", ""bn"")"),"জ্বালাতন করা")</f>
        <v>জ্বালাতন করা</v>
      </c>
    </row>
    <row r="3354">
      <c r="A3354" s="2" t="s">
        <v>5715</v>
      </c>
      <c r="B3354" s="3" t="str">
        <f>IFERROR(__xludf.DUMMYFUNCTION("GOOGLETRANSLATE(A3354, ""ar"", ""bn"")"),"harassers")</f>
        <v>harassers</v>
      </c>
    </row>
    <row r="3355">
      <c r="A3355" s="2" t="s">
        <v>5716</v>
      </c>
      <c r="B3355" s="3" t="str">
        <f>IFERROR(__xludf.DUMMYFUNCTION("GOOGLETRANSLATE(A3355, ""ar"", ""bn"")"),"হয়রানি")</f>
        <v>হয়রানি</v>
      </c>
    </row>
    <row r="3356">
      <c r="A3356" s="2" t="s">
        <v>3766</v>
      </c>
      <c r="B3356" s="3" t="str">
        <f>IFERROR(__xludf.DUMMYFUNCTION("GOOGLETRANSLATE(A3356, ""ar"", ""bn"")"),"হয়রানি")</f>
        <v>হয়রানি</v>
      </c>
    </row>
    <row r="3357">
      <c r="A3357" s="2" t="s">
        <v>3766</v>
      </c>
      <c r="B3357" s="3" t="str">
        <f>IFERROR(__xludf.DUMMYFUNCTION("GOOGLETRANSLATE(A3357, ""ar"", ""bn"")"),"হয়রানি")</f>
        <v>হয়রানি</v>
      </c>
    </row>
    <row r="3358">
      <c r="A3358" s="2" t="s">
        <v>5717</v>
      </c>
      <c r="B3358" s="3" t="str">
        <f>IFERROR(__xludf.DUMMYFUNCTION("GOOGLETRANSLATE(A3358, ""ar"", ""bn"")"),"কষ্ট")</f>
        <v>কষ্ট</v>
      </c>
    </row>
    <row r="3359">
      <c r="A3359" s="2" t="s">
        <v>5718</v>
      </c>
      <c r="B3359" s="3" t="str">
        <f>IFERROR(__xludf.DUMMYFUNCTION("GOOGLETRANSLATE(A3359, ""ar"", ""bn"")"),"সমস্যাসমূহ")</f>
        <v>সমস্যাসমূহ</v>
      </c>
    </row>
    <row r="3360">
      <c r="A3360" s="2" t="s">
        <v>4400</v>
      </c>
      <c r="B3360" s="3" t="str">
        <f>IFERROR(__xludf.DUMMYFUNCTION("GOOGLETRANSLATE(A3360, ""ar"", ""bn"")"),"ক্ষতি")</f>
        <v>ক্ষতি</v>
      </c>
    </row>
    <row r="3361">
      <c r="A3361" s="2" t="s">
        <v>5719</v>
      </c>
      <c r="B3361" s="3" t="str">
        <f>IFERROR(__xludf.DUMMYFUNCTION("GOOGLETRANSLATE(A3361, ""ar"", ""bn"")"),"আহত")</f>
        <v>আহত</v>
      </c>
    </row>
    <row r="3362">
      <c r="A3362" s="2" t="s">
        <v>5720</v>
      </c>
      <c r="B3362" s="3" t="str">
        <f>IFERROR(__xludf.DUMMYFUNCTION("GOOGLETRANSLATE(A3362, ""ar"", ""bn"")"),"Harmer")</f>
        <v>Harmer</v>
      </c>
    </row>
    <row r="3363">
      <c r="A3363" s="2" t="s">
        <v>5721</v>
      </c>
      <c r="B3363" s="3" t="str">
        <f>IFERROR(__xludf.DUMMYFUNCTION("GOOGLETRANSLATE(A3363, ""ar"", ""bn"")"),"ক্ষতিকর")</f>
        <v>ক্ষতিকর</v>
      </c>
    </row>
    <row r="3364">
      <c r="A3364" s="2" t="s">
        <v>4689</v>
      </c>
      <c r="B3364" s="3" t="str">
        <f>IFERROR(__xludf.DUMMYFUNCTION("GOOGLETRANSLATE(A3364, ""ar"", ""bn"")"),"ক্ষতিকর")</f>
        <v>ক্ষতিকর</v>
      </c>
    </row>
    <row r="3365">
      <c r="A3365" s="2" t="s">
        <v>3496</v>
      </c>
      <c r="B3365" s="3" t="str">
        <f>IFERROR(__xludf.DUMMYFUNCTION("GOOGLETRANSLATE(A3365, ""ar"", ""bn"")"),"আক্রোশ")</f>
        <v>আক্রোশ</v>
      </c>
    </row>
    <row r="3366">
      <c r="A3366" s="2" t="s">
        <v>5722</v>
      </c>
      <c r="B3366" s="3" t="str">
        <f>IFERROR(__xludf.DUMMYFUNCTION("GOOGLETRANSLATE(A3366, ""ar"", ""bn"")"),"ক্ষতি")</f>
        <v>ক্ষতি</v>
      </c>
    </row>
    <row r="3367">
      <c r="A3367" s="2" t="s">
        <v>5723</v>
      </c>
      <c r="B3367" s="3" t="str">
        <f>IFERROR(__xludf.DUMMYFUNCTION("GOOGLETRANSLATE(A3367, ""ar"", ""bn"")"),"নির্দোষ")</f>
        <v>নির্দোষ</v>
      </c>
    </row>
    <row r="3368">
      <c r="A3368" s="2" t="s">
        <v>5724</v>
      </c>
      <c r="B3368" s="3" t="str">
        <f>IFERROR(__xludf.DUMMYFUNCTION("GOOGLETRANSLATE(A3368, ""ar"", ""bn"")"),"মস্তকবিশিষ্ট")</f>
        <v>মস্তকবিশিষ্ট</v>
      </c>
    </row>
    <row r="3369">
      <c r="A3369" s="2" t="s">
        <v>5725</v>
      </c>
      <c r="B3369" s="3" t="str">
        <f>IFERROR(__xludf.DUMMYFUNCTION("GOOGLETRANSLATE(A3369, ""ar"", ""bn"")"),"ক্ষতিকর না")</f>
        <v>ক্ষতিকর না</v>
      </c>
    </row>
    <row r="3370">
      <c r="A3370" s="2" t="s">
        <v>5726</v>
      </c>
      <c r="B3370" s="3" t="str">
        <f>IFERROR(__xludf.DUMMYFUNCTION("GOOGLETRANSLATE(A3370, ""ar"", ""bn"")"),"সুরেলা")</f>
        <v>সুরেলা</v>
      </c>
    </row>
    <row r="3371">
      <c r="A3371" s="2" t="s">
        <v>5727</v>
      </c>
      <c r="B3371" s="3" t="str">
        <f>IFERROR(__xludf.DUMMYFUNCTION("GOOGLETRANSLATE(A3371, ""ar"", ""bn"")"),"মাউথ-অর্গান")</f>
        <v>মাউথ-অর্গান</v>
      </c>
    </row>
    <row r="3372">
      <c r="A3372" s="2" t="s">
        <v>5728</v>
      </c>
      <c r="B3372" s="3" t="str">
        <f>IFERROR(__xludf.DUMMYFUNCTION("GOOGLETRANSLATE(A3372, ""ar"", ""bn"")"),"Harmonically")</f>
        <v>Harmonically</v>
      </c>
    </row>
    <row r="3373">
      <c r="A3373" s="2" t="s">
        <v>5729</v>
      </c>
      <c r="B3373" s="3" t="str">
        <f>IFERROR(__xludf.DUMMYFUNCTION("GOOGLETRANSLATE(A3373, ""ar"", ""bn"")"),"সুরবিজ্ঞান")</f>
        <v>সুরবিজ্ঞান</v>
      </c>
    </row>
    <row r="3374">
      <c r="A3374" s="2" t="s">
        <v>5730</v>
      </c>
      <c r="B3374" s="3" t="str">
        <f>IFERROR(__xludf.DUMMYFUNCTION("GOOGLETRANSLATE(A3374, ""ar"", ""bn"")"),"সমসত্ত্বতা")</f>
        <v>সমসত্ত্বতা</v>
      </c>
    </row>
    <row r="3375">
      <c r="A3375" s="2" t="s">
        <v>5731</v>
      </c>
      <c r="B3375" s="3" t="str">
        <f>IFERROR(__xludf.DUMMYFUNCTION("GOOGLETRANSLATE(A3375, ""ar"", ""bn"")"),"সুরেলা")</f>
        <v>সুরেলা</v>
      </c>
    </row>
    <row r="3376">
      <c r="A3376" s="2" t="s">
        <v>5732</v>
      </c>
      <c r="B3376" s="3" t="str">
        <f>IFERROR(__xludf.DUMMYFUNCTION("GOOGLETRANSLATE(A3376, ""ar"", ""bn"")"),"সাদৃশ্য")</f>
        <v>সাদৃশ্য</v>
      </c>
    </row>
    <row r="3377">
      <c r="A3377" s="2" t="s">
        <v>5733</v>
      </c>
      <c r="B3377" s="3" t="str">
        <f>IFERROR(__xludf.DUMMYFUNCTION("GOOGLETRANSLATE(A3377, ""ar"", ""bn"")"),"একমত")</f>
        <v>একমত</v>
      </c>
    </row>
    <row r="3378">
      <c r="A3378" s="2" t="s">
        <v>5733</v>
      </c>
      <c r="B3378" s="3" t="str">
        <f>IFERROR(__xludf.DUMMYFUNCTION("GOOGLETRANSLATE(A3378, ""ar"", ""bn"")"),"একমত")</f>
        <v>একমত</v>
      </c>
    </row>
    <row r="3379">
      <c r="A3379" s="2" t="s">
        <v>5734</v>
      </c>
      <c r="B3379" s="3" t="str">
        <f>IFERROR(__xludf.DUMMYFUNCTION("GOOGLETRANSLATE(A3379, ""ar"", ""bn"")"),"সমন্বয়কারী")</f>
        <v>সমন্বয়কারী</v>
      </c>
    </row>
    <row r="3380">
      <c r="A3380" s="2" t="s">
        <v>5735</v>
      </c>
      <c r="B3380" s="3" t="str">
        <f>IFERROR(__xludf.DUMMYFUNCTION("GOOGLETRANSLATE(A3380, ""ar"", ""bn"")"),"এর সঙ্গতিসাধন")</f>
        <v>এর সঙ্গতিসাধন</v>
      </c>
    </row>
    <row r="3381">
      <c r="A3381" s="2" t="s">
        <v>5736</v>
      </c>
      <c r="B3381" s="3" t="str">
        <f>IFERROR(__xludf.DUMMYFUNCTION("GOOGLETRANSLATE(A3381, ""ar"", ""bn"")"),"হারমোনিয়াম")</f>
        <v>হারমোনিয়াম</v>
      </c>
    </row>
    <row r="3382">
      <c r="A3382" s="2" t="s">
        <v>5737</v>
      </c>
      <c r="B3382" s="3" t="str">
        <f>IFERROR(__xludf.DUMMYFUNCTION("GOOGLETRANSLATE(A3382, ""ar"", ""bn"")"),"সাদৃশ্য")</f>
        <v>সাদৃশ্য</v>
      </c>
    </row>
    <row r="3383">
      <c r="A3383" s="2" t="s">
        <v>5738</v>
      </c>
      <c r="B3383" s="3" t="str">
        <f>IFERROR(__xludf.DUMMYFUNCTION("GOOGLETRANSLATE(A3383, ""ar"", ""bn"")"),"ক্ষতি")</f>
        <v>ক্ষতি</v>
      </c>
    </row>
    <row r="3384">
      <c r="A3384" s="2" t="s">
        <v>5719</v>
      </c>
      <c r="B3384" s="3" t="str">
        <f>IFERROR(__xludf.DUMMYFUNCTION("GOOGLETRANSLATE(A3384, ""ar"", ""bn"")"),"আহত")</f>
        <v>আহত</v>
      </c>
    </row>
    <row r="3385">
      <c r="A3385" s="2" t="s">
        <v>5721</v>
      </c>
      <c r="B3385" s="3" t="str">
        <f>IFERROR(__xludf.DUMMYFUNCTION("GOOGLETRANSLATE(A3385, ""ar"", ""bn"")"),"ক্ষতিকর")</f>
        <v>ক্ষতিকর</v>
      </c>
    </row>
    <row r="3386">
      <c r="A3386" s="2" t="s">
        <v>4689</v>
      </c>
      <c r="B3386" s="3" t="str">
        <f>IFERROR(__xludf.DUMMYFUNCTION("GOOGLETRANSLATE(A3386, ""ar"", ""bn"")"),"ক্ষতিকর")</f>
        <v>ক্ষতিকর</v>
      </c>
    </row>
    <row r="3387">
      <c r="A3387" s="2" t="s">
        <v>3496</v>
      </c>
      <c r="B3387" s="3" t="str">
        <f>IFERROR(__xludf.DUMMYFUNCTION("GOOGLETRANSLATE(A3387, ""ar"", ""bn"")"),"আক্রোশ")</f>
        <v>আক্রোশ</v>
      </c>
    </row>
    <row r="3388">
      <c r="A3388" s="2" t="s">
        <v>5722</v>
      </c>
      <c r="B3388" s="3" t="str">
        <f>IFERROR(__xludf.DUMMYFUNCTION("GOOGLETRANSLATE(A3388, ""ar"", ""bn"")"),"ক্ষতি")</f>
        <v>ক্ষতি</v>
      </c>
    </row>
    <row r="3389">
      <c r="A3389" s="2" t="s">
        <v>5738</v>
      </c>
      <c r="B3389" s="3" t="str">
        <f>IFERROR(__xludf.DUMMYFUNCTION("GOOGLETRANSLATE(A3389, ""ar"", ""bn"")"),"ক্ষতি")</f>
        <v>ক্ষতি</v>
      </c>
    </row>
    <row r="3390">
      <c r="A3390" s="2" t="s">
        <v>4335</v>
      </c>
      <c r="B3390" s="3" t="str">
        <f>IFERROR(__xludf.DUMMYFUNCTION("GOOGLETRANSLATE(A3390, ""ar"", ""bn"")"),"কঠোর")</f>
        <v>কঠোর</v>
      </c>
    </row>
    <row r="3391">
      <c r="A3391" s="2" t="s">
        <v>4336</v>
      </c>
      <c r="B3391" s="3" t="str">
        <f>IFERROR(__xludf.DUMMYFUNCTION("GOOGLETRANSLATE(A3391, ""ar"", ""bn"")"),"কঠোর")</f>
        <v>কঠোর</v>
      </c>
    </row>
    <row r="3392">
      <c r="A3392" s="2" t="s">
        <v>4336</v>
      </c>
      <c r="B3392" s="3" t="str">
        <f>IFERROR(__xludf.DUMMYFUNCTION("GOOGLETRANSLATE(A3392, ""ar"", ""bn"")"),"কঠোর")</f>
        <v>কঠোর</v>
      </c>
    </row>
    <row r="3393">
      <c r="A3393" s="2" t="s">
        <v>5739</v>
      </c>
      <c r="B3393" s="3" t="str">
        <f>IFERROR(__xludf.DUMMYFUNCTION("GOOGLETRANSLATE(A3393, ""ar"", ""bn"")"),"মোটামুটিভাবে")</f>
        <v>মোটামুটিভাবে</v>
      </c>
    </row>
    <row r="3394">
      <c r="A3394" s="2" t="s">
        <v>3901</v>
      </c>
      <c r="B3394" s="3" t="str">
        <f>IFERROR(__xludf.DUMMYFUNCTION("GOOGLETRANSLATE(A3394, ""ar"", ""bn"")"),"কঠোরতা")</f>
        <v>কঠোরতা</v>
      </c>
    </row>
    <row r="3395">
      <c r="A3395" s="2" t="s">
        <v>5740</v>
      </c>
      <c r="B3395" s="3" t="str">
        <f>IFERROR(__xludf.DUMMYFUNCTION("GOOGLETRANSLATE(A3395, ""ar"", ""bn"")"),"ঝগড়া")</f>
        <v>ঝগড়া</v>
      </c>
    </row>
    <row r="3396">
      <c r="A3396" s="2" t="s">
        <v>3394</v>
      </c>
      <c r="B3396" s="3" t="str">
        <f>IFERROR(__xludf.DUMMYFUNCTION("GOOGLETRANSLATE(A3396, ""ar"", ""bn"")"),"ঘৃণা")</f>
        <v>ঘৃণা</v>
      </c>
    </row>
    <row r="3397">
      <c r="A3397" s="2" t="s">
        <v>5741</v>
      </c>
      <c r="B3397" s="3" t="str">
        <f>IFERROR(__xludf.DUMMYFUNCTION("GOOGLETRANSLATE(A3397, ""ar"", ""bn"")"),"ঘৃণা করেন,")</f>
        <v>ঘৃণা করেন,</v>
      </c>
    </row>
    <row r="3398">
      <c r="A3398" s="2" t="s">
        <v>3184</v>
      </c>
      <c r="B3398" s="3" t="str">
        <f>IFERROR(__xludf.DUMMYFUNCTION("GOOGLETRANSLATE(A3398, ""ar"", ""bn"")"),"ঘৃণ্য")</f>
        <v>ঘৃণ্য</v>
      </c>
    </row>
    <row r="3399">
      <c r="A3399" s="2" t="s">
        <v>5742</v>
      </c>
      <c r="B3399" s="3" t="str">
        <f>IFERROR(__xludf.DUMMYFUNCTION("GOOGLETRANSLATE(A3399, ""ar"", ""bn"")"),"বিদ্বেষী পুরূষ")</f>
        <v>বিদ্বেষী পুরূষ</v>
      </c>
    </row>
    <row r="3400">
      <c r="A3400" s="2" t="s">
        <v>5743</v>
      </c>
      <c r="B3400" s="3" t="str">
        <f>IFERROR(__xludf.DUMMYFUNCTION("GOOGLETRANSLATE(A3400, ""ar"", ""bn"")"),"ঘৃণা")</f>
        <v>ঘৃণা</v>
      </c>
    </row>
    <row r="3401">
      <c r="A3401" s="2" t="s">
        <v>5741</v>
      </c>
      <c r="B3401" s="3" t="str">
        <f>IFERROR(__xludf.DUMMYFUNCTION("GOOGLETRANSLATE(A3401, ""ar"", ""bn"")"),"ঘৃণা করেন,")</f>
        <v>ঘৃণা করেন,</v>
      </c>
    </row>
    <row r="3402">
      <c r="A3402" s="2" t="s">
        <v>5741</v>
      </c>
      <c r="B3402" s="3" t="str">
        <f>IFERROR(__xludf.DUMMYFUNCTION("GOOGLETRANSLATE(A3402, ""ar"", ""bn"")"),"ঘৃণা করেন,")</f>
        <v>ঘৃণা করেন,</v>
      </c>
    </row>
    <row r="3403">
      <c r="A3403" s="2" t="s">
        <v>3184</v>
      </c>
      <c r="B3403" s="3" t="str">
        <f>IFERROR(__xludf.DUMMYFUNCTION("GOOGLETRANSLATE(A3403, ""ar"", ""bn"")"),"ঘৃণ্য")</f>
        <v>ঘৃণ্য</v>
      </c>
    </row>
    <row r="3404">
      <c r="A3404" s="2" t="s">
        <v>5742</v>
      </c>
      <c r="B3404" s="3" t="str">
        <f>IFERROR(__xludf.DUMMYFUNCTION("GOOGLETRANSLATE(A3404, ""ar"", ""bn"")"),"বিদ্বেষী পুরূষ")</f>
        <v>বিদ্বেষী পুরূষ</v>
      </c>
    </row>
    <row r="3405">
      <c r="A3405" s="2" t="s">
        <v>5743</v>
      </c>
      <c r="B3405" s="3" t="str">
        <f>IFERROR(__xludf.DUMMYFUNCTION("GOOGLETRANSLATE(A3405, ""ar"", ""bn"")"),"ঘৃণা")</f>
        <v>ঘৃণা</v>
      </c>
    </row>
    <row r="3406">
      <c r="A3406" s="2" t="s">
        <v>5741</v>
      </c>
      <c r="B3406" s="3" t="str">
        <f>IFERROR(__xludf.DUMMYFUNCTION("GOOGLETRANSLATE(A3406, ""ar"", ""bn"")"),"ঘৃণা করেন,")</f>
        <v>ঘৃণা করেন,</v>
      </c>
    </row>
    <row r="3407">
      <c r="A3407" s="2" t="s">
        <v>5744</v>
      </c>
      <c r="B3407" s="3" t="str">
        <f>IFERROR(__xludf.DUMMYFUNCTION("GOOGLETRANSLATE(A3407, ""ar"", ""bn"")"),"একটি বল")</f>
        <v>একটি বল</v>
      </c>
    </row>
    <row r="3408">
      <c r="A3408" s="2" t="s">
        <v>3394</v>
      </c>
      <c r="B3408" s="3" t="str">
        <f>IFERROR(__xludf.DUMMYFUNCTION("GOOGLETRANSLATE(A3408, ""ar"", ""bn"")"),"ঘৃণা")</f>
        <v>ঘৃণা</v>
      </c>
    </row>
    <row r="3409">
      <c r="A3409" s="2" t="s">
        <v>5745</v>
      </c>
      <c r="B3409" s="3" t="str">
        <f>IFERROR(__xludf.DUMMYFUNCTION("GOOGLETRANSLATE(A3409, ""ar"", ""bn"")"),"ক্ষুদ্র কুঠারবিশেষ")</f>
        <v>ক্ষুদ্র কুঠারবিশেষ</v>
      </c>
    </row>
    <row r="3410">
      <c r="A3410" s="2" t="s">
        <v>5746</v>
      </c>
      <c r="B3410" s="3" t="str">
        <f>IFERROR(__xludf.DUMMYFUNCTION("GOOGLETRANSLATE(A3410, ""ar"", ""bn"")"),"অহংকারী")</f>
        <v>অহংকারী</v>
      </c>
    </row>
    <row r="3411">
      <c r="A3411" s="2" t="s">
        <v>5747</v>
      </c>
      <c r="B3411" s="3" t="str">
        <f>IFERROR(__xludf.DUMMYFUNCTION("GOOGLETRANSLATE(A3411, ""ar"", ""bn"")"),"ফ্রিকোয়েন্সি")</f>
        <v>ফ্রিকোয়েন্সি</v>
      </c>
    </row>
    <row r="3412">
      <c r="A3412" s="2" t="s">
        <v>5748</v>
      </c>
      <c r="B3412" s="3" t="str">
        <f>IFERROR(__xludf.DUMMYFUNCTION("GOOGLETRANSLATE(A3412, ""ar"", ""bn"")"),"ভুতুড়ে")</f>
        <v>ভুতুড়ে</v>
      </c>
    </row>
    <row r="3413">
      <c r="A3413" s="2" t="s">
        <v>5749</v>
      </c>
      <c r="B3413" s="3" t="str">
        <f>IFERROR(__xludf.DUMMYFUNCTION("GOOGLETRANSLATE(A3413, ""ar"", ""bn"")"),"গা ছমছমে")</f>
        <v>গা ছমছমে</v>
      </c>
    </row>
    <row r="3414">
      <c r="A3414" s="2" t="s">
        <v>5750</v>
      </c>
      <c r="B3414" s="3" t="str">
        <f>IFERROR(__xludf.DUMMYFUNCTION("GOOGLETRANSLATE(A3414, ""ar"", ""bn"")"),"দু: খ")</f>
        <v>দু: খ</v>
      </c>
    </row>
    <row r="3415">
      <c r="A3415" s="2" t="s">
        <v>5751</v>
      </c>
      <c r="B3415" s="3" t="str">
        <f>IFERROR(__xludf.DUMMYFUNCTION("GOOGLETRANSLATE(A3415, ""ar"", ""bn"")"),"পশ্চাদ্ধাবন")</f>
        <v>পশ্চাদ্ধাবন</v>
      </c>
    </row>
    <row r="3416">
      <c r="A3416" s="2" t="s">
        <v>4628</v>
      </c>
      <c r="B3416" s="3" t="str">
        <f>IFERROR(__xludf.DUMMYFUNCTION("GOOGLETRANSLATE(A3416, ""ar"", ""bn"")"),"সর্বনাশ")</f>
        <v>সর্বনাশ</v>
      </c>
    </row>
    <row r="3417">
      <c r="A3417" s="2" t="s">
        <v>4408</v>
      </c>
      <c r="B3417" s="3" t="str">
        <f>IFERROR(__xludf.DUMMYFUNCTION("GOOGLETRANSLATE(A3417, ""ar"", ""bn"")"),"ঝুঁকি")</f>
        <v>ঝুঁকি</v>
      </c>
    </row>
    <row r="3418">
      <c r="A3418" s="2" t="s">
        <v>5752</v>
      </c>
      <c r="B3418" s="3" t="str">
        <f>IFERROR(__xludf.DUMMYFUNCTION("GOOGLETRANSLATE(A3418, ""ar"", ""bn"")"),"ঝুঁকি")</f>
        <v>ঝুঁকি</v>
      </c>
    </row>
    <row r="3419">
      <c r="A3419" s="2" t="s">
        <v>4409</v>
      </c>
      <c r="B3419" s="3" t="str">
        <f>IFERROR(__xludf.DUMMYFUNCTION("GOOGLETRANSLATE(A3419, ""ar"", ""bn"")"),"বিপজ্জনক")</f>
        <v>বিপজ্জনক</v>
      </c>
    </row>
    <row r="3420">
      <c r="A3420" s="2" t="s">
        <v>5753</v>
      </c>
      <c r="B3420" s="3" t="str">
        <f>IFERROR(__xludf.DUMMYFUNCTION("GOOGLETRANSLATE(A3420, ""ar"", ""bn"")"),"ঝুঁকি")</f>
        <v>ঝুঁকি</v>
      </c>
    </row>
    <row r="3421">
      <c r="A3421" s="2" t="s">
        <v>4409</v>
      </c>
      <c r="B3421" s="3" t="str">
        <f>IFERROR(__xludf.DUMMYFUNCTION("GOOGLETRANSLATE(A3421, ""ar"", ""bn"")"),"বিপজ্জনক")</f>
        <v>বিপজ্জনক</v>
      </c>
    </row>
    <row r="3422">
      <c r="A3422" s="2" t="s">
        <v>3720</v>
      </c>
      <c r="B3422" s="3" t="str">
        <f>IFERROR(__xludf.DUMMYFUNCTION("GOOGLETRANSLATE(A3422, ""ar"", ""bn"")"),"অস্পষ্ট করা")</f>
        <v>অস্পষ্ট করা</v>
      </c>
    </row>
    <row r="3423">
      <c r="A3423" s="2" t="s">
        <v>5754</v>
      </c>
      <c r="B3423" s="3" t="str">
        <f>IFERROR(__xludf.DUMMYFUNCTION("GOOGLETRANSLATE(A3423, ""ar"", ""bn"")"),"অস্পষ্ট")</f>
        <v>অস্পষ্ট</v>
      </c>
    </row>
    <row r="3424">
      <c r="A3424" s="2" t="s">
        <v>5755</v>
      </c>
      <c r="B3424" s="3" t="str">
        <f>IFERROR(__xludf.DUMMYFUNCTION("GOOGLETRANSLATE(A3424, ""ar"", ""bn"")"),"মাথা ব্যাথা")</f>
        <v>মাথা ব্যাথা</v>
      </c>
    </row>
    <row r="3425">
      <c r="A3425" s="2" t="s">
        <v>5756</v>
      </c>
      <c r="B3425" s="3" t="str">
        <f>IFERROR(__xludf.DUMMYFUNCTION("GOOGLETRANSLATE(A3425, ""ar"", ""bn"")"),"মাথাব্যাথা")</f>
        <v>মাথাব্যাথা</v>
      </c>
    </row>
    <row r="3426">
      <c r="A3426" s="2" t="s">
        <v>5757</v>
      </c>
      <c r="B3426" s="3" t="str">
        <f>IFERROR(__xludf.DUMMYFUNCTION("GOOGLETRANSLATE(A3426, ""ar"", ""bn"")"),"মর্মবেদনা")</f>
        <v>মর্মবেদনা</v>
      </c>
    </row>
    <row r="3427">
      <c r="A3427" s="2" t="s">
        <v>5758</v>
      </c>
      <c r="B3427" s="3" t="str">
        <f>IFERROR(__xludf.DUMMYFUNCTION("GOOGLETRANSLATE(A3427, ""ar"", ""bn"")"),"প্রাণঘাতী")</f>
        <v>প্রাণঘাতী</v>
      </c>
    </row>
    <row r="3428">
      <c r="A3428" s="2" t="s">
        <v>5759</v>
      </c>
      <c r="B3428" s="3" t="str">
        <f>IFERROR(__xludf.DUMMYFUNCTION("GOOGLETRANSLATE(A3428, ""ar"", ""bn"")"),"Heartbreaks")</f>
        <v>Heartbreaks</v>
      </c>
    </row>
    <row r="3429">
      <c r="A3429" s="2" t="s">
        <v>5607</v>
      </c>
      <c r="B3429" s="3" t="str">
        <f>IFERROR(__xludf.DUMMYFUNCTION("GOOGLETRANSLATE(A3429, ""ar"", ""bn"")"),"দু: খ")</f>
        <v>দু: খ</v>
      </c>
    </row>
    <row r="3430">
      <c r="A3430" s="2" t="s">
        <v>5760</v>
      </c>
      <c r="B3430" s="3" t="str">
        <f>IFERROR(__xludf.DUMMYFUNCTION("GOOGLETRANSLATE(A3430, ""ar"", ""bn"")"),"পাথর উদার")</f>
        <v>পাথর উদার</v>
      </c>
    </row>
    <row r="3431">
      <c r="A3431" s="2" t="s">
        <v>3900</v>
      </c>
      <c r="B3431" s="3" t="str">
        <f>IFERROR(__xludf.DUMMYFUNCTION("GOOGLETRANSLATE(A3431, ""ar"", ""bn"")"),"গুরুতরভাবে")</f>
        <v>গুরুতরভাবে</v>
      </c>
    </row>
    <row r="3432">
      <c r="A3432" s="2" t="s">
        <v>4337</v>
      </c>
      <c r="B3432" s="3" t="str">
        <f>IFERROR(__xludf.DUMMYFUNCTION("GOOGLETRANSLATE(A3432, ""ar"", ""bn"")"),"নিষ্ঠুরতা")</f>
        <v>নিষ্ঠুরতা</v>
      </c>
    </row>
    <row r="3433">
      <c r="A3433" s="2" t="s">
        <v>5377</v>
      </c>
      <c r="B3433" s="3" t="str">
        <f>IFERROR(__xludf.DUMMYFUNCTION("GOOGLETRANSLATE(A3433, ""ar"", ""bn"")"),"জ্বরাক্রান্ত")</f>
        <v>জ্বরাক্রান্ত</v>
      </c>
    </row>
    <row r="3434">
      <c r="A3434" s="2" t="s">
        <v>5761</v>
      </c>
      <c r="B3434" s="3" t="str">
        <f>IFERROR(__xludf.DUMMYFUNCTION("GOOGLETRANSLATE(A3434, ""ar"", ""bn"")"),"অন্যমনস্ক")</f>
        <v>অন্যমনস্ক</v>
      </c>
    </row>
    <row r="3435">
      <c r="A3435" s="2" t="s">
        <v>3931</v>
      </c>
      <c r="B3435" s="3" t="str">
        <f>IFERROR(__xludf.DUMMYFUNCTION("GOOGLETRANSLATE(A3435, ""ar"", ""bn"")"),"অগোছালভাবে")</f>
        <v>অগোছালভাবে</v>
      </c>
    </row>
    <row r="3436">
      <c r="A3436" s="2" t="s">
        <v>5762</v>
      </c>
      <c r="B3436" s="3" t="str">
        <f>IFERROR(__xludf.DUMMYFUNCTION("GOOGLETRANSLATE(A3436, ""ar"", ""bn"")"),"অবহেলা")</f>
        <v>অবহেলা</v>
      </c>
    </row>
    <row r="3437">
      <c r="A3437" s="2" t="s">
        <v>5763</v>
      </c>
      <c r="B3437" s="3" t="str">
        <f>IFERROR(__xludf.DUMMYFUNCTION("GOOGLETRANSLATE(A3437, ""ar"", ""bn"")"),"জঘন্য")</f>
        <v>জঘন্য</v>
      </c>
    </row>
    <row r="3438">
      <c r="A3438" s="2" t="s">
        <v>5764</v>
      </c>
      <c r="B3438" s="3" t="str">
        <f>IFERROR(__xludf.DUMMYFUNCTION("GOOGLETRANSLATE(A3438, ""ar"", ""bn"")"),"জাহান্নাম")</f>
        <v>জাহান্নাম</v>
      </c>
    </row>
    <row r="3439">
      <c r="A3439" s="2" t="s">
        <v>5765</v>
      </c>
      <c r="B3439" s="3" t="str">
        <f>IFERROR(__xludf.DUMMYFUNCTION("GOOGLETRANSLATE(A3439, ""ar"", ""bn"")"),"গ্রীসের")</f>
        <v>গ্রীসের</v>
      </c>
    </row>
    <row r="3440">
      <c r="A3440" s="2" t="s">
        <v>5766</v>
      </c>
      <c r="B3440" s="3" t="str">
        <f>IFERROR(__xludf.DUMMYFUNCTION("GOOGLETRANSLATE(A3440, ""ar"", ""bn"")"),"জাহান্নাম")</f>
        <v>জাহান্নাম</v>
      </c>
    </row>
    <row r="3441">
      <c r="A3441" s="2" t="s">
        <v>5767</v>
      </c>
      <c r="B3441" s="3" t="str">
        <f>IFERROR(__xludf.DUMMYFUNCTION("GOOGLETRANSLATE(A3441, ""ar"", ""bn"")"),"নারকীয়")</f>
        <v>নারকীয়</v>
      </c>
    </row>
    <row r="3442">
      <c r="A3442" s="2" t="s">
        <v>5767</v>
      </c>
      <c r="B3442" s="3" t="str">
        <f>IFERROR(__xludf.DUMMYFUNCTION("GOOGLETRANSLATE(A3442, ""ar"", ""bn"")"),"নারকীয়")</f>
        <v>নারকীয়</v>
      </c>
    </row>
    <row r="3443">
      <c r="A3443" s="2" t="s">
        <v>5768</v>
      </c>
      <c r="B3443" s="3" t="str">
        <f>IFERROR(__xludf.DUMMYFUNCTION("GOOGLETRANSLATE(A3443, ""ar"", ""bn"")"),"হ্যালো")</f>
        <v>হ্যালো</v>
      </c>
    </row>
    <row r="3444">
      <c r="A3444" s="2" t="s">
        <v>5764</v>
      </c>
      <c r="B3444" s="3" t="str">
        <f>IFERROR(__xludf.DUMMYFUNCTION("GOOGLETRANSLATE(A3444, ""ar"", ""bn"")"),"জাহান্নাম")</f>
        <v>জাহান্নাম</v>
      </c>
    </row>
    <row r="3445">
      <c r="A3445" s="2" t="s">
        <v>5767</v>
      </c>
      <c r="B3445" s="3" t="str">
        <f>IFERROR(__xludf.DUMMYFUNCTION("GOOGLETRANSLATE(A3445, ""ar"", ""bn"")"),"নারকীয়")</f>
        <v>নারকীয়</v>
      </c>
    </row>
    <row r="3446">
      <c r="A3446" s="2" t="s">
        <v>5767</v>
      </c>
      <c r="B3446" s="3" t="str">
        <f>IFERROR(__xludf.DUMMYFUNCTION("GOOGLETRANSLATE(A3446, ""ar"", ""bn"")"),"নারকীয়")</f>
        <v>নারকীয়</v>
      </c>
    </row>
    <row r="3447">
      <c r="A3447" s="2" t="s">
        <v>5769</v>
      </c>
      <c r="B3447" s="3" t="str">
        <f>IFERROR(__xludf.DUMMYFUNCTION("GOOGLETRANSLATE(A3447, ""ar"", ""bn"")"),"অসহায়")</f>
        <v>অসহায়</v>
      </c>
    </row>
    <row r="3448">
      <c r="A3448" s="2" t="s">
        <v>5770</v>
      </c>
      <c r="B3448" s="3" t="str">
        <f>IFERROR(__xludf.DUMMYFUNCTION("GOOGLETRANSLATE(A3448, ""ar"", ""bn"")"),"অসহায়")</f>
        <v>অসহায়</v>
      </c>
    </row>
    <row r="3449">
      <c r="A3449" s="2" t="s">
        <v>4524</v>
      </c>
      <c r="B3449" s="3" t="str">
        <f>IFERROR(__xludf.DUMMYFUNCTION("GOOGLETRANSLATE(A3449, ""ar"", ""bn"")"),"ঘাটতি")</f>
        <v>ঘাটতি</v>
      </c>
    </row>
    <row r="3450">
      <c r="A3450" s="2" t="s">
        <v>5747</v>
      </c>
      <c r="B3450" s="3" t="str">
        <f>IFERROR(__xludf.DUMMYFUNCTION("GOOGLETRANSLATE(A3450, ""ar"", ""bn"")"),"ফ্রিকোয়েন্সি")</f>
        <v>ফ্রিকোয়েন্সি</v>
      </c>
    </row>
    <row r="3451">
      <c r="A3451" s="2" t="s">
        <v>3356</v>
      </c>
      <c r="B3451" s="3" t="str">
        <f>IFERROR(__xludf.DUMMYFUNCTION("GOOGLETRANSLATE(A3451, ""ar"", ""bn"")"),"দ্বিধাগ্রস্ত")</f>
        <v>দ্বিধাগ্রস্ত</v>
      </c>
    </row>
    <row r="3452">
      <c r="A3452" s="2" t="s">
        <v>5771</v>
      </c>
      <c r="B3452" s="3" t="str">
        <f>IFERROR(__xludf.DUMMYFUNCTION("GOOGLETRANSLATE(A3452, ""ar"", ""bn"")"),"দ্বিধার")</f>
        <v>দ্বিধার</v>
      </c>
    </row>
    <row r="3453">
      <c r="A3453" s="2" t="s">
        <v>5747</v>
      </c>
      <c r="B3453" s="3" t="str">
        <f>IFERROR(__xludf.DUMMYFUNCTION("GOOGLETRANSLATE(A3453, ""ar"", ""bn"")"),"ফ্রিকোয়েন্সি")</f>
        <v>ফ্রিকোয়েন্সি</v>
      </c>
    </row>
    <row r="3454">
      <c r="A3454" s="2" t="s">
        <v>5772</v>
      </c>
      <c r="B3454" s="3" t="str">
        <f>IFERROR(__xludf.DUMMYFUNCTION("GOOGLETRANSLATE(A3454, ""ar"", ""bn"")"),"আমি ইতস্ততঃ করছিলাম")</f>
        <v>আমি ইতস্ততঃ করছিলাম</v>
      </c>
    </row>
    <row r="3455">
      <c r="A3455" s="2" t="s">
        <v>5773</v>
      </c>
      <c r="B3455" s="3" t="str">
        <f>IFERROR(__xludf.DUMMYFUNCTION("GOOGLETRANSLATE(A3455, ""ar"", ""bn"")"),"frequented")</f>
        <v>frequented</v>
      </c>
    </row>
    <row r="3456">
      <c r="A3456" s="2" t="s">
        <v>3356</v>
      </c>
      <c r="B3456" s="3" t="str">
        <f>IFERROR(__xludf.DUMMYFUNCTION("GOOGLETRANSLATE(A3456, ""ar"", ""bn"")"),"দ্বিধাগ্রস্ত")</f>
        <v>দ্বিধাগ্রস্ত</v>
      </c>
    </row>
    <row r="3457">
      <c r="A3457" s="2" t="s">
        <v>5774</v>
      </c>
      <c r="B3457" s="3" t="str">
        <f>IFERROR(__xludf.DUMMYFUNCTION("GOOGLETRANSLATE(A3457, ""ar"", ""bn"")"),"অনিশ্চিতভাবে")</f>
        <v>অনিশ্চিতভাবে</v>
      </c>
    </row>
    <row r="3458">
      <c r="A3458" s="2" t="s">
        <v>5747</v>
      </c>
      <c r="B3458" s="3" t="str">
        <f>IFERROR(__xludf.DUMMYFUNCTION("GOOGLETRANSLATE(A3458, ""ar"", ""bn"")"),"ফ্রিকোয়েন্সি")</f>
        <v>ফ্রিকোয়েন্সি</v>
      </c>
    </row>
    <row r="3459">
      <c r="A3459" s="2" t="s">
        <v>5747</v>
      </c>
      <c r="B3459" s="3" t="str">
        <f>IFERROR(__xludf.DUMMYFUNCTION("GOOGLETRANSLATE(A3459, ""ar"", ""bn"")"),"ফ্রিকোয়েন্সি")</f>
        <v>ফ্রিকোয়েন্সি</v>
      </c>
    </row>
    <row r="3460">
      <c r="A3460" s="2" t="s">
        <v>5775</v>
      </c>
      <c r="B3460" s="3" t="str">
        <f>IFERROR(__xludf.DUMMYFUNCTION("GOOGLETRANSLATE(A3460, ""ar"", ""bn"")"),"সুপরিচিত")</f>
        <v>সুপরিচিত</v>
      </c>
    </row>
    <row r="3461">
      <c r="A3461" s="2" t="s">
        <v>3469</v>
      </c>
      <c r="B3461" s="3" t="str">
        <f>IFERROR(__xludf.DUMMYFUNCTION("GOOGLETRANSLATE(A3461, ""ar"", ""bn"")"),"ভয়ের")</f>
        <v>ভয়ের</v>
      </c>
    </row>
    <row r="3462">
      <c r="A3462" s="2" t="s">
        <v>5776</v>
      </c>
      <c r="B3462" s="3" t="str">
        <f>IFERROR(__xludf.DUMMYFUNCTION("GOOGLETRANSLATE(A3462, ""ar"", ""bn"")"),"কদর্যতা")</f>
        <v>কদর্যতা</v>
      </c>
    </row>
    <row r="3463">
      <c r="A3463" s="2" t="s">
        <v>5777</v>
      </c>
      <c r="B3463" s="3" t="str">
        <f>IFERROR(__xludf.DUMMYFUNCTION("GOOGLETRANSLATE(A3463, ""ar"", ""bn"")"),"পাচার")</f>
        <v>পাচার</v>
      </c>
    </row>
    <row r="3464">
      <c r="A3464" s="2" t="s">
        <v>5778</v>
      </c>
      <c r="B3464" s="3" t="str">
        <f>IFERROR(__xludf.DUMMYFUNCTION("GOOGLETRANSLATE(A3464, ""ar"", ""bn"")"),"অপহৃত")</f>
        <v>অপহৃত</v>
      </c>
    </row>
    <row r="3465">
      <c r="A3465" s="2" t="s">
        <v>4381</v>
      </c>
      <c r="B3465" s="3" t="str">
        <f>IFERROR(__xludf.DUMMYFUNCTION("GOOGLETRANSLATE(A3465, ""ar"", ""bn"")"),"হাইজ্যেকের")</f>
        <v>হাইজ্যেকের</v>
      </c>
    </row>
    <row r="3466">
      <c r="A3466" s="2" t="s">
        <v>5779</v>
      </c>
      <c r="B3466" s="3" t="str">
        <f>IFERROR(__xludf.DUMMYFUNCTION("GOOGLETRANSLATE(A3466, ""ar"", ""bn"")"),"অপহরণকারীদের")</f>
        <v>অপহরণকারীদের</v>
      </c>
    </row>
    <row r="3467">
      <c r="A3467" s="2" t="s">
        <v>1320</v>
      </c>
      <c r="B3467" s="3" t="str">
        <f>IFERROR(__xludf.DUMMYFUNCTION("GOOGLETRANSLATE(A3467, ""ar"", ""bn"")"),"অপহরণ")</f>
        <v>অপহরণ</v>
      </c>
    </row>
    <row r="3468">
      <c r="A3468" s="2" t="s">
        <v>1320</v>
      </c>
      <c r="B3468" s="3" t="str">
        <f>IFERROR(__xludf.DUMMYFUNCTION("GOOGLETRANSLATE(A3468, ""ar"", ""bn"")"),"অপহরণ")</f>
        <v>অপহরণ</v>
      </c>
    </row>
    <row r="3469">
      <c r="A3469" s="2" t="s">
        <v>5780</v>
      </c>
      <c r="B3469" s="3" t="str">
        <f>IFERROR(__xludf.DUMMYFUNCTION("GOOGLETRANSLATE(A3469, ""ar"", ""bn"")"),"চুরি")</f>
        <v>চুরি</v>
      </c>
    </row>
    <row r="3470">
      <c r="A3470" s="2" t="s">
        <v>5207</v>
      </c>
      <c r="B3470" s="3" t="str">
        <f>IFERROR(__xludf.DUMMYFUNCTION("GOOGLETRANSLATE(A3470, ""ar"", ""bn"")"),"বাধা")</f>
        <v>বাধা</v>
      </c>
    </row>
    <row r="3471">
      <c r="A3471" s="2" t="s">
        <v>5781</v>
      </c>
      <c r="B3471" s="3" t="str">
        <f>IFERROR(__xludf.DUMMYFUNCTION("GOOGLETRANSLATE(A3471, ""ar"", ""bn"")"),"আটকান")</f>
        <v>আটকান</v>
      </c>
    </row>
    <row r="3472">
      <c r="A3472" s="2" t="s">
        <v>5782</v>
      </c>
      <c r="B3472" s="3" t="str">
        <f>IFERROR(__xludf.DUMMYFUNCTION("GOOGLETRANSLATE(A3472, ""ar"", ""bn"")"),"অমৃত")</f>
        <v>অমৃত</v>
      </c>
    </row>
    <row r="3473">
      <c r="A3473" s="2" t="s">
        <v>5783</v>
      </c>
      <c r="B3473" s="3" t="str">
        <f>IFERROR(__xludf.DUMMYFUNCTION("GOOGLETRANSLATE(A3473, ""ar"", ""bn"")"),"বিঘ্ন")</f>
        <v>বিঘ্ন</v>
      </c>
    </row>
    <row r="3474">
      <c r="A3474" s="2" t="s">
        <v>5784</v>
      </c>
      <c r="B3474" s="3" t="str">
        <f>IFERROR(__xludf.DUMMYFUNCTION("GOOGLETRANSLATE(A3474, ""ar"", ""bn"")"),"impedes")</f>
        <v>impedes</v>
      </c>
    </row>
    <row r="3475">
      <c r="A3475" s="2" t="s">
        <v>5692</v>
      </c>
      <c r="B3475" s="3" t="str">
        <f>IFERROR(__xludf.DUMMYFUNCTION("GOOGLETRANSLATE(A3475, ""ar"", ""bn"")"),"অন্তরায়")</f>
        <v>অন্তরায়</v>
      </c>
    </row>
    <row r="3476">
      <c r="A3476" s="2" t="s">
        <v>5785</v>
      </c>
      <c r="B3476" s="3" t="str">
        <f>IFERROR(__xludf.DUMMYFUNCTION("GOOGLETRANSLATE(A3476, ""ar"", ""bn"")"),"অবমুক্ত")</f>
        <v>অবমুক্ত</v>
      </c>
    </row>
    <row r="3477">
      <c r="A3477" s="2" t="s">
        <v>5786</v>
      </c>
      <c r="B3477" s="3" t="str">
        <f>IFERROR(__xludf.DUMMYFUNCTION("GOOGLETRANSLATE(A3477, ""ar"", ""bn"")"),"গোলাবারুদ")</f>
        <v>গোলাবারুদ</v>
      </c>
    </row>
    <row r="3478">
      <c r="A3478" s="2" t="s">
        <v>5787</v>
      </c>
      <c r="B3478" s="3" t="str">
        <f>IFERROR(__xludf.DUMMYFUNCTION("GOOGLETRANSLATE(A3478, ""ar"", ""bn"")"),"মজুদ")</f>
        <v>মজুদ</v>
      </c>
    </row>
    <row r="3479">
      <c r="A3479" s="2" t="s">
        <v>5788</v>
      </c>
      <c r="B3479" s="3" t="str">
        <f>IFERROR(__xludf.DUMMYFUNCTION("GOOGLETRANSLATE(A3479, ""ar"", ""bn"")"),"মজুতদার")</f>
        <v>মজুতদার</v>
      </c>
    </row>
    <row r="3480">
      <c r="A3480" s="2" t="s">
        <v>5789</v>
      </c>
      <c r="B3480" s="3" t="str">
        <f>IFERROR(__xludf.DUMMYFUNCTION("GOOGLETRANSLATE(A3480, ""ar"", ""bn"")"),"লগ্নিকারী")</f>
        <v>লগ্নিকারী</v>
      </c>
    </row>
    <row r="3481">
      <c r="A3481" s="2" t="s">
        <v>5790</v>
      </c>
      <c r="B3481" s="3" t="str">
        <f>IFERROR(__xludf.DUMMYFUNCTION("GOOGLETRANSLATE(A3481, ""ar"", ""bn"")"),"মজুদ")</f>
        <v>মজুদ</v>
      </c>
    </row>
    <row r="3482">
      <c r="A3482" s="2" t="s">
        <v>5791</v>
      </c>
      <c r="B3482" s="3" t="str">
        <f>IFERROR(__xludf.DUMMYFUNCTION("GOOGLETRANSLATE(A3482, ""ar"", ""bn"")"),"প্লেট")</f>
        <v>প্লেট</v>
      </c>
    </row>
    <row r="3483">
      <c r="A3483" s="2" t="s">
        <v>5792</v>
      </c>
      <c r="B3483" s="3" t="str">
        <f>IFERROR(__xludf.DUMMYFUNCTION("GOOGLETRANSLATE(A3483, ""ar"", ""bn"")"),"এবং ধন-ভান্ডার")</f>
        <v>এবং ধন-ভান্ডার</v>
      </c>
    </row>
    <row r="3484">
      <c r="A3484" s="2" t="s">
        <v>5793</v>
      </c>
      <c r="B3484" s="3" t="str">
        <f>IFERROR(__xludf.DUMMYFUNCTION("GOOGLETRANSLATE(A3484, ""ar"", ""bn"")"),"নরম")</f>
        <v>নরম</v>
      </c>
    </row>
    <row r="3485">
      <c r="A3485" s="2" t="s">
        <v>5299</v>
      </c>
      <c r="B3485" s="3" t="str">
        <f>IFERROR(__xludf.DUMMYFUNCTION("GOOGLETRANSLATE(A3485, ""ar"", ""bn"")"),"পদস্খলন")</f>
        <v>পদস্খলন</v>
      </c>
    </row>
    <row r="3486">
      <c r="A3486" s="2" t="s">
        <v>5794</v>
      </c>
      <c r="B3486" s="3" t="str">
        <f>IFERROR(__xludf.DUMMYFUNCTION("GOOGLETRANSLATE(A3486, ""ar"", ""bn"")"),"নরম")</f>
        <v>নরম</v>
      </c>
    </row>
    <row r="3487">
      <c r="A3487" s="2" t="s">
        <v>3514</v>
      </c>
      <c r="B3487" s="3" t="str">
        <f>IFERROR(__xludf.DUMMYFUNCTION("GOOGLETRANSLATE(A3487, ""ar"", ""bn"")"),"বাজে কথা")</f>
        <v>বাজে কথা</v>
      </c>
    </row>
    <row r="3488">
      <c r="A3488" s="2" t="s">
        <v>5795</v>
      </c>
      <c r="B3488" s="3" t="str">
        <f>IFERROR(__xludf.DUMMYFUNCTION("GOOGLETRANSLATE(A3488, ""ar"", ""bn"")"),"ফাঁপা")</f>
        <v>ফাঁপা</v>
      </c>
    </row>
    <row r="3489">
      <c r="A3489" s="2" t="s">
        <v>3755</v>
      </c>
      <c r="B3489" s="3" t="str">
        <f>IFERROR(__xludf.DUMMYFUNCTION("GOOGLETRANSLATE(A3489, ""ar"", ""bn"")"),"গহ্বর")</f>
        <v>গহ্বর</v>
      </c>
    </row>
    <row r="3490">
      <c r="A3490" s="2" t="s">
        <v>3755</v>
      </c>
      <c r="B3490" s="3" t="str">
        <f>IFERROR(__xludf.DUMMYFUNCTION("GOOGLETRANSLATE(A3490, ""ar"", ""bn"")"),"গহ্বর")</f>
        <v>গহ্বর</v>
      </c>
    </row>
    <row r="3491">
      <c r="A3491" s="2" t="s">
        <v>5796</v>
      </c>
      <c r="B3491" s="3" t="str">
        <f>IFERROR(__xludf.DUMMYFUNCTION("GOOGLETRANSLATE(A3491, ""ar"", ""bn"")"),"গর্ত")</f>
        <v>গর্ত</v>
      </c>
    </row>
    <row r="3492">
      <c r="A3492" s="2" t="s">
        <v>5797</v>
      </c>
      <c r="B3492" s="3" t="str">
        <f>IFERROR(__xludf.DUMMYFUNCTION("GOOGLETRANSLATE(A3492, ""ar"", ""bn"")"),"আমার বাড়ি")</f>
        <v>আমার বাড়ি</v>
      </c>
    </row>
    <row r="3493">
      <c r="A3493" s="2" t="s">
        <v>5798</v>
      </c>
      <c r="B3493" s="3" t="str">
        <f>IFERROR(__xludf.DUMMYFUNCTION("GOOGLETRANSLATE(A3493, ""ar"", ""bn"")"),"স্বদেশে ফেরার জন্য কাতর")</f>
        <v>স্বদেশে ফেরার জন্য কাতর</v>
      </c>
    </row>
    <row r="3494">
      <c r="A3494" s="2" t="s">
        <v>5799</v>
      </c>
      <c r="B3494" s="3" t="str">
        <f>IFERROR(__xludf.DUMMYFUNCTION("GOOGLETRANSLATE(A3494, ""ar"", ""bn"")"),"বাড়ির জন্য মন খারাপ")</f>
        <v>বাড়ির জন্য মন খারাপ</v>
      </c>
    </row>
    <row r="3495">
      <c r="A3495" s="2" t="s">
        <v>5800</v>
      </c>
      <c r="B3495" s="3" t="str">
        <f>IFERROR(__xludf.DUMMYFUNCTION("GOOGLETRANSLATE(A3495, ""ar"", ""bn"")"),"সদৃশবিধান")</f>
        <v>সদৃশবিধান</v>
      </c>
    </row>
    <row r="3496">
      <c r="A3496" s="2" t="s">
        <v>5801</v>
      </c>
      <c r="B3496" s="3" t="str">
        <f>IFERROR(__xludf.DUMMYFUNCTION("GOOGLETRANSLATE(A3496, ""ar"", ""bn"")"),"সদৃশবিধান")</f>
        <v>সদৃশবিধান</v>
      </c>
    </row>
    <row r="3497">
      <c r="A3497" s="2" t="s">
        <v>5802</v>
      </c>
      <c r="B3497" s="3" t="str">
        <f>IFERROR(__xludf.DUMMYFUNCTION("GOOGLETRANSLATE(A3497, ""ar"", ""bn"")"),"মিশ্রণ")</f>
        <v>মিশ্রণ</v>
      </c>
    </row>
    <row r="3498">
      <c r="A3498" s="2" t="s">
        <v>5803</v>
      </c>
      <c r="B3498" s="3" t="str">
        <f>IFERROR(__xludf.DUMMYFUNCTION("GOOGLETRANSLATE(A3498, ""ar"", ""bn"")"),"সমসত্ত্বতা")</f>
        <v>সমসত্ত্বতা</v>
      </c>
    </row>
    <row r="3499">
      <c r="A3499" s="2" t="s">
        <v>5804</v>
      </c>
      <c r="B3499" s="3" t="str">
        <f>IFERROR(__xludf.DUMMYFUNCTION("GOOGLETRANSLATE(A3499, ""ar"", ""bn"")"),"সজাতি")</f>
        <v>সজাতি</v>
      </c>
    </row>
    <row r="3500">
      <c r="A3500" s="2" t="s">
        <v>5804</v>
      </c>
      <c r="B3500" s="3" t="str">
        <f>IFERROR(__xludf.DUMMYFUNCTION("GOOGLETRANSLATE(A3500, ""ar"", ""bn"")"),"সজাতি")</f>
        <v>সজাতি</v>
      </c>
    </row>
    <row r="3501">
      <c r="A3501" s="2" t="s">
        <v>5730</v>
      </c>
      <c r="B3501" s="3" t="str">
        <f>IFERROR(__xludf.DUMMYFUNCTION("GOOGLETRANSLATE(A3501, ""ar"", ""bn"")"),"সমসত্ত্বতা")</f>
        <v>সমসত্ত্বতা</v>
      </c>
    </row>
    <row r="3502">
      <c r="A3502" s="2" t="s">
        <v>5730</v>
      </c>
      <c r="B3502" s="3" t="str">
        <f>IFERROR(__xludf.DUMMYFUNCTION("GOOGLETRANSLATE(A3502, ""ar"", ""bn"")"),"সমসত্ত্বতা")</f>
        <v>সমসত্ত্বতা</v>
      </c>
    </row>
    <row r="3503">
      <c r="A3503" s="2" t="s">
        <v>5805</v>
      </c>
      <c r="B3503" s="3" t="str">
        <f>IFERROR(__xludf.DUMMYFUNCTION("GOOGLETRANSLATE(A3503, ""ar"", ""bn"")"),"সজাতি")</f>
        <v>সজাতি</v>
      </c>
    </row>
    <row r="3504">
      <c r="A3504" s="2" t="s">
        <v>5803</v>
      </c>
      <c r="B3504" s="3" t="str">
        <f>IFERROR(__xludf.DUMMYFUNCTION("GOOGLETRANSLATE(A3504, ""ar"", ""bn"")"),"সমসত্ত্বতা")</f>
        <v>সমসত্ত্বতা</v>
      </c>
    </row>
    <row r="3505">
      <c r="A3505" s="2" t="s">
        <v>5806</v>
      </c>
      <c r="B3505" s="3" t="str">
        <f>IFERROR(__xludf.DUMMYFUNCTION("GOOGLETRANSLATE(A3505, ""ar"", ""bn"")"),"Michaklh")</f>
        <v>Michaklh</v>
      </c>
    </row>
    <row r="3506">
      <c r="A3506" s="2" t="s">
        <v>5807</v>
      </c>
      <c r="B3506" s="3" t="str">
        <f>IFERROR(__xludf.DUMMYFUNCTION("GOOGLETRANSLATE(A3506, ""ar"", ""bn"")"),"ভারসাম্য-সংক্রান্ত")</f>
        <v>ভারসাম্য-সংক্রান্ত</v>
      </c>
    </row>
    <row r="3507">
      <c r="A3507" s="2" t="s">
        <v>5808</v>
      </c>
      <c r="B3507" s="3" t="str">
        <f>IFERROR(__xludf.DUMMYFUNCTION("GOOGLETRANSLATE(A3507, ""ar"", ""bn"")"),"সদৃশ বস্তু")</f>
        <v>সদৃশ বস্তু</v>
      </c>
    </row>
    <row r="3508">
      <c r="A3508" s="2" t="s">
        <v>5809</v>
      </c>
      <c r="B3508" s="3" t="str">
        <f>IFERROR(__xludf.DUMMYFUNCTION("GOOGLETRANSLATE(A3508, ""ar"", ""bn"")"),"Homologues")</f>
        <v>Homologues</v>
      </c>
    </row>
    <row r="3509">
      <c r="A3509" s="2" t="s">
        <v>5810</v>
      </c>
      <c r="B3509" s="3" t="str">
        <f>IFERROR(__xludf.DUMMYFUNCTION("GOOGLETRANSLATE(A3509, ""ar"", ""bn"")"),"প্রতিসাম্য")</f>
        <v>প্রতিসাম্য</v>
      </c>
    </row>
    <row r="3510">
      <c r="A3510" s="2" t="s">
        <v>5811</v>
      </c>
      <c r="B3510" s="3" t="str">
        <f>IFERROR(__xludf.DUMMYFUNCTION("GOOGLETRANSLATE(A3510, ""ar"", ""bn"")"),"Homomorphisms")</f>
        <v>Homomorphisms</v>
      </c>
    </row>
    <row r="3511">
      <c r="A3511" s="2" t="s">
        <v>5812</v>
      </c>
      <c r="B3511" s="3" t="str">
        <f>IFERROR(__xludf.DUMMYFUNCTION("GOOGLETRANSLATE(A3511, ""ar"", ""bn"")"),"নানার্থ শব্দ")</f>
        <v>নানার্থ শব্দ</v>
      </c>
    </row>
    <row r="3512">
      <c r="A3512" s="2" t="s">
        <v>5813</v>
      </c>
      <c r="B3512" s="3" t="str">
        <f>IFERROR(__xludf.DUMMYFUNCTION("GOOGLETRANSLATE(A3512, ""ar"", ""bn"")"),"সমোচ্চারিত শব্দগুলো")</f>
        <v>সমোচ্চারিত শব্দগুলো</v>
      </c>
    </row>
    <row r="3513">
      <c r="A3513" s="2" t="s">
        <v>5814</v>
      </c>
      <c r="B3513" s="3" t="str">
        <f>IFERROR(__xludf.DUMMYFUNCTION("GOOGLETRANSLATE(A3513, ""ar"", ""bn"")"),"সমকামিতা")</f>
        <v>সমকামিতা</v>
      </c>
    </row>
    <row r="3514">
      <c r="A3514" s="2" t="s">
        <v>5815</v>
      </c>
      <c r="B3514" s="3" t="str">
        <f>IFERROR(__xludf.DUMMYFUNCTION("GOOGLETRANSLATE(A3514, ""ar"", ""bn"")"),"সমকামীদের ভয়")</f>
        <v>সমকামীদের ভয়</v>
      </c>
    </row>
    <row r="3515">
      <c r="A3515" s="2" t="s">
        <v>5816</v>
      </c>
      <c r="B3515" s="3" t="str">
        <f>IFERROR(__xludf.DUMMYFUNCTION("GOOGLETRANSLATE(A3515, ""ar"", ""bn"")"),"Homophones")</f>
        <v>Homophones</v>
      </c>
    </row>
    <row r="3516">
      <c r="A3516" s="2" t="s">
        <v>5548</v>
      </c>
      <c r="B3516" s="3" t="str">
        <f>IFERROR(__xludf.DUMMYFUNCTION("GOOGLETRANSLATE(A3516, ""ar"", ""bn"")"),"গে")</f>
        <v>গে</v>
      </c>
    </row>
    <row r="3517">
      <c r="A3517" s="2" t="s">
        <v>5817</v>
      </c>
      <c r="B3517" s="3" t="str">
        <f>IFERROR(__xludf.DUMMYFUNCTION("GOOGLETRANSLATE(A3517, ""ar"", ""bn"")"),"সমকামিতা")</f>
        <v>সমকামিতা</v>
      </c>
    </row>
    <row r="3518">
      <c r="A3518" s="2" t="s">
        <v>5273</v>
      </c>
      <c r="B3518" s="3" t="str">
        <f>IFERROR(__xludf.DUMMYFUNCTION("GOOGLETRANSLATE(A3518, ""ar"", ""bn"")"),"গে")</f>
        <v>গে</v>
      </c>
    </row>
    <row r="3519">
      <c r="A3519" s="2" t="s">
        <v>5549</v>
      </c>
      <c r="B3519" s="3" t="str">
        <f>IFERROR(__xludf.DUMMYFUNCTION("GOOGLETRANSLATE(A3519, ""ar"", ""bn"")"),"সমাকামীর")</f>
        <v>সমাকামীর</v>
      </c>
    </row>
    <row r="3520">
      <c r="A3520" s="2" t="s">
        <v>5807</v>
      </c>
      <c r="B3520" s="3" t="str">
        <f>IFERROR(__xludf.DUMMYFUNCTION("GOOGLETRANSLATE(A3520, ""ar"", ""bn"")"),"ভারসাম্য-সংক্রান্ত")</f>
        <v>ভারসাম্য-সংক্রান্ত</v>
      </c>
    </row>
    <row r="3521">
      <c r="A3521" s="2" t="s">
        <v>3799</v>
      </c>
      <c r="B3521" s="3" t="str">
        <f>IFERROR(__xludf.DUMMYFUNCTION("GOOGLETRANSLATE(A3521, ""ar"", ""bn"")"),"মরিয়া")</f>
        <v>মরিয়া</v>
      </c>
    </row>
    <row r="3522">
      <c r="A3522" s="2" t="s">
        <v>5818</v>
      </c>
      <c r="B3522" s="3" t="str">
        <f>IFERROR(__xludf.DUMMYFUNCTION("GOOGLETRANSLATE(A3522, ""ar"", ""bn"")"),"আশাহীন")</f>
        <v>আশাহীন</v>
      </c>
    </row>
    <row r="3523">
      <c r="A3523" s="2" t="s">
        <v>4632</v>
      </c>
      <c r="B3523" s="3" t="str">
        <f>IFERROR(__xludf.DUMMYFUNCTION("GOOGLETRANSLATE(A3523, ""ar"", ""bn"")"),"হতাশা")</f>
        <v>হতাশা</v>
      </c>
    </row>
    <row r="3524">
      <c r="A3524" s="2" t="s">
        <v>5819</v>
      </c>
      <c r="B3524" s="3" t="str">
        <f>IFERROR(__xludf.DUMMYFUNCTION("GOOGLETRANSLATE(A3524, ""ar"", ""bn"")"),"ভিড়")</f>
        <v>ভিড়</v>
      </c>
    </row>
    <row r="3525">
      <c r="A3525" s="2" t="s">
        <v>5820</v>
      </c>
      <c r="B3525" s="3" t="str">
        <f>IFERROR(__xludf.DUMMYFUNCTION("GOOGLETRANSLATE(A3525, ""ar"", ""bn"")"),"hordes")</f>
        <v>hordes</v>
      </c>
    </row>
    <row r="3526">
      <c r="A3526" s="2" t="s">
        <v>5821</v>
      </c>
      <c r="B3526" s="3" t="str">
        <f>IFERROR(__xludf.DUMMYFUNCTION("GOOGLETRANSLATE(A3526, ""ar"", ""bn"")"),"ভয়ানক")</f>
        <v>ভয়ানক</v>
      </c>
    </row>
    <row r="3527">
      <c r="A3527" s="2" t="s">
        <v>5822</v>
      </c>
      <c r="B3527" s="3" t="str">
        <f>IFERROR(__xludf.DUMMYFUNCTION("GOOGLETRANSLATE(A3527, ""ar"", ""bn"")"),"আতঙ্কজনক")</f>
        <v>আতঙ্কজনক</v>
      </c>
    </row>
    <row r="3528">
      <c r="A3528" s="2" t="s">
        <v>3443</v>
      </c>
      <c r="B3528" s="3" t="str">
        <f>IFERROR(__xludf.DUMMYFUNCTION("GOOGLETRANSLATE(A3528, ""ar"", ""bn"")"),"ভয়ঙ্কর")</f>
        <v>ভয়ঙ্কর</v>
      </c>
    </row>
    <row r="3529">
      <c r="A3529" s="2" t="s">
        <v>5823</v>
      </c>
      <c r="B3529" s="3" t="str">
        <f>IFERROR(__xludf.DUMMYFUNCTION("GOOGLETRANSLATE(A3529, ""ar"", ""bn"")"),"ভয়াবহ, আতঙ্কজনক")</f>
        <v>ভয়াবহ, আতঙ্কজনক</v>
      </c>
    </row>
    <row r="3530">
      <c r="A3530" s="2" t="s">
        <v>3443</v>
      </c>
      <c r="B3530" s="3" t="str">
        <f>IFERROR(__xludf.DUMMYFUNCTION("GOOGLETRANSLATE(A3530, ""ar"", ""bn"")"),"ভয়ঙ্কর")</f>
        <v>ভয়ঙ্কর</v>
      </c>
    </row>
    <row r="3531">
      <c r="A3531" s="2" t="s">
        <v>5822</v>
      </c>
      <c r="B3531" s="3" t="str">
        <f>IFERROR(__xludf.DUMMYFUNCTION("GOOGLETRANSLATE(A3531, ""ar"", ""bn"")"),"আতঙ্কজনক")</f>
        <v>আতঙ্কজনক</v>
      </c>
    </row>
    <row r="3532">
      <c r="A3532" s="2" t="s">
        <v>3402</v>
      </c>
      <c r="B3532" s="3" t="str">
        <f>IFERROR(__xludf.DUMMYFUNCTION("GOOGLETRANSLATE(A3532, ""ar"", ""bn"")"),"জঘন্য")</f>
        <v>জঘন্য</v>
      </c>
    </row>
    <row r="3533">
      <c r="A3533" s="2" t="s">
        <v>3402</v>
      </c>
      <c r="B3533" s="3" t="str">
        <f>IFERROR(__xludf.DUMMYFUNCTION("GOOGLETRANSLATE(A3533, ""ar"", ""bn"")"),"জঘন্য")</f>
        <v>জঘন্য</v>
      </c>
    </row>
    <row r="3534">
      <c r="A3534" s="2" t="s">
        <v>5824</v>
      </c>
      <c r="B3534" s="3" t="str">
        <f>IFERROR(__xludf.DUMMYFUNCTION("GOOGLETRANSLATE(A3534, ""ar"", ""bn"")"),"সন্ত্রাসিত")</f>
        <v>সন্ত্রাসিত</v>
      </c>
    </row>
    <row r="3535">
      <c r="A3535" s="2" t="s">
        <v>5825</v>
      </c>
      <c r="B3535" s="3" t="str">
        <f>IFERROR(__xludf.DUMMYFUNCTION("GOOGLETRANSLATE(A3535, ""ar"", ""bn"")"),"আতঙ্কিত করা")</f>
        <v>আতঙ্কিত করা</v>
      </c>
    </row>
    <row r="3536">
      <c r="A3536" s="2" t="s">
        <v>5822</v>
      </c>
      <c r="B3536" s="3" t="str">
        <f>IFERROR(__xludf.DUMMYFUNCTION("GOOGLETRANSLATE(A3536, ""ar"", ""bn"")"),"আতঙ্কজনক")</f>
        <v>আতঙ্কজনক</v>
      </c>
    </row>
    <row r="3537">
      <c r="A3537" s="2" t="s">
        <v>5822</v>
      </c>
      <c r="B3537" s="3" t="str">
        <f>IFERROR(__xludf.DUMMYFUNCTION("GOOGLETRANSLATE(A3537, ""ar"", ""bn"")"),"আতঙ্কজনক")</f>
        <v>আতঙ্কজনক</v>
      </c>
    </row>
    <row r="3538">
      <c r="A3538" s="2" t="s">
        <v>5477</v>
      </c>
      <c r="B3538" s="3" t="str">
        <f>IFERROR(__xludf.DUMMYFUNCTION("GOOGLETRANSLATE(A3538, ""ar"", ""bn"")"),"ভয়")</f>
        <v>ভয়</v>
      </c>
    </row>
    <row r="3539">
      <c r="A3539" s="2" t="s">
        <v>5826</v>
      </c>
      <c r="B3539" s="3" t="str">
        <f>IFERROR(__xludf.DUMMYFUNCTION("GOOGLETRANSLATE(A3539, ""ar"", ""bn"")"),"আতঙ্ক")</f>
        <v>আতঙ্ক</v>
      </c>
    </row>
    <row r="3540">
      <c r="A3540" s="2" t="s">
        <v>3393</v>
      </c>
      <c r="B3540" s="3" t="str">
        <f>IFERROR(__xludf.DUMMYFUNCTION("GOOGLETRANSLATE(A3540, ""ar"", ""bn"")"),"এপয়েন্টমেন্ট")</f>
        <v>এপয়েন্টমেন্ট</v>
      </c>
    </row>
    <row r="3541">
      <c r="A3541" s="2" t="s">
        <v>4066</v>
      </c>
      <c r="B3541" s="3" t="str">
        <f>IFERROR(__xludf.DUMMYFUNCTION("GOOGLETRANSLATE(A3541, ""ar"", ""bn"")"),"যুদ্ধ")</f>
        <v>যুদ্ধ</v>
      </c>
    </row>
    <row r="3542">
      <c r="A3542" s="2" t="s">
        <v>3377</v>
      </c>
      <c r="B3542" s="3" t="str">
        <f>IFERROR(__xludf.DUMMYFUNCTION("GOOGLETRANSLATE(A3542, ""ar"", ""bn"")"),"চর")</f>
        <v>চর</v>
      </c>
    </row>
    <row r="3543">
      <c r="A3543" s="2" t="s">
        <v>5827</v>
      </c>
      <c r="B3543" s="3" t="str">
        <f>IFERROR(__xludf.DUMMYFUNCTION("GOOGLETRANSLATE(A3543, ""ar"", ""bn"")"),"নাকাল")</f>
        <v>নাকাল</v>
      </c>
    </row>
    <row r="3544">
      <c r="A3544" s="2" t="s">
        <v>5828</v>
      </c>
      <c r="B3544" s="3" t="str">
        <f>IFERROR(__xludf.DUMMYFUNCTION("GOOGLETRANSLATE(A3544, ""ar"", ""bn"")"),"অবনমিত")</f>
        <v>অবনমিত</v>
      </c>
    </row>
    <row r="3545">
      <c r="A3545" s="2" t="s">
        <v>5829</v>
      </c>
      <c r="B3545" s="3" t="str">
        <f>IFERROR(__xludf.DUMMYFUNCTION("GOOGLETRANSLATE(A3545, ""ar"", ""bn"")"),"লাঞ্ছিত")</f>
        <v>লাঞ্ছিত</v>
      </c>
    </row>
    <row r="3546">
      <c r="A3546" s="2" t="s">
        <v>5830</v>
      </c>
      <c r="B3546" s="3" t="str">
        <f>IFERROR(__xludf.DUMMYFUNCTION("GOOGLETRANSLATE(A3546, ""ar"", ""bn"")"),"অপমানকর")</f>
        <v>অপমানকর</v>
      </c>
    </row>
    <row r="3547">
      <c r="A3547" s="2" t="s">
        <v>5831</v>
      </c>
      <c r="B3547" s="3" t="str">
        <f>IFERROR(__xludf.DUMMYFUNCTION("GOOGLETRANSLATE(A3547, ""ar"", ""bn"")"),"অপমানকর")</f>
        <v>অপমানকর</v>
      </c>
    </row>
    <row r="3548">
      <c r="A3548" s="2" t="s">
        <v>5827</v>
      </c>
      <c r="B3548" s="3" t="str">
        <f>IFERROR(__xludf.DUMMYFUNCTION("GOOGLETRANSLATE(A3548, ""ar"", ""bn"")"),"নাকাল")</f>
        <v>নাকাল</v>
      </c>
    </row>
    <row r="3549">
      <c r="A3549" s="2" t="s">
        <v>5832</v>
      </c>
      <c r="B3549" s="3" t="str">
        <f>IFERROR(__xludf.DUMMYFUNCTION("GOOGLETRANSLATE(A3549, ""ar"", ""bn"")"),"অপমান")</f>
        <v>অপমান</v>
      </c>
    </row>
    <row r="3550">
      <c r="A3550" s="2" t="s">
        <v>5833</v>
      </c>
      <c r="B3550" s="3" t="str">
        <f>IFERROR(__xludf.DUMMYFUNCTION("GOOGLETRANSLATE(A3550, ""ar"", ""bn"")"),"Humorless")</f>
        <v>Humorless</v>
      </c>
    </row>
    <row r="3551">
      <c r="A3551" s="2" t="s">
        <v>5834</v>
      </c>
      <c r="B3551" s="3" t="str">
        <f>IFERROR(__xludf.DUMMYFUNCTION("GOOGLETRANSLATE(A3551, ""ar"", ""bn"")"),"ক্ষুধা")</f>
        <v>ক্ষুধা</v>
      </c>
    </row>
    <row r="3552">
      <c r="A3552" s="2" t="s">
        <v>5835</v>
      </c>
      <c r="B3552" s="3" t="str">
        <f>IFERROR(__xludf.DUMMYFUNCTION("GOOGLETRANSLATE(A3552, ""ar"", ""bn"")"),"খিদে পেল")</f>
        <v>খিদে পেল</v>
      </c>
    </row>
    <row r="3553">
      <c r="A3553" s="2" t="s">
        <v>5836</v>
      </c>
      <c r="B3553" s="3" t="str">
        <f>IFERROR(__xludf.DUMMYFUNCTION("GOOGLETRANSLATE(A3553, ""ar"", ""bn"")"),"ক্ষুধিত")</f>
        <v>ক্ষুধিত</v>
      </c>
    </row>
    <row r="3554">
      <c r="A3554" s="2" t="s">
        <v>5837</v>
      </c>
      <c r="B3554" s="3" t="str">
        <f>IFERROR(__xludf.DUMMYFUNCTION("GOOGLETRANSLATE(A3554, ""ar"", ""bn"")"),"তৃষ্ণার্ত")</f>
        <v>তৃষ্ণার্ত</v>
      </c>
    </row>
    <row r="3555">
      <c r="A3555" s="2" t="s">
        <v>5838</v>
      </c>
      <c r="B3555" s="3" t="str">
        <f>IFERROR(__xludf.DUMMYFUNCTION("GOOGLETRANSLATE(A3555, ""ar"", ""bn"")"),"hungrier")</f>
        <v>hungrier</v>
      </c>
    </row>
    <row r="3556">
      <c r="A3556" s="2" t="s">
        <v>5839</v>
      </c>
      <c r="B3556" s="3" t="str">
        <f>IFERROR(__xludf.DUMMYFUNCTION("GOOGLETRANSLATE(A3556, ""ar"", ""bn"")"),"অনাহার")</f>
        <v>অনাহার</v>
      </c>
    </row>
    <row r="3557">
      <c r="A3557" s="2" t="s">
        <v>5840</v>
      </c>
      <c r="B3557" s="3" t="str">
        <f>IFERROR(__xludf.DUMMYFUNCTION("GOOGLETRANSLATE(A3557, ""ar"", ""bn"")"),"hungrily")</f>
        <v>hungrily</v>
      </c>
    </row>
    <row r="3558">
      <c r="A3558" s="2" t="s">
        <v>5841</v>
      </c>
      <c r="B3558" s="3" t="str">
        <f>IFERROR(__xludf.DUMMYFUNCTION("GOOGLETRANSLATE(A3558, ""ar"", ""bn"")"),"ক্ষুধার্ত")</f>
        <v>ক্ষুধার্ত</v>
      </c>
    </row>
    <row r="3559">
      <c r="A3559" s="2" t="s">
        <v>5842</v>
      </c>
      <c r="B3559" s="3" t="str">
        <f>IFERROR(__xludf.DUMMYFUNCTION("GOOGLETRANSLATE(A3559, ""ar"", ""bn"")"),"ফিশার মানুষ")</f>
        <v>ফিশার মানুষ</v>
      </c>
    </row>
    <row r="3560">
      <c r="A3560" s="2" t="s">
        <v>5843</v>
      </c>
      <c r="B3560" s="3" t="str">
        <f>IFERROR(__xludf.DUMMYFUNCTION("GOOGLETRANSLATE(A3560, ""ar"", ""bn"")"),"জেলেদের")</f>
        <v>জেলেদের</v>
      </c>
    </row>
    <row r="3561">
      <c r="A3561" s="2" t="s">
        <v>5844</v>
      </c>
      <c r="B3561" s="3" t="str">
        <f>IFERROR(__xludf.DUMMYFUNCTION("GOOGLETRANSLATE(A3561, ""ar"", ""bn"")"),"আহত")</f>
        <v>আহত</v>
      </c>
    </row>
    <row r="3562">
      <c r="A3562" s="2" t="s">
        <v>5845</v>
      </c>
      <c r="B3562" s="3" t="str">
        <f>IFERROR(__xludf.DUMMYFUNCTION("GOOGLETRANSLATE(A3562, ""ar"", ""bn"")"),"ক্ষতিকর")</f>
        <v>ক্ষতিকর</v>
      </c>
    </row>
    <row r="3563">
      <c r="A3563" s="2" t="s">
        <v>5722</v>
      </c>
      <c r="B3563" s="3" t="str">
        <f>IFERROR(__xludf.DUMMYFUNCTION("GOOGLETRANSLATE(A3563, ""ar"", ""bn"")"),"ক্ষতি")</f>
        <v>ক্ষতি</v>
      </c>
    </row>
    <row r="3564">
      <c r="A3564" s="2" t="s">
        <v>5846</v>
      </c>
      <c r="B3564" s="3" t="str">
        <f>IFERROR(__xludf.DUMMYFUNCTION("GOOGLETRANSLATE(A3564, ""ar"", ""bn"")"),"সশব্দে নিক্ষেপ করা")</f>
        <v>সশব্দে নিক্ষেপ করা</v>
      </c>
    </row>
    <row r="3565">
      <c r="A3565" s="2" t="s">
        <v>5847</v>
      </c>
      <c r="B3565" s="3" t="str">
        <f>IFERROR(__xludf.DUMMYFUNCTION("GOOGLETRANSLATE(A3565, ""ar"", ""bn"")"),"ভিড়")</f>
        <v>ভিড়</v>
      </c>
    </row>
    <row r="3566">
      <c r="A3566" s="2" t="s">
        <v>5848</v>
      </c>
      <c r="B3566" s="3" t="str">
        <f>IFERROR(__xludf.DUMMYFUNCTION("GOOGLETRANSLATE(A3566, ""ar"", ""bn"")"),"রাশেস")</f>
        <v>রাশেস</v>
      </c>
    </row>
    <row r="3567">
      <c r="A3567" s="2" t="s">
        <v>5849</v>
      </c>
      <c r="B3567" s="3" t="str">
        <f>IFERROR(__xludf.DUMMYFUNCTION("GOOGLETRANSLATE(A3567, ""ar"", ""bn"")"),"ভিড়")</f>
        <v>ভিড়</v>
      </c>
    </row>
    <row r="3568">
      <c r="A3568" s="2" t="s">
        <v>3252</v>
      </c>
      <c r="B3568" s="3" t="str">
        <f>IFERROR(__xludf.DUMMYFUNCTION("GOOGLETRANSLATE(A3568, ""ar"", ""bn"")"),"বেদনাদায়ক")</f>
        <v>বেদনাদায়ক</v>
      </c>
    </row>
    <row r="3569">
      <c r="A3569" s="2" t="s">
        <v>5850</v>
      </c>
      <c r="B3569" s="3" t="str">
        <f>IFERROR(__xludf.DUMMYFUNCTION("GOOGLETRANSLATE(A3569, ""ar"", ""bn"")"),"তাড়াহুড়া করা")</f>
        <v>তাড়াহুড়া করা</v>
      </c>
    </row>
    <row r="3570">
      <c r="A3570" s="2" t="s">
        <v>5851</v>
      </c>
      <c r="B3570" s="3" t="str">
        <f>IFERROR(__xludf.DUMMYFUNCTION("GOOGLETRANSLATE(A3570, ""ar"", ""bn"")"),"অর্থ প্রদান")</f>
        <v>অর্থ প্রদান</v>
      </c>
    </row>
    <row r="3571">
      <c r="A3571" s="2" t="s">
        <v>5463</v>
      </c>
      <c r="B3571" s="3" t="str">
        <f>IFERROR(__xludf.DUMMYFUNCTION("GOOGLETRANSLATE(A3571, ""ar"", ""bn"")"),"বিরূদ্ধে মানুষ")</f>
        <v>বিরূদ্ধে মানুষ</v>
      </c>
    </row>
    <row r="3572">
      <c r="A3572" s="2" t="s">
        <v>5852</v>
      </c>
      <c r="B3572" s="3" t="str">
        <f>IFERROR(__xludf.DUMMYFUNCTION("GOOGLETRANSLATE(A3572, ""ar"", ""bn"")"),"Hustlers")</f>
        <v>Hustlers</v>
      </c>
    </row>
    <row r="3573">
      <c r="A3573" s="2" t="s">
        <v>5853</v>
      </c>
      <c r="B3573" s="3" t="str">
        <f>IFERROR(__xludf.DUMMYFUNCTION("GOOGLETRANSLATE(A3573, ""ar"", ""bn"")"),"তাড়াহুড়া করা")</f>
        <v>তাড়াহুড়া করা</v>
      </c>
    </row>
    <row r="3574">
      <c r="A3574" s="2" t="s">
        <v>5463</v>
      </c>
      <c r="B3574" s="3" t="str">
        <f>IFERROR(__xludf.DUMMYFUNCTION("GOOGLETRANSLATE(A3574, ""ar"", ""bn"")"),"বিরূদ্ধে মানুষ")</f>
        <v>বিরূদ্ধে মানুষ</v>
      </c>
    </row>
    <row r="3575">
      <c r="A3575" s="2" t="s">
        <v>5852</v>
      </c>
      <c r="B3575" s="3" t="str">
        <f>IFERROR(__xludf.DUMMYFUNCTION("GOOGLETRANSLATE(A3575, ""ar"", ""bn"")"),"Hustlers")</f>
        <v>Hustlers</v>
      </c>
    </row>
    <row r="3576">
      <c r="A3576" s="2" t="s">
        <v>5854</v>
      </c>
      <c r="B3576" s="3" t="str">
        <f>IFERROR(__xludf.DUMMYFUNCTION("GOOGLETRANSLATE(A3576, ""ar"", ""bn"")"),"বিষণ্ণপ্রকৃতি")</f>
        <v>বিষণ্ণপ্রকৃতি</v>
      </c>
    </row>
    <row r="3577">
      <c r="A3577" s="2" t="s">
        <v>5855</v>
      </c>
      <c r="B3577" s="3" t="str">
        <f>IFERROR(__xludf.DUMMYFUNCTION("GOOGLETRANSLATE(A3577, ""ar"", ""bn"")"),"Hypochondriacal")</f>
        <v>Hypochondriacal</v>
      </c>
    </row>
    <row r="3578">
      <c r="A3578" s="2" t="s">
        <v>5856</v>
      </c>
      <c r="B3578" s="3" t="str">
        <f>IFERROR(__xludf.DUMMYFUNCTION("GOOGLETRANSLATE(A3578, ""ar"", ""bn"")"),"ভণ্ডামি")</f>
        <v>ভণ্ডামি</v>
      </c>
    </row>
    <row r="3579">
      <c r="A3579" s="2" t="s">
        <v>5857</v>
      </c>
      <c r="B3579" s="3" t="str">
        <f>IFERROR(__xludf.DUMMYFUNCTION("GOOGLETRANSLATE(A3579, ""ar"", ""bn"")"),"ভণ্ড")</f>
        <v>ভণ্ড</v>
      </c>
    </row>
    <row r="3580">
      <c r="A3580" s="2" t="s">
        <v>5858</v>
      </c>
      <c r="B3580" s="3" t="str">
        <f>IFERROR(__xludf.DUMMYFUNCTION("GOOGLETRANSLATE(A3580, ""ar"", ""bn"")"),"মুনাফিকরা")</f>
        <v>মুনাফিকরা</v>
      </c>
    </row>
    <row r="3581">
      <c r="A3581" s="2" t="s">
        <v>5859</v>
      </c>
      <c r="B3581" s="3" t="str">
        <f>IFERROR(__xludf.DUMMYFUNCTION("GOOGLETRANSLATE(A3581, ""ar"", ""bn"")"),"হিস্টিরিয়া")</f>
        <v>হিস্টিরিয়া</v>
      </c>
    </row>
    <row r="3582">
      <c r="A3582" s="2" t="s">
        <v>5860</v>
      </c>
      <c r="B3582" s="3" t="str">
        <f>IFERROR(__xludf.DUMMYFUNCTION("GOOGLETRANSLATE(A3582, ""ar"", ""bn"")"),"হিস্টিরিয়া-গ্রস্ত")</f>
        <v>হিস্টিরিয়া-গ্রস্ত</v>
      </c>
    </row>
    <row r="3583">
      <c r="A3583" s="2" t="s">
        <v>5861</v>
      </c>
      <c r="B3583" s="3" t="str">
        <f>IFERROR(__xludf.DUMMYFUNCTION("GOOGLETRANSLATE(A3583, ""ar"", ""bn"")"),"হিস্টিরিয়া-গ্রস্ত")</f>
        <v>হিস্টিরিয়া-গ্রস্ত</v>
      </c>
    </row>
    <row r="3584">
      <c r="A3584" s="2" t="s">
        <v>5862</v>
      </c>
      <c r="B3584" s="3" t="str">
        <f>IFERROR(__xludf.DUMMYFUNCTION("GOOGLETRANSLATE(A3584, ""ar"", ""bn"")"),"উদ্ধৃতিসমূহ")</f>
        <v>উদ্ধৃতিসমূহ</v>
      </c>
    </row>
    <row r="3585">
      <c r="A3585" s="2" t="s">
        <v>3823</v>
      </c>
      <c r="B3585" s="3" t="str">
        <f>IFERROR(__xludf.DUMMYFUNCTION("GOOGLETRANSLATE(A3585, ""ar"", ""bn"")"),"বিষ্ঠা")</f>
        <v>বিষ্ঠা</v>
      </c>
    </row>
    <row r="3586">
      <c r="A3586" s="2" t="s">
        <v>3697</v>
      </c>
      <c r="B3586" s="3" t="str">
        <f>IFERROR(__xludf.DUMMYFUNCTION("GOOGLETRANSLATE(A3586, ""ar"", ""bn"")"),"নির্বোধ")</f>
        <v>নির্বোধ</v>
      </c>
    </row>
    <row r="3587">
      <c r="A3587" s="2" t="s">
        <v>5863</v>
      </c>
      <c r="B3587" s="3" t="str">
        <f>IFERROR(__xludf.DUMMYFUNCTION("GOOGLETRANSLATE(A3587, ""ar"", ""bn"")"),"আহাম্মক")</f>
        <v>আহাম্মক</v>
      </c>
    </row>
    <row r="3588">
      <c r="A3588" s="2" t="s">
        <v>5864</v>
      </c>
      <c r="B3588" s="3" t="str">
        <f>IFERROR(__xludf.DUMMYFUNCTION("GOOGLETRANSLATE(A3588, ""ar"", ""bn"")"),"ইডিয়টের")</f>
        <v>ইডিয়টের</v>
      </c>
    </row>
    <row r="3589">
      <c r="A3589" s="2" t="s">
        <v>5865</v>
      </c>
      <c r="B3589" s="3" t="str">
        <f>IFERROR(__xludf.DUMMYFUNCTION("GOOGLETRANSLATE(A3589, ""ar"", ""bn"")"),"আলস্য")</f>
        <v>আলস্য</v>
      </c>
    </row>
    <row r="3590">
      <c r="A3590" s="2" t="s">
        <v>4184</v>
      </c>
      <c r="B3590" s="3" t="str">
        <f>IFERROR(__xludf.DUMMYFUNCTION("GOOGLETRANSLATE(A3590, ""ar"", ""bn"")"),"দুর্বৃত্ত")</f>
        <v>দুর্বৃত্ত</v>
      </c>
    </row>
    <row r="3591">
      <c r="A3591" s="2" t="s">
        <v>5866</v>
      </c>
      <c r="B3591" s="3" t="str">
        <f>IFERROR(__xludf.DUMMYFUNCTION("GOOGLETRANSLATE(A3591, ""ar"", ""bn"")"),"উপেক্ষিত")</f>
        <v>উপেক্ষিত</v>
      </c>
    </row>
    <row r="3592">
      <c r="A3592" s="2" t="s">
        <v>5867</v>
      </c>
      <c r="B3592" s="3" t="str">
        <f>IFERROR(__xludf.DUMMYFUNCTION("GOOGLETRANSLATE(A3592, ""ar"", ""bn"")"),"জানিতেছি না")</f>
        <v>জানিতেছি না</v>
      </c>
    </row>
    <row r="3593">
      <c r="A3593" s="2" t="s">
        <v>5868</v>
      </c>
      <c r="B3593" s="3" t="str">
        <f>IFERROR(__xludf.DUMMYFUNCTION("GOOGLETRANSLATE(A3593, ""ar"", ""bn"")"),"অজ্ঞ")</f>
        <v>অজ্ঞ</v>
      </c>
    </row>
    <row r="3594">
      <c r="A3594" s="2" t="s">
        <v>2942</v>
      </c>
      <c r="B3594" s="3" t="str">
        <f>IFERROR(__xludf.DUMMYFUNCTION("GOOGLETRANSLATE(A3594, ""ar"", ""bn"")"),"অজ্ঞতা")</f>
        <v>অজ্ঞতা</v>
      </c>
    </row>
    <row r="3595">
      <c r="A3595" s="2" t="s">
        <v>5869</v>
      </c>
      <c r="B3595" s="3" t="str">
        <f>IFERROR(__xludf.DUMMYFUNCTION("GOOGLETRANSLATE(A3595, ""ar"", ""bn"")"),"অজ্ঞ")</f>
        <v>অজ্ঞ</v>
      </c>
    </row>
    <row r="3596">
      <c r="A3596" s="2" t="s">
        <v>5870</v>
      </c>
      <c r="B3596" s="3" t="str">
        <f>IFERROR(__xludf.DUMMYFUNCTION("GOOGLETRANSLATE(A3596, ""ar"", ""bn"")"),"ঐসব")</f>
        <v>ঐসব</v>
      </c>
    </row>
    <row r="3597">
      <c r="A3597" s="2" t="s">
        <v>4925</v>
      </c>
      <c r="B3597" s="3" t="str">
        <f>IFERROR(__xludf.DUMMYFUNCTION("GOOGLETRANSLATE(A3597, ""ar"", ""bn"")"),"বাতিল করা")</f>
        <v>বাতিল করা</v>
      </c>
    </row>
    <row r="3598">
      <c r="A3598" s="2" t="s">
        <v>4925</v>
      </c>
      <c r="B3598" s="3" t="str">
        <f>IFERROR(__xludf.DUMMYFUNCTION("GOOGLETRANSLATE(A3598, ""ar"", ""bn"")"),"বাতিল করা")</f>
        <v>বাতিল করা</v>
      </c>
    </row>
    <row r="3599">
      <c r="A3599" s="2" t="s">
        <v>5871</v>
      </c>
      <c r="B3599" s="3" t="str">
        <f>IFERROR(__xludf.DUMMYFUNCTION("GOOGLETRANSLATE(A3599, ""ar"", ""bn"")"),"উপেক্ষা করে")</f>
        <v>উপেক্ষা করে</v>
      </c>
    </row>
    <row r="3600">
      <c r="A3600" s="2" t="s">
        <v>4925</v>
      </c>
      <c r="B3600" s="3" t="str">
        <f>IFERROR(__xludf.DUMMYFUNCTION("GOOGLETRANSLATE(A3600, ""ar"", ""bn"")"),"বাতিল করা")</f>
        <v>বাতিল করা</v>
      </c>
    </row>
    <row r="3601">
      <c r="A3601" s="2" t="s">
        <v>5872</v>
      </c>
      <c r="B3601" s="3" t="str">
        <f>IFERROR(__xludf.DUMMYFUNCTION("GOOGLETRANSLATE(A3601, ""ar"", ""bn"")"),"অসুস্থ")</f>
        <v>অসুস্থ</v>
      </c>
    </row>
    <row r="3602">
      <c r="A3602" s="2" t="s">
        <v>5873</v>
      </c>
      <c r="B3602" s="3" t="str">
        <f>IFERROR(__xludf.DUMMYFUNCTION("GOOGLETRANSLATE(A3602, ""ar"", ""bn"")"),"অবৈধ")</f>
        <v>অবৈধ</v>
      </c>
    </row>
    <row r="3603">
      <c r="A3603" s="2" t="s">
        <v>5874</v>
      </c>
      <c r="B3603" s="3" t="str">
        <f>IFERROR(__xludf.DUMMYFUNCTION("GOOGLETRANSLATE(A3603, ""ar"", ""bn"")"),"অনিয়ম")</f>
        <v>অনিয়ম</v>
      </c>
    </row>
    <row r="3604">
      <c r="A3604" s="2" t="s">
        <v>5875</v>
      </c>
      <c r="B3604" s="3" t="str">
        <f>IFERROR(__xludf.DUMMYFUNCTION("GOOGLETRANSLATE(A3604, ""ar"", ""bn"")"),"বৈধতা")</f>
        <v>বৈধতা</v>
      </c>
    </row>
    <row r="3605">
      <c r="A3605" s="2" t="s">
        <v>5876</v>
      </c>
      <c r="B3605" s="3" t="str">
        <f>IFERROR(__xludf.DUMMYFUNCTION("GOOGLETRANSLATE(A3605, ""ar"", ""bn"")"),"অবৈধভাবে")</f>
        <v>অবৈধভাবে</v>
      </c>
    </row>
    <row r="3606">
      <c r="A3606" s="2" t="s">
        <v>5877</v>
      </c>
      <c r="B3606" s="3" t="str">
        <f>IFERROR(__xludf.DUMMYFUNCTION("GOOGLETRANSLATE(A3606, ""ar"", ""bn"")"),"পড়ুন")</f>
        <v>পড়ুন</v>
      </c>
    </row>
    <row r="3607">
      <c r="A3607" s="2" t="s">
        <v>5878</v>
      </c>
      <c r="B3607" s="3" t="str">
        <f>IFERROR(__xludf.DUMMYFUNCTION("GOOGLETRANSLATE(A3607, ""ar"", ""bn"")"),"অপঠিত")</f>
        <v>অপঠিত</v>
      </c>
    </row>
    <row r="3608">
      <c r="A3608" s="2" t="s">
        <v>5879</v>
      </c>
      <c r="B3608" s="3" t="str">
        <f>IFERROR(__xludf.DUMMYFUNCTION("GOOGLETRANSLATE(A3608, ""ar"", ""bn"")"),"Illegibly")</f>
        <v>Illegibly</v>
      </c>
    </row>
    <row r="3609">
      <c r="A3609" s="2" t="s">
        <v>3544</v>
      </c>
      <c r="B3609" s="3" t="str">
        <f>IFERROR(__xludf.DUMMYFUNCTION("GOOGLETRANSLATE(A3609, ""ar"", ""bn"")"),"জারজতা")</f>
        <v>জারজতা</v>
      </c>
    </row>
    <row r="3610">
      <c r="A3610" s="2" t="s">
        <v>5873</v>
      </c>
      <c r="B3610" s="3" t="str">
        <f>IFERROR(__xludf.DUMMYFUNCTION("GOOGLETRANSLATE(A3610, ""ar"", ""bn"")"),"অবৈধ")</f>
        <v>অবৈধ</v>
      </c>
    </row>
    <row r="3611">
      <c r="A3611" s="2" t="s">
        <v>5880</v>
      </c>
      <c r="B3611" s="3" t="str">
        <f>IFERROR(__xludf.DUMMYFUNCTION("GOOGLETRANSLATE(A3611, ""ar"", ""bn"")"),"অবৈধভাবে")</f>
        <v>অবৈধভাবে</v>
      </c>
    </row>
    <row r="3612">
      <c r="A3612" s="2" t="s">
        <v>3638</v>
      </c>
      <c r="B3612" s="3" t="str">
        <f>IFERROR(__xludf.DUMMYFUNCTION("GOOGLETRANSLATE(A3612, ""ar"", ""bn"")"),"ধর্মান্ধ")</f>
        <v>ধর্মান্ধ</v>
      </c>
    </row>
    <row r="3613">
      <c r="A3613" s="2" t="s">
        <v>5881</v>
      </c>
      <c r="B3613" s="3" t="str">
        <f>IFERROR(__xludf.DUMMYFUNCTION("GOOGLETRANSLATE(A3613, ""ar"", ""bn"")"),"অবৈধ")</f>
        <v>অবৈধ</v>
      </c>
    </row>
    <row r="3614">
      <c r="A3614" s="2" t="s">
        <v>5876</v>
      </c>
      <c r="B3614" s="3" t="str">
        <f>IFERROR(__xludf.DUMMYFUNCTION("GOOGLETRANSLATE(A3614, ""ar"", ""bn"")"),"অবৈধভাবে")</f>
        <v>অবৈধভাবে</v>
      </c>
    </row>
    <row r="3615">
      <c r="A3615" s="2" t="s">
        <v>5882</v>
      </c>
      <c r="B3615" s="3" t="str">
        <f>IFERROR(__xludf.DUMMYFUNCTION("GOOGLETRANSLATE(A3615, ""ar"", ""bn"")"),"অনির্দিষ্ট")</f>
        <v>অনির্দিষ্ট</v>
      </c>
    </row>
    <row r="3616">
      <c r="A3616" s="2" t="s">
        <v>5883</v>
      </c>
      <c r="B3616" s="3" t="str">
        <f>IFERROR(__xludf.DUMMYFUNCTION("GOOGLETRANSLATE(A3616, ""ar"", ""bn"")"),"ইলিনয়")</f>
        <v>ইলিনয়</v>
      </c>
    </row>
    <row r="3617">
      <c r="A3617" s="2" t="s">
        <v>5884</v>
      </c>
      <c r="B3617" s="3" t="str">
        <f>IFERROR(__xludf.DUMMYFUNCTION("GOOGLETRANSLATE(A3617, ""ar"", ""bn"")"),"তরল")</f>
        <v>তরল</v>
      </c>
    </row>
    <row r="3618">
      <c r="A3618" s="2" t="s">
        <v>5885</v>
      </c>
      <c r="B3618" s="3" t="str">
        <f>IFERROR(__xludf.DUMMYFUNCTION("GOOGLETRANSLATE(A3618, ""ar"", ""bn"")"),"নিরক্ষরতা")</f>
        <v>নিরক্ষরতা</v>
      </c>
    </row>
    <row r="3619">
      <c r="A3619" s="2" t="s">
        <v>5886</v>
      </c>
      <c r="B3619" s="3" t="str">
        <f>IFERROR(__xludf.DUMMYFUNCTION("GOOGLETRANSLATE(A3619, ""ar"", ""bn"")"),"নিরক্ষর")</f>
        <v>নিরক্ষর</v>
      </c>
    </row>
    <row r="3620">
      <c r="A3620" s="2" t="s">
        <v>5887</v>
      </c>
      <c r="B3620" s="3" t="str">
        <f>IFERROR(__xludf.DUMMYFUNCTION("GOOGLETRANSLATE(A3620, ""ar"", ""bn"")"),"নিরক্ষর")</f>
        <v>নিরক্ষর</v>
      </c>
    </row>
    <row r="3621">
      <c r="A3621" s="2" t="s">
        <v>3319</v>
      </c>
      <c r="B3621" s="3" t="str">
        <f>IFERROR(__xludf.DUMMYFUNCTION("GOOGLETRANSLATE(A3621, ""ar"", ""bn"")"),"অসুস্থতা")</f>
        <v>অসুস্থতা</v>
      </c>
    </row>
    <row r="3622">
      <c r="A3622" s="2" t="s">
        <v>4856</v>
      </c>
      <c r="B3622" s="3" t="str">
        <f>IFERROR(__xludf.DUMMYFUNCTION("GOOGLETRANSLATE(A3622, ""ar"", ""bn"")"),"রোগ")</f>
        <v>রোগ</v>
      </c>
    </row>
    <row r="3623">
      <c r="A3623" s="2" t="s">
        <v>5888</v>
      </c>
      <c r="B3623" s="3" t="str">
        <f>IFERROR(__xludf.DUMMYFUNCTION("GOOGLETRANSLATE(A3623, ""ar"", ""bn"")"),"Illogic")</f>
        <v>Illogic</v>
      </c>
    </row>
    <row r="3624">
      <c r="A3624" s="2" t="s">
        <v>5889</v>
      </c>
      <c r="B3624" s="3" t="str">
        <f>IFERROR(__xludf.DUMMYFUNCTION("GOOGLETRANSLATE(A3624, ""ar"", ""bn"")"),"অযৌক্তিক")</f>
        <v>অযৌক্তিক</v>
      </c>
    </row>
    <row r="3625">
      <c r="A3625" s="2" t="s">
        <v>5890</v>
      </c>
      <c r="B3625" s="3" t="str">
        <f>IFERROR(__xludf.DUMMYFUNCTION("GOOGLETRANSLATE(A3625, ""ar"", ""bn"")"),"অযৌক্তিকতা")</f>
        <v>অযৌক্তিকতা</v>
      </c>
    </row>
    <row r="3626">
      <c r="A3626" s="2" t="s">
        <v>5889</v>
      </c>
      <c r="B3626" s="3" t="str">
        <f>IFERROR(__xludf.DUMMYFUNCTION("GOOGLETRANSLATE(A3626, ""ar"", ""bn"")"),"অযৌক্তিক")</f>
        <v>অযৌক্তিক</v>
      </c>
    </row>
    <row r="3627">
      <c r="A3627" s="2" t="s">
        <v>5891</v>
      </c>
      <c r="B3627" s="3" t="str">
        <f>IFERROR(__xludf.DUMMYFUNCTION("GOOGLETRANSLATE(A3627, ""ar"", ""bn"")"),"দুর্ভাগ্য")</f>
        <v>দুর্ভাগ্য</v>
      </c>
    </row>
    <row r="3628">
      <c r="A3628" s="2" t="s">
        <v>5892</v>
      </c>
      <c r="B3628" s="3" t="str">
        <f>IFERROR(__xludf.DUMMYFUNCTION("GOOGLETRANSLATE(A3628, ""ar"", ""bn"")"),"প্রজ্বলন")</f>
        <v>প্রজ্বলন</v>
      </c>
    </row>
    <row r="3629">
      <c r="A3629" s="2" t="s">
        <v>5893</v>
      </c>
      <c r="B3629" s="3" t="str">
        <f>IFERROR(__xludf.DUMMYFUNCTION("GOOGLETRANSLATE(A3629, ""ar"", ""bn"")"),"আমি দ আছি")</f>
        <v>আমি দ আছি</v>
      </c>
    </row>
    <row r="3630">
      <c r="A3630" s="2" t="s">
        <v>5894</v>
      </c>
      <c r="B3630" s="3" t="str">
        <f>IFERROR(__xludf.DUMMYFUNCTION("GOOGLETRANSLATE(A3630, ""ar"", ""bn"")"),"উদ্ভাসিত")</f>
        <v>উদ্ভাসিত</v>
      </c>
    </row>
    <row r="3631">
      <c r="A3631" s="2" t="s">
        <v>5895</v>
      </c>
      <c r="B3631" s="3" t="str">
        <f>IFERROR(__xludf.DUMMYFUNCTION("GOOGLETRANSLATE(A3631, ""ar"", ""bn"")"),"উদ্ভাসিত")</f>
        <v>উদ্ভাসিত</v>
      </c>
    </row>
    <row r="3632">
      <c r="A3632" s="2" t="s">
        <v>5896</v>
      </c>
      <c r="B3632" s="3" t="str">
        <f>IFERROR(__xludf.DUMMYFUNCTION("GOOGLETRANSLATE(A3632, ""ar"", ""bn"")"),"উপর হালকা চালা")</f>
        <v>উপর হালকা চালা</v>
      </c>
    </row>
    <row r="3633">
      <c r="A3633" s="2" t="s">
        <v>5897</v>
      </c>
      <c r="B3633" s="3" t="str">
        <f>IFERROR(__xludf.DUMMYFUNCTION("GOOGLETRANSLATE(A3633, ""ar"", ""bn"")"),"আলো")</f>
        <v>আলো</v>
      </c>
    </row>
    <row r="3634">
      <c r="A3634" s="2" t="s">
        <v>5898</v>
      </c>
      <c r="B3634" s="3" t="str">
        <f>IFERROR(__xludf.DUMMYFUNCTION("GOOGLETRANSLATE(A3634, ""ar"", ""bn"")"),"হাইলাইট")</f>
        <v>হাইলাইট</v>
      </c>
    </row>
    <row r="3635">
      <c r="A3635" s="2" t="s">
        <v>5893</v>
      </c>
      <c r="B3635" s="3" t="str">
        <f>IFERROR(__xludf.DUMMYFUNCTION("GOOGLETRANSLATE(A3635, ""ar"", ""bn"")"),"আমি দ আছি")</f>
        <v>আমি দ আছি</v>
      </c>
    </row>
    <row r="3636">
      <c r="A3636" s="2" t="s">
        <v>4548</v>
      </c>
      <c r="B3636" s="3" t="str">
        <f>IFERROR(__xludf.DUMMYFUNCTION("GOOGLETRANSLATE(A3636, ""ar"", ""bn"")"),"বিভ্রম")</f>
        <v>বিভ্রম</v>
      </c>
    </row>
    <row r="3637">
      <c r="A3637" s="2" t="s">
        <v>4470</v>
      </c>
      <c r="B3637" s="3" t="str">
        <f>IFERROR(__xludf.DUMMYFUNCTION("GOOGLETRANSLATE(A3637, ""ar"", ""bn"")"),"শঠ")</f>
        <v>শঠ</v>
      </c>
    </row>
    <row r="3638">
      <c r="A3638" s="2" t="s">
        <v>5899</v>
      </c>
      <c r="B3638" s="3" t="str">
        <f>IFERROR(__xludf.DUMMYFUNCTION("GOOGLETRANSLATE(A3638, ""ar"", ""bn"")"),"ডাইনিরা")</f>
        <v>ডাইনিরা</v>
      </c>
    </row>
    <row r="3639">
      <c r="A3639" s="2" t="s">
        <v>5900</v>
      </c>
      <c r="B3639" s="3" t="str">
        <f>IFERROR(__xludf.DUMMYFUNCTION("GOOGLETRANSLATE(A3639, ""ar"", ""bn"")"),"illusions")</f>
        <v>illusions</v>
      </c>
    </row>
    <row r="3640">
      <c r="A3640" s="2" t="s">
        <v>4470</v>
      </c>
      <c r="B3640" s="3" t="str">
        <f>IFERROR(__xludf.DUMMYFUNCTION("GOOGLETRANSLATE(A3640, ""ar"", ""bn"")"),"শঠ")</f>
        <v>শঠ</v>
      </c>
    </row>
    <row r="3641">
      <c r="A3641" s="2" t="s">
        <v>4473</v>
      </c>
      <c r="B3641" s="3" t="str">
        <f>IFERROR(__xludf.DUMMYFUNCTION("GOOGLETRANSLATE(A3641, ""ar"", ""bn"")"),"বিভ্রান্তিকর")</f>
        <v>বিভ্রান্তিকর</v>
      </c>
    </row>
    <row r="3642">
      <c r="A3642" s="2" t="s">
        <v>5901</v>
      </c>
      <c r="B3642" s="3" t="str">
        <f>IFERROR(__xludf.DUMMYFUNCTION("GOOGLETRANSLATE(A3642, ""ar"", ""bn"")"),"শোধন")</f>
        <v>শোধন</v>
      </c>
    </row>
    <row r="3643">
      <c r="A3643" s="2" t="s">
        <v>5902</v>
      </c>
      <c r="B3643" s="3" t="str">
        <f>IFERROR(__xludf.DUMMYFUNCTION("GOOGLETRANSLATE(A3643, ""ar"", ""bn"")"),"পরিষ্কার")</f>
        <v>পরিষ্কার</v>
      </c>
    </row>
    <row r="3644">
      <c r="A3644" s="2" t="s">
        <v>4568</v>
      </c>
      <c r="B3644" s="3" t="str">
        <f>IFERROR(__xludf.DUMMYFUNCTION("GOOGLETRANSLATE(A3644, ""ar"", ""bn"")"),"প্রকাশ")</f>
        <v>প্রকাশ</v>
      </c>
    </row>
    <row r="3645">
      <c r="A3645" s="2" t="s">
        <v>5903</v>
      </c>
      <c r="B3645" s="3" t="str">
        <f>IFERROR(__xludf.DUMMYFUNCTION("GOOGLETRANSLATE(A3645, ""ar"", ""bn"")"),"শো")</f>
        <v>শো</v>
      </c>
    </row>
    <row r="3646">
      <c r="A3646" s="2" t="s">
        <v>5901</v>
      </c>
      <c r="B3646" s="3" t="str">
        <f>IFERROR(__xludf.DUMMYFUNCTION("GOOGLETRANSLATE(A3646, ""ar"", ""bn"")"),"শোধন")</f>
        <v>শোধন</v>
      </c>
    </row>
    <row r="3647">
      <c r="A3647" s="2" t="s">
        <v>5904</v>
      </c>
      <c r="B3647" s="3" t="str">
        <f>IFERROR(__xludf.DUMMYFUNCTION("GOOGLETRANSLATE(A3647, ""ar"", ""bn"")"),"ইনফোগ্রাফিকস")</f>
        <v>ইনফোগ্রাফিকস</v>
      </c>
    </row>
    <row r="3648">
      <c r="A3648" s="2" t="s">
        <v>929</v>
      </c>
      <c r="B3648" s="3" t="str">
        <f>IFERROR(__xludf.DUMMYFUNCTION("GOOGLETRANSLATE(A3648, ""ar"", ""bn"")"),"ক্যাপশন")</f>
        <v>ক্যাপশন</v>
      </c>
    </row>
    <row r="3649">
      <c r="A3649" s="2" t="s">
        <v>5905</v>
      </c>
      <c r="B3649" s="3" t="str">
        <f>IFERROR(__xludf.DUMMYFUNCTION("GOOGLETRANSLATE(A3649, ""ar"", ""bn"")"),"আলোকচিত্র-গ্রহণকারী")</f>
        <v>আলোকচিত্র-গ্রহণকারী</v>
      </c>
    </row>
    <row r="3650">
      <c r="A3650" s="2" t="s">
        <v>5906</v>
      </c>
      <c r="B3650" s="3" t="str">
        <f>IFERROR(__xludf.DUMMYFUNCTION("GOOGLETRANSLATE(A3650, ""ar"", ""bn"")"),"মিস্ত্রি")</f>
        <v>মিস্ত্রি</v>
      </c>
    </row>
    <row r="3651">
      <c r="A3651" s="2" t="s">
        <v>3889</v>
      </c>
      <c r="B3651" s="3" t="str">
        <f>IFERROR(__xludf.DUMMYFUNCTION("GOOGLETRANSLATE(A3651, ""ar"", ""bn"")"),"উজ্জ্বল")</f>
        <v>উজ্জ্বল</v>
      </c>
    </row>
    <row r="3652">
      <c r="A3652" s="2" t="s">
        <v>5873</v>
      </c>
      <c r="B3652" s="3" t="str">
        <f>IFERROR(__xludf.DUMMYFUNCTION("GOOGLETRANSLATE(A3652, ""ar"", ""bn"")"),"অবৈধ")</f>
        <v>অবৈধ</v>
      </c>
    </row>
    <row r="3653">
      <c r="A3653" s="2" t="s">
        <v>5874</v>
      </c>
      <c r="B3653" s="3" t="str">
        <f>IFERROR(__xludf.DUMMYFUNCTION("GOOGLETRANSLATE(A3653, ""ar"", ""bn"")"),"অনিয়ম")</f>
        <v>অনিয়ম</v>
      </c>
    </row>
    <row r="3654">
      <c r="A3654" s="2" t="s">
        <v>5875</v>
      </c>
      <c r="B3654" s="3" t="str">
        <f>IFERROR(__xludf.DUMMYFUNCTION("GOOGLETRANSLATE(A3654, ""ar"", ""bn"")"),"বৈধতা")</f>
        <v>বৈধতা</v>
      </c>
    </row>
    <row r="3655">
      <c r="A3655" s="2" t="s">
        <v>5876</v>
      </c>
      <c r="B3655" s="3" t="str">
        <f>IFERROR(__xludf.DUMMYFUNCTION("GOOGLETRANSLATE(A3655, ""ar"", ""bn"")"),"অবৈধভাবে")</f>
        <v>অবৈধভাবে</v>
      </c>
    </row>
    <row r="3656">
      <c r="A3656" s="2" t="s">
        <v>5875</v>
      </c>
      <c r="B3656" s="3" t="str">
        <f>IFERROR(__xludf.DUMMYFUNCTION("GOOGLETRANSLATE(A3656, ""ar"", ""bn"")"),"বৈধতা")</f>
        <v>বৈধতা</v>
      </c>
    </row>
    <row r="3657">
      <c r="A3657" s="2" t="s">
        <v>5886</v>
      </c>
      <c r="B3657" s="3" t="str">
        <f>IFERROR(__xludf.DUMMYFUNCTION("GOOGLETRANSLATE(A3657, ""ar"", ""bn"")"),"নিরক্ষর")</f>
        <v>নিরক্ষর</v>
      </c>
    </row>
    <row r="3658">
      <c r="A3658" s="2" t="s">
        <v>5887</v>
      </c>
      <c r="B3658" s="3" t="str">
        <f>IFERROR(__xludf.DUMMYFUNCTION("GOOGLETRANSLATE(A3658, ""ar"", ""bn"")"),"নিরক্ষর")</f>
        <v>নিরক্ষর</v>
      </c>
    </row>
    <row r="3659">
      <c r="A3659" s="2" t="s">
        <v>3319</v>
      </c>
      <c r="B3659" s="3" t="str">
        <f>IFERROR(__xludf.DUMMYFUNCTION("GOOGLETRANSLATE(A3659, ""ar"", ""bn"")"),"অসুস্থতা")</f>
        <v>অসুস্থতা</v>
      </c>
    </row>
    <row r="3660">
      <c r="A3660" s="2" t="s">
        <v>4856</v>
      </c>
      <c r="B3660" s="3" t="str">
        <f>IFERROR(__xludf.DUMMYFUNCTION("GOOGLETRANSLATE(A3660, ""ar"", ""bn"")"),"রোগ")</f>
        <v>রোগ</v>
      </c>
    </row>
    <row r="3661">
      <c r="A3661" s="2" t="s">
        <v>5889</v>
      </c>
      <c r="B3661" s="3" t="str">
        <f>IFERROR(__xludf.DUMMYFUNCTION("GOOGLETRANSLATE(A3661, ""ar"", ""bn"")"),"অযৌক্তিক")</f>
        <v>অযৌক্তিক</v>
      </c>
    </row>
    <row r="3662">
      <c r="A3662" s="2" t="s">
        <v>5890</v>
      </c>
      <c r="B3662" s="3" t="str">
        <f>IFERROR(__xludf.DUMMYFUNCTION("GOOGLETRANSLATE(A3662, ""ar"", ""bn"")"),"অযৌক্তিকতা")</f>
        <v>অযৌক্তিকতা</v>
      </c>
    </row>
    <row r="3663">
      <c r="A3663" s="2" t="s">
        <v>5889</v>
      </c>
      <c r="B3663" s="3" t="str">
        <f>IFERROR(__xludf.DUMMYFUNCTION("GOOGLETRANSLATE(A3663, ""ar"", ""bn"")"),"অযৌক্তিক")</f>
        <v>অযৌক্তিক</v>
      </c>
    </row>
    <row r="3664">
      <c r="A3664" s="2" t="s">
        <v>3426</v>
      </c>
      <c r="B3664" s="3" t="str">
        <f>IFERROR(__xludf.DUMMYFUNCTION("GOOGLETRANSLATE(A3664, ""ar"", ""bn"")"),"পায়ী")</f>
        <v>পায়ী</v>
      </c>
    </row>
    <row r="3665">
      <c r="A3665" s="2" t="s">
        <v>5864</v>
      </c>
      <c r="B3665" s="3" t="str">
        <f>IFERROR(__xludf.DUMMYFUNCTION("GOOGLETRANSLATE(A3665, ""ar"", ""bn"")"),"ইডিয়টের")</f>
        <v>ইডিয়টের</v>
      </c>
    </row>
    <row r="3666">
      <c r="A3666" s="2" t="s">
        <v>5907</v>
      </c>
      <c r="B3666" s="3" t="str">
        <f>IFERROR(__xludf.DUMMYFUNCTION("GOOGLETRANSLATE(A3666, ""ar"", ""bn"")"),"অপূর্ণাঙ্গ")</f>
        <v>অপূর্ণাঙ্গ</v>
      </c>
    </row>
    <row r="3667">
      <c r="A3667" s="2" t="s">
        <v>5908</v>
      </c>
      <c r="B3667" s="3" t="str">
        <f>IFERROR(__xludf.DUMMYFUNCTION("GOOGLETRANSLATE(A3667, ""ar"", ""bn"")"),"বিপথগামী")</f>
        <v>বিপথগামী</v>
      </c>
    </row>
    <row r="3668">
      <c r="A3668" s="2" t="s">
        <v>5909</v>
      </c>
      <c r="B3668" s="3" t="str">
        <f>IFERROR(__xludf.DUMMYFUNCTION("GOOGLETRANSLATE(A3668, ""ar"", ""bn"")"),"অচল অবস্থা")</f>
        <v>অচল অবস্থা</v>
      </c>
    </row>
    <row r="3669">
      <c r="A3669" s="2" t="s">
        <v>5910</v>
      </c>
      <c r="B3669" s="3" t="str">
        <f>IFERROR(__xludf.DUMMYFUNCTION("GOOGLETRANSLATE(A3669, ""ar"", ""bn"")"),"অসৎ")</f>
        <v>অসৎ</v>
      </c>
    </row>
    <row r="3670">
      <c r="A3670" s="2" t="s">
        <v>5911</v>
      </c>
      <c r="B3670" s="3" t="str">
        <f>IFERROR(__xludf.DUMMYFUNCTION("GOOGLETRANSLATE(A3670, ""ar"", ""bn"")"),"ব্যভিচার")</f>
        <v>ব্যভিচার</v>
      </c>
    </row>
    <row r="3671">
      <c r="A3671" s="2" t="s">
        <v>5912</v>
      </c>
      <c r="B3671" s="3" t="str">
        <f>IFERROR(__xludf.DUMMYFUNCTION("GOOGLETRANSLATE(A3671, ""ar"", ""bn"")"),"অনৈতিক")</f>
        <v>অনৈতিক</v>
      </c>
    </row>
    <row r="3672">
      <c r="A3672" s="2" t="s">
        <v>5913</v>
      </c>
      <c r="B3672" s="3" t="str">
        <f>IFERROR(__xludf.DUMMYFUNCTION("GOOGLETRANSLATE(A3672, ""ar"", ""bn"")"),"ফিক্সড")</f>
        <v>ফিক্সড</v>
      </c>
    </row>
    <row r="3673">
      <c r="A3673" s="2" t="s">
        <v>5914</v>
      </c>
      <c r="B3673" s="3" t="str">
        <f>IFERROR(__xludf.DUMMYFUNCTION("GOOGLETRANSLATE(A3673, ""ar"", ""bn"")"),"Weakens")</f>
        <v>Weakens</v>
      </c>
    </row>
    <row r="3674">
      <c r="A3674" s="2" t="s">
        <v>5362</v>
      </c>
      <c r="B3674" s="3" t="str">
        <f>IFERROR(__xludf.DUMMYFUNCTION("GOOGLETRANSLATE(A3674, ""ar"", ""bn"")"),"দুর্বলতা")</f>
        <v>দুর্বলতা</v>
      </c>
    </row>
    <row r="3675">
      <c r="A3675" s="2" t="s">
        <v>5915</v>
      </c>
      <c r="B3675" s="3" t="str">
        <f>IFERROR(__xludf.DUMMYFUNCTION("GOOGLETRANSLATE(A3675, ""ar"", ""bn"")"),"অক্ষমতা")</f>
        <v>অক্ষমতা</v>
      </c>
    </row>
    <row r="3676">
      <c r="A3676" s="2" t="s">
        <v>5362</v>
      </c>
      <c r="B3676" s="3" t="str">
        <f>IFERROR(__xludf.DUMMYFUNCTION("GOOGLETRANSLATE(A3676, ""ar"", ""bn"")"),"দুর্বলতা")</f>
        <v>দুর্বলতা</v>
      </c>
    </row>
    <row r="3677">
      <c r="A3677" s="2" t="s">
        <v>5916</v>
      </c>
      <c r="B3677" s="3" t="str">
        <f>IFERROR(__xludf.DUMMYFUNCTION("GOOGLETRANSLATE(A3677, ""ar"", ""bn"")"),"ইন্দ্রিয়গুলোর")</f>
        <v>ইন্দ্রিয়গুলোর</v>
      </c>
    </row>
    <row r="3678">
      <c r="A3678" s="2" t="s">
        <v>5917</v>
      </c>
      <c r="B3678" s="3" t="str">
        <f>IFERROR(__xludf.DUMMYFUNCTION("GOOGLETRANSLATE(A3678, ""ar"", ""bn"")"),"ব্যাহত")</f>
        <v>ব্যাহত</v>
      </c>
    </row>
    <row r="3679">
      <c r="A3679" s="2" t="s">
        <v>4442</v>
      </c>
      <c r="B3679" s="3" t="str">
        <f>IFERROR(__xludf.DUMMYFUNCTION("GOOGLETRANSLATE(A3679, ""ar"", ""bn"")"),"কানাগলি")</f>
        <v>কানাগলি</v>
      </c>
    </row>
    <row r="3680">
      <c r="A3680" s="2" t="s">
        <v>5918</v>
      </c>
      <c r="B3680" s="3" t="str">
        <f>IFERROR(__xludf.DUMMYFUNCTION("GOOGLETRANSLATE(A3680, ""ar"", ""bn"")"),"অস্থিরতা")</f>
        <v>অস্থিরতা</v>
      </c>
    </row>
    <row r="3681">
      <c r="A3681" s="2" t="s">
        <v>5919</v>
      </c>
      <c r="B3681" s="3" t="str">
        <f>IFERROR(__xludf.DUMMYFUNCTION("GOOGLETRANSLATE(A3681, ""ar"", ""bn"")"),"অধীর")</f>
        <v>অধীর</v>
      </c>
    </row>
    <row r="3682">
      <c r="A3682" s="2" t="s">
        <v>5920</v>
      </c>
      <c r="B3682" s="3" t="str">
        <f>IFERROR(__xludf.DUMMYFUNCTION("GOOGLETRANSLATE(A3682, ""ar"", ""bn"")"),"সাগ্রহে")</f>
        <v>সাগ্রহে</v>
      </c>
    </row>
    <row r="3683">
      <c r="A3683" s="2" t="s">
        <v>5783</v>
      </c>
      <c r="B3683" s="3" t="str">
        <f>IFERROR(__xludf.DUMMYFUNCTION("GOOGLETRANSLATE(A3683, ""ar"", ""bn"")"),"বিঘ্ন")</f>
        <v>বিঘ্ন</v>
      </c>
    </row>
    <row r="3684">
      <c r="A3684" s="2" t="s">
        <v>5781</v>
      </c>
      <c r="B3684" s="3" t="str">
        <f>IFERROR(__xludf.DUMMYFUNCTION("GOOGLETRANSLATE(A3684, ""ar"", ""bn"")"),"আটকান")</f>
        <v>আটকান</v>
      </c>
    </row>
    <row r="3685">
      <c r="A3685" s="2" t="s">
        <v>5917</v>
      </c>
      <c r="B3685" s="3" t="str">
        <f>IFERROR(__xludf.DUMMYFUNCTION("GOOGLETRANSLATE(A3685, ""ar"", ""bn"")"),"ব্যাহত")</f>
        <v>ব্যাহত</v>
      </c>
    </row>
    <row r="3686">
      <c r="A3686" s="2" t="s">
        <v>5692</v>
      </c>
      <c r="B3686" s="3" t="str">
        <f>IFERROR(__xludf.DUMMYFUNCTION("GOOGLETRANSLATE(A3686, ""ar"", ""bn"")"),"অন্তরায়")</f>
        <v>অন্তরায়</v>
      </c>
    </row>
    <row r="3687">
      <c r="A3687" s="2" t="s">
        <v>5694</v>
      </c>
      <c r="B3687" s="3" t="str">
        <f>IFERROR(__xludf.DUMMYFUNCTION("GOOGLETRANSLATE(A3687, ""ar"", ""bn"")"),"অবমুক্ত")</f>
        <v>অবমুক্ত</v>
      </c>
    </row>
    <row r="3688">
      <c r="A3688" s="2" t="s">
        <v>5921</v>
      </c>
      <c r="B3688" s="3" t="str">
        <f>IFERROR(__xludf.DUMMYFUNCTION("GOOGLETRANSLATE(A3688, ""ar"", ""bn"")"),"অবমুক্ত")</f>
        <v>অবমুক্ত</v>
      </c>
    </row>
    <row r="3689">
      <c r="A3689" s="2" t="s">
        <v>4523</v>
      </c>
      <c r="B3689" s="3" t="str">
        <f>IFERROR(__xludf.DUMMYFUNCTION("GOOGLETRANSLATE(A3689, ""ar"", ""bn"")"),"ঋণচিহ্ন")</f>
        <v>ঋণচিহ্ন</v>
      </c>
    </row>
    <row r="3690">
      <c r="A3690" s="2" t="s">
        <v>4522</v>
      </c>
      <c r="B3690" s="3" t="str">
        <f>IFERROR(__xludf.DUMMYFUNCTION("GOOGLETRANSLATE(A3690, ""ar"", ""bn"")"),"স্বল্পতা")</f>
        <v>স্বল্পতা</v>
      </c>
    </row>
    <row r="3691">
      <c r="A3691" s="2" t="s">
        <v>4812</v>
      </c>
      <c r="B3691" s="3" t="str">
        <f>IFERROR(__xludf.DUMMYFUNCTION("GOOGLETRANSLATE(A3691, ""ar"", ""bn"")"),"অসুবিধেও")</f>
        <v>অসুবিধেও</v>
      </c>
    </row>
    <row r="3692">
      <c r="A3692" s="2" t="s">
        <v>4523</v>
      </c>
      <c r="B3692" s="3" t="str">
        <f>IFERROR(__xludf.DUMMYFUNCTION("GOOGLETRANSLATE(A3692, ""ar"", ""bn"")"),"ঋণচিহ্ন")</f>
        <v>ঋণচিহ্ন</v>
      </c>
    </row>
    <row r="3693">
      <c r="A3693" s="2" t="s">
        <v>5922</v>
      </c>
      <c r="B3693" s="3" t="str">
        <f>IFERROR(__xludf.DUMMYFUNCTION("GOOGLETRANSLATE(A3693, ""ar"", ""bn"")"),"নৈর্ব্যক্তিক")</f>
        <v>নৈর্ব্যক্তিক</v>
      </c>
    </row>
    <row r="3694">
      <c r="A3694" s="2" t="s">
        <v>5923</v>
      </c>
      <c r="B3694" s="3" t="str">
        <f>IFERROR(__xludf.DUMMYFUNCTION("GOOGLETRANSLATE(A3694, ""ar"", ""bn"")"),"অজানা")</f>
        <v>অজানা</v>
      </c>
    </row>
    <row r="3695">
      <c r="A3695" s="2" t="s">
        <v>5924</v>
      </c>
      <c r="B3695" s="3" t="str">
        <f>IFERROR(__xludf.DUMMYFUNCTION("GOOGLETRANSLATE(A3695, ""ar"", ""bn"")"),"নৈর্ব্যক্তিক")</f>
        <v>নৈর্ব্যক্তিক</v>
      </c>
    </row>
    <row r="3696">
      <c r="A3696" s="2" t="s">
        <v>5433</v>
      </c>
      <c r="B3696" s="3" t="str">
        <f>IFERROR(__xludf.DUMMYFUNCTION("GOOGLETRANSLATE(A3696, ""ar"", ""bn"")"),"বেপরোয়া")</f>
        <v>বেপরোয়া</v>
      </c>
    </row>
    <row r="3697">
      <c r="A3697" s="2" t="s">
        <v>5433</v>
      </c>
      <c r="B3697" s="3" t="str">
        <f>IFERROR(__xludf.DUMMYFUNCTION("GOOGLETRANSLATE(A3697, ""ar"", ""bn"")"),"বেপরোয়া")</f>
        <v>বেপরোয়া</v>
      </c>
    </row>
    <row r="3698">
      <c r="A3698" s="2" t="s">
        <v>5925</v>
      </c>
      <c r="B3698" s="3" t="str">
        <f>IFERROR(__xludf.DUMMYFUNCTION("GOOGLETRANSLATE(A3698, ""ar"", ""bn"")"),"সংশ্লেষ")</f>
        <v>সংশ্লেষ</v>
      </c>
    </row>
    <row r="3699">
      <c r="A3699" s="2" t="s">
        <v>5142</v>
      </c>
      <c r="B3699" s="3" t="str">
        <f>IFERROR(__xludf.DUMMYFUNCTION("GOOGLETRANSLATE(A3699, ""ar"", ""bn"")"),"জড়িত")</f>
        <v>জড়িত</v>
      </c>
    </row>
    <row r="3700">
      <c r="A3700" s="2" t="s">
        <v>5926</v>
      </c>
      <c r="B3700" s="3" t="str">
        <f>IFERROR(__xludf.DUMMYFUNCTION("GOOGLETRANSLATE(A3700, ""ar"", ""bn"")"),"ফাঁদে ফেলা")</f>
        <v>ফাঁদে ফেলা</v>
      </c>
    </row>
    <row r="3701">
      <c r="A3701" s="2" t="s">
        <v>3620</v>
      </c>
      <c r="B3701" s="3" t="str">
        <f>IFERROR(__xludf.DUMMYFUNCTION("GOOGLETRANSLATE(A3701, ""ar"", ""bn"")"),"আবেদন")</f>
        <v>আবেদন</v>
      </c>
    </row>
    <row r="3702">
      <c r="A3702" s="2" t="s">
        <v>5927</v>
      </c>
      <c r="B3702" s="3" t="str">
        <f>IFERROR(__xludf.DUMMYFUNCTION("GOOGLETRANSLATE(A3702, ""ar"", ""bn"")"),"অনুরূদ্ধ")</f>
        <v>অনুরূদ্ধ</v>
      </c>
    </row>
    <row r="3703">
      <c r="A3703" s="2" t="s">
        <v>5149</v>
      </c>
      <c r="B3703" s="3" t="str">
        <f>IFERROR(__xludf.DUMMYFUNCTION("GOOGLETRANSLATE(A3703, ""ar"", ""bn"")"),"সনির্বন্ধ মিনতি")</f>
        <v>সনির্বন্ধ মিনতি</v>
      </c>
    </row>
    <row r="3704">
      <c r="A3704" s="2" t="s">
        <v>5928</v>
      </c>
      <c r="B3704" s="3" t="str">
        <f>IFERROR(__xludf.DUMMYFUNCTION("GOOGLETRANSLATE(A3704, ""ar"", ""bn"")"),"অভদ্র")</f>
        <v>অভদ্র</v>
      </c>
    </row>
    <row r="3705">
      <c r="A3705" s="2" t="s">
        <v>5929</v>
      </c>
      <c r="B3705" s="3" t="str">
        <f>IFERROR(__xludf.DUMMYFUNCTION("GOOGLETRANSLATE(A3705, ""ar"", ""bn"")"),"অশিষ্টতা")</f>
        <v>অশিষ্টতা</v>
      </c>
    </row>
    <row r="3706">
      <c r="A3706" s="2" t="s">
        <v>5123</v>
      </c>
      <c r="B3706" s="3" t="str">
        <f>IFERROR(__xludf.DUMMYFUNCTION("GOOGLETRANSLATE(A3706, ""ar"", ""bn"")"),"আরোপ করা")</f>
        <v>আরোপ করা</v>
      </c>
    </row>
    <row r="3707">
      <c r="A3707" s="2" t="s">
        <v>5930</v>
      </c>
      <c r="B3707" s="3" t="str">
        <f>IFERROR(__xludf.DUMMYFUNCTION("GOOGLETRANSLATE(A3707, ""ar"", ""bn"")"),"আরোপিত")</f>
        <v>আরোপিত</v>
      </c>
    </row>
    <row r="3708">
      <c r="A3708" s="2" t="s">
        <v>5131</v>
      </c>
      <c r="B3708" s="3" t="str">
        <f>IFERROR(__xludf.DUMMYFUNCTION("GOOGLETRANSLATE(A3708, ""ar"", ""bn"")"),"imposes")</f>
        <v>imposes</v>
      </c>
    </row>
    <row r="3709">
      <c r="A3709" s="2" t="s">
        <v>5931</v>
      </c>
      <c r="B3709" s="3" t="str">
        <f>IFERROR(__xludf.DUMMYFUNCTION("GOOGLETRANSLATE(A3709, ""ar"", ""bn"")"),"unprecision")</f>
        <v>unprecision</v>
      </c>
    </row>
    <row r="3710">
      <c r="A3710" s="2" t="s">
        <v>5539</v>
      </c>
      <c r="B3710" s="3" t="str">
        <f>IFERROR(__xludf.DUMMYFUNCTION("GOOGLETRANSLATE(A3710, ""ar"", ""bn"")"),"কারাগার")</f>
        <v>কারাগার</v>
      </c>
    </row>
    <row r="3711">
      <c r="A3711" s="2" t="s">
        <v>5932</v>
      </c>
      <c r="B3711" s="3" t="str">
        <f>IFERROR(__xludf.DUMMYFUNCTION("GOOGLETRANSLATE(A3711, ""ar"", ""bn"")"),"কারাবন্দী")</f>
        <v>কারাবন্দী</v>
      </c>
    </row>
    <row r="3712">
      <c r="A3712" s="2" t="s">
        <v>4134</v>
      </c>
      <c r="B3712" s="3" t="str">
        <f>IFERROR(__xludf.DUMMYFUNCTION("GOOGLETRANSLATE(A3712, ""ar"", ""bn"")"),"কারাবাস")</f>
        <v>কারাবাস</v>
      </c>
    </row>
    <row r="3713">
      <c r="A3713" s="2" t="s">
        <v>5539</v>
      </c>
      <c r="B3713" s="3" t="str">
        <f>IFERROR(__xludf.DUMMYFUNCTION("GOOGLETRANSLATE(A3713, ""ar"", ""bn"")"),"কারাগার")</f>
        <v>কারাগার</v>
      </c>
    </row>
    <row r="3714">
      <c r="A3714" s="2" t="s">
        <v>5933</v>
      </c>
      <c r="B3714" s="3" t="str">
        <f>IFERROR(__xludf.DUMMYFUNCTION("GOOGLETRANSLATE(A3714, ""ar"", ""bn"")"),"কারাগার")</f>
        <v>কারাগার</v>
      </c>
    </row>
    <row r="3715">
      <c r="A3715" s="2" t="s">
        <v>5934</v>
      </c>
      <c r="B3715" s="3" t="str">
        <f>IFERROR(__xludf.DUMMYFUNCTION("GOOGLETRANSLATE(A3715, ""ar"", ""bn"")"),"Imprisons")</f>
        <v>Imprisons</v>
      </c>
    </row>
    <row r="3716">
      <c r="A3716" s="2" t="s">
        <v>5935</v>
      </c>
      <c r="B3716" s="3" t="str">
        <f>IFERROR(__xludf.DUMMYFUNCTION("GOOGLETRANSLATE(A3716, ""ar"", ""bn"")"),"ত্রুটিপূর্ণ")</f>
        <v>ত্রুটিপূর্ণ</v>
      </c>
    </row>
    <row r="3717">
      <c r="A3717" s="2" t="s">
        <v>5935</v>
      </c>
      <c r="B3717" s="3" t="str">
        <f>IFERROR(__xludf.DUMMYFUNCTION("GOOGLETRANSLATE(A3717, ""ar"", ""bn"")"),"ত্রুটিপূর্ণ")</f>
        <v>ত্রুটিপূর্ণ</v>
      </c>
    </row>
    <row r="3718">
      <c r="A3718" s="2" t="s">
        <v>3786</v>
      </c>
      <c r="B3718" s="3" t="str">
        <f>IFERROR(__xludf.DUMMYFUNCTION("GOOGLETRANSLATE(A3718, ""ar"", ""bn"")"),"অমান্যকারীদের")</f>
        <v>অমান্যকারীদের</v>
      </c>
    </row>
    <row r="3719">
      <c r="A3719" s="2" t="s">
        <v>5936</v>
      </c>
      <c r="B3719" s="3" t="str">
        <f>IFERROR(__xludf.DUMMYFUNCTION("GOOGLETRANSLATE(A3719, ""ar"", ""bn"")"),"অন্যায়")</f>
        <v>অন্যায়</v>
      </c>
    </row>
    <row r="3720">
      <c r="A3720" s="2" t="s">
        <v>5937</v>
      </c>
      <c r="B3720" s="3" t="str">
        <f>IFERROR(__xludf.DUMMYFUNCTION("GOOGLETRANSLATE(A3720, ""ar"", ""bn"")"),"আবেগপ্রবণ")</f>
        <v>আবেগপ্রবণ</v>
      </c>
    </row>
    <row r="3721">
      <c r="A3721" s="2" t="s">
        <v>5938</v>
      </c>
      <c r="B3721" s="3" t="str">
        <f>IFERROR(__xludf.DUMMYFUNCTION("GOOGLETRANSLATE(A3721, ""ar"", ""bn"")"),"ঝোঁকের বশে")</f>
        <v>ঝোঁকের বশে</v>
      </c>
    </row>
    <row r="3722">
      <c r="A3722" s="2" t="s">
        <v>5939</v>
      </c>
      <c r="B3722" s="3" t="str">
        <f>IFERROR(__xludf.DUMMYFUNCTION("GOOGLETRANSLATE(A3722, ""ar"", ""bn"")"),"হানাহানি")</f>
        <v>হানাহানি</v>
      </c>
    </row>
    <row r="3723">
      <c r="A3723" s="2" t="s">
        <v>5940</v>
      </c>
      <c r="B3723" s="3" t="str">
        <f>IFERROR(__xludf.DUMMYFUNCTION("GOOGLETRANSLATE(A3723, ""ar"", ""bn"")"),"অপবিত্র")</f>
        <v>অপবিত্র</v>
      </c>
    </row>
    <row r="3724">
      <c r="A3724" s="2" t="s">
        <v>4527</v>
      </c>
      <c r="B3724" s="3" t="str">
        <f>IFERROR(__xludf.DUMMYFUNCTION("GOOGLETRANSLATE(A3724, ""ar"", ""bn"")"),"অপবিত্রতা")</f>
        <v>অপবিত্রতা</v>
      </c>
    </row>
    <row r="3725">
      <c r="A3725" s="2" t="s">
        <v>4809</v>
      </c>
      <c r="B3725" s="3" t="str">
        <f>IFERROR(__xludf.DUMMYFUNCTION("GOOGLETRANSLATE(A3725, ""ar"", ""bn"")"),"অক্ষমতা")</f>
        <v>অক্ষমতা</v>
      </c>
    </row>
    <row r="3726">
      <c r="A3726" s="2" t="s">
        <v>5941</v>
      </c>
      <c r="B3726" s="3" t="str">
        <f>IFERROR(__xludf.DUMMYFUNCTION("GOOGLETRANSLATE(A3726, ""ar"", ""bn"")"),"অ্যাক্সেস অভাব")</f>
        <v>অ্যাক্সেস অভাব</v>
      </c>
    </row>
    <row r="3727">
      <c r="A3727" s="2" t="s">
        <v>5942</v>
      </c>
      <c r="B3727" s="3" t="str">
        <f>IFERROR(__xludf.DUMMYFUNCTION("GOOGLETRANSLATE(A3727, ""ar"", ""bn"")"),"অ্যাক্সেস করা যাবে না")</f>
        <v>অ্যাক্সেস করা যাবে না</v>
      </c>
    </row>
    <row r="3728">
      <c r="A3728" s="2" t="s">
        <v>5943</v>
      </c>
      <c r="B3728" s="3" t="str">
        <f>IFERROR(__xludf.DUMMYFUNCTION("GOOGLETRANSLATE(A3728, ""ar"", ""bn"")"),"ভ্রম")</f>
        <v>ভ্রম</v>
      </c>
    </row>
    <row r="3729">
      <c r="A3729" s="2" t="s">
        <v>5277</v>
      </c>
      <c r="B3729" s="3" t="str">
        <f>IFERROR(__xludf.DUMMYFUNCTION("GOOGLETRANSLATE(A3729, ""ar"", ""bn"")"),"অপ্রতুলতা")</f>
        <v>অপ্রতুলতা</v>
      </c>
    </row>
    <row r="3730">
      <c r="A3730" s="2" t="s">
        <v>5944</v>
      </c>
      <c r="B3730" s="3" t="str">
        <f>IFERROR(__xludf.DUMMYFUNCTION("GOOGLETRANSLATE(A3730, ""ar"", ""bn"")"),"অপ্রাচুর্য")</f>
        <v>অপ্রাচুর্য</v>
      </c>
    </row>
    <row r="3731">
      <c r="A3731" s="2" t="s">
        <v>3472</v>
      </c>
      <c r="B3731" s="3" t="str">
        <f>IFERROR(__xludf.DUMMYFUNCTION("GOOGLETRANSLATE(A3731, ""ar"", ""bn"")"),"অনুপযুক্ত")</f>
        <v>অনুপযুক্ত</v>
      </c>
    </row>
    <row r="3732">
      <c r="A3732" s="2" t="s">
        <v>5945</v>
      </c>
      <c r="B3732" s="3" t="str">
        <f>IFERROR(__xludf.DUMMYFUNCTION("GOOGLETRANSLATE(A3732, ""ar"", ""bn"")"),"অপর্যাপ্ত")</f>
        <v>অপর্যাপ্ত</v>
      </c>
    </row>
    <row r="3733">
      <c r="A3733" s="2" t="s">
        <v>3515</v>
      </c>
      <c r="B3733" s="3" t="str">
        <f>IFERROR(__xludf.DUMMYFUNCTION("GOOGLETRANSLATE(A3733, ""ar"", ""bn"")"),"হেলাফেলা করা")</f>
        <v>হেলাফেলা করা</v>
      </c>
    </row>
    <row r="3734">
      <c r="A3734" s="2" t="s">
        <v>5946</v>
      </c>
      <c r="B3734" s="3" t="str">
        <f>IFERROR(__xludf.DUMMYFUNCTION("GOOGLETRANSLATE(A3734, ""ar"", ""bn"")"),"অক্ষম")</f>
        <v>অক্ষম</v>
      </c>
    </row>
    <row r="3735">
      <c r="A3735" s="2" t="s">
        <v>5947</v>
      </c>
      <c r="B3735" s="3" t="str">
        <f>IFERROR(__xludf.DUMMYFUNCTION("GOOGLETRANSLATE(A3735, ""ar"", ""bn"")"),"একটানা")</f>
        <v>একটানা</v>
      </c>
    </row>
    <row r="3736">
      <c r="A3736" s="2" t="s">
        <v>5948</v>
      </c>
      <c r="B3736" s="3" t="str">
        <f>IFERROR(__xludf.DUMMYFUNCTION("GOOGLETRANSLATE(A3736, ""ar"", ""bn"")"),"একটানা")</f>
        <v>একটানা</v>
      </c>
    </row>
    <row r="3737">
      <c r="A3737" s="2" t="s">
        <v>5949</v>
      </c>
      <c r="B3737" s="3" t="str">
        <f>IFERROR(__xludf.DUMMYFUNCTION("GOOGLETRANSLATE(A3737, ""ar"", ""bn"")"),"অসঙ্গতি")</f>
        <v>অসঙ্গতি</v>
      </c>
    </row>
    <row r="3738">
      <c r="A3738" s="2" t="s">
        <v>5949</v>
      </c>
      <c r="B3738" s="3" t="str">
        <f>IFERROR(__xludf.DUMMYFUNCTION("GOOGLETRANSLATE(A3738, ""ar"", ""bn"")"),"অসঙ্গতি")</f>
        <v>অসঙ্গতি</v>
      </c>
    </row>
    <row r="3739">
      <c r="A3739" s="2" t="s">
        <v>4142</v>
      </c>
      <c r="B3739" s="3" t="str">
        <f>IFERROR(__xludf.DUMMYFUNCTION("GOOGLETRANSLATE(A3739, ""ar"", ""bn"")"),"বিপরীত")</f>
        <v>বিপরীত</v>
      </c>
    </row>
    <row r="3740">
      <c r="A3740" s="2" t="s">
        <v>4809</v>
      </c>
      <c r="B3740" s="3" t="str">
        <f>IFERROR(__xludf.DUMMYFUNCTION("GOOGLETRANSLATE(A3740, ""ar"", ""bn"")"),"অক্ষমতা")</f>
        <v>অক্ষমতা</v>
      </c>
    </row>
    <row r="3741">
      <c r="A3741" s="2" t="s">
        <v>5950</v>
      </c>
      <c r="B3741" s="3" t="str">
        <f>IFERROR(__xludf.DUMMYFUNCTION("GOOGLETRANSLATE(A3741, ""ar"", ""bn"")"),"অপদার্থ")</f>
        <v>অপদার্থ</v>
      </c>
    </row>
    <row r="3742">
      <c r="A3742" s="2" t="s">
        <v>5951</v>
      </c>
      <c r="B3742" s="3" t="str">
        <f>IFERROR(__xludf.DUMMYFUNCTION("GOOGLETRANSLATE(A3742, ""ar"", ""bn"")"),"অপর্যাপ্ত")</f>
        <v>অপর্যাপ্ত</v>
      </c>
    </row>
    <row r="3743">
      <c r="A3743" s="2" t="s">
        <v>5952</v>
      </c>
      <c r="B3743" s="3" t="str">
        <f>IFERROR(__xludf.DUMMYFUNCTION("GOOGLETRANSLATE(A3743, ""ar"", ""bn"")"),"অপদার্থ")</f>
        <v>অপদার্থ</v>
      </c>
    </row>
    <row r="3744">
      <c r="A3744" s="2" t="s">
        <v>4195</v>
      </c>
      <c r="B3744" s="3" t="str">
        <f>IFERROR(__xludf.DUMMYFUNCTION("GOOGLETRANSLATE(A3744, ""ar"", ""bn"")"),"অসঙ্গতি")</f>
        <v>অসঙ্গতি</v>
      </c>
    </row>
    <row r="3745">
      <c r="A3745" s="2" t="s">
        <v>4194</v>
      </c>
      <c r="B3745" s="3" t="str">
        <f>IFERROR(__xludf.DUMMYFUNCTION("GOOGLETRANSLATE(A3745, ""ar"", ""bn"")"),"অসঙ্গতি")</f>
        <v>অসঙ্গতি</v>
      </c>
    </row>
    <row r="3746">
      <c r="A3746" s="2" t="s">
        <v>5953</v>
      </c>
      <c r="B3746" s="3" t="str">
        <f>IFERROR(__xludf.DUMMYFUNCTION("GOOGLETRANSLATE(A3746, ""ar"", ""bn"")"),"অসঙ্গত")</f>
        <v>অসঙ্গত</v>
      </c>
    </row>
    <row r="3747">
      <c r="A3747" s="2" t="s">
        <v>5954</v>
      </c>
      <c r="B3747" s="3" t="str">
        <f>IFERROR(__xludf.DUMMYFUNCTION("GOOGLETRANSLATE(A3747, ""ar"", ""bn"")"),"অসঙ্গত")</f>
        <v>অসঙ্গত</v>
      </c>
    </row>
    <row r="3748">
      <c r="A3748" s="2" t="s">
        <v>3382</v>
      </c>
      <c r="B3748" s="3" t="str">
        <f>IFERROR(__xludf.DUMMYFUNCTION("GOOGLETRANSLATE(A3748, ""ar"", ""bn"")"),"ঝগড়া")</f>
        <v>ঝগড়া</v>
      </c>
    </row>
    <row r="3749">
      <c r="A3749" s="2" t="s">
        <v>3383</v>
      </c>
      <c r="B3749" s="3" t="str">
        <f>IFERROR(__xludf.DUMMYFUNCTION("GOOGLETRANSLATE(A3749, ""ar"", ""bn"")"),"হয়রানি")</f>
        <v>হয়রানি</v>
      </c>
    </row>
    <row r="3750">
      <c r="A3750" s="2" t="s">
        <v>4837</v>
      </c>
      <c r="B3750" s="3" t="str">
        <f>IFERROR(__xludf.DUMMYFUNCTION("GOOGLETRANSLATE(A3750, ""ar"", ""bn"")"),"হয়রানি")</f>
        <v>হয়রানি</v>
      </c>
    </row>
    <row r="3751">
      <c r="A3751" s="2" t="s">
        <v>5955</v>
      </c>
      <c r="B3751" s="3" t="str">
        <f>IFERROR(__xludf.DUMMYFUNCTION("GOOGLETRANSLATE(A3751, ""ar"", ""bn"")"),"ক্লান্ত")</f>
        <v>ক্লান্ত</v>
      </c>
    </row>
    <row r="3752">
      <c r="A3752" s="2" t="s">
        <v>5956</v>
      </c>
      <c r="B3752" s="3" t="str">
        <f>IFERROR(__xludf.DUMMYFUNCTION("GOOGLETRANSLATE(A3752, ""ar"", ""bn"")"),"অস্বচ্ছন্দ")</f>
        <v>অস্বচ্ছন্দ</v>
      </c>
    </row>
    <row r="3753">
      <c r="A3753" s="2" t="s">
        <v>5957</v>
      </c>
      <c r="B3753" s="3" t="str">
        <f>IFERROR(__xludf.DUMMYFUNCTION("GOOGLETRANSLATE(A3753, ""ar"", ""bn"")"),"অনুপযুক্ত")</f>
        <v>অনুপযুক্ত</v>
      </c>
    </row>
    <row r="3754">
      <c r="A3754" s="2" t="s">
        <v>5935</v>
      </c>
      <c r="B3754" s="3" t="str">
        <f>IFERROR(__xludf.DUMMYFUNCTION("GOOGLETRANSLATE(A3754, ""ar"", ""bn"")"),"ত্রুটিপূর্ণ")</f>
        <v>ত্রুটিপূর্ণ</v>
      </c>
    </row>
    <row r="3755">
      <c r="A3755" s="2" t="s">
        <v>5935</v>
      </c>
      <c r="B3755" s="3" t="str">
        <f>IFERROR(__xludf.DUMMYFUNCTION("GOOGLETRANSLATE(A3755, ""ar"", ""bn"")"),"ত্রুটিপূর্ণ")</f>
        <v>ত্রুটিপূর্ণ</v>
      </c>
    </row>
    <row r="3756">
      <c r="A3756" s="2" t="s">
        <v>5958</v>
      </c>
      <c r="B3756" s="3" t="str">
        <f>IFERROR(__xludf.DUMMYFUNCTION("GOOGLETRANSLATE(A3756, ""ar"", ""bn"")"),"ইনভ্যালিডিটি")</f>
        <v>ইনভ্যালিডিটি</v>
      </c>
    </row>
    <row r="3757">
      <c r="A3757" s="2" t="s">
        <v>5959</v>
      </c>
      <c r="B3757" s="3" t="str">
        <f>IFERROR(__xludf.DUMMYFUNCTION("GOOGLETRANSLATE(A3757, ""ar"", ""bn"")"),"অনারোগ্য")</f>
        <v>অনারোগ্য</v>
      </c>
    </row>
    <row r="3758">
      <c r="A3758" s="2" t="s">
        <v>5960</v>
      </c>
      <c r="B3758" s="3" t="str">
        <f>IFERROR(__xludf.DUMMYFUNCTION("GOOGLETRANSLATE(A3758, ""ar"", ""bn"")"),"আবিলতা")</f>
        <v>আবিলতা</v>
      </c>
    </row>
    <row r="3759">
      <c r="A3759" s="2" t="s">
        <v>5961</v>
      </c>
      <c r="B3759" s="3" t="str">
        <f>IFERROR(__xludf.DUMMYFUNCTION("GOOGLETRANSLATE(A3759, ""ar"", ""bn"")"),"অশ্লীল")</f>
        <v>অশ্লীল</v>
      </c>
    </row>
    <row r="3760">
      <c r="A3760" s="2" t="s">
        <v>5962</v>
      </c>
      <c r="B3760" s="3" t="str">
        <f>IFERROR(__xludf.DUMMYFUNCTION("GOOGLETRANSLATE(A3760, ""ar"", ""bn"")"),"অশ্লীল")</f>
        <v>অশ্লীল</v>
      </c>
    </row>
    <row r="3761">
      <c r="A3761" s="2" t="s">
        <v>5747</v>
      </c>
      <c r="B3761" s="3" t="str">
        <f>IFERROR(__xludf.DUMMYFUNCTION("GOOGLETRANSLATE(A3761, ""ar"", ""bn"")"),"ফ্রিকোয়েন্সি")</f>
        <v>ফ্রিকোয়েন্সি</v>
      </c>
    </row>
    <row r="3762">
      <c r="A3762" s="2" t="s">
        <v>5963</v>
      </c>
      <c r="B3762" s="3" t="str">
        <f>IFERROR(__xludf.DUMMYFUNCTION("GOOGLETRANSLATE(A3762, ""ar"", ""bn"")"),"মীমাংসাহীন")</f>
        <v>মীমাংসাহীন</v>
      </c>
    </row>
    <row r="3763">
      <c r="A3763" s="2" t="s">
        <v>5964</v>
      </c>
      <c r="B3763" s="3" t="str">
        <f>IFERROR(__xludf.DUMMYFUNCTION("GOOGLETRANSLATE(A3763, ""ar"", ""bn"")"),"ফ্রিকোয়েন্সি")</f>
        <v>ফ্রিকোয়েন্সি</v>
      </c>
    </row>
    <row r="3764">
      <c r="A3764" s="2" t="s">
        <v>5965</v>
      </c>
      <c r="B3764" s="3" t="str">
        <f>IFERROR(__xludf.DUMMYFUNCTION("GOOGLETRANSLATE(A3764, ""ar"", ""bn"")"),"অনির্দিষ্ট")</f>
        <v>অনির্দিষ্ট</v>
      </c>
    </row>
    <row r="3765">
      <c r="A3765" s="2" t="s">
        <v>5966</v>
      </c>
      <c r="B3765" s="3" t="str">
        <f>IFERROR(__xludf.DUMMYFUNCTION("GOOGLETRANSLATE(A3765, ""ar"", ""bn"")"),"অনির্দিষ্টকালের জন্য")</f>
        <v>অনির্দিষ্টকালের জন্য</v>
      </c>
    </row>
    <row r="3766">
      <c r="A3766" s="2" t="s">
        <v>5967</v>
      </c>
      <c r="B3766" s="3" t="str">
        <f>IFERROR(__xludf.DUMMYFUNCTION("GOOGLETRANSLATE(A3766, ""ar"", ""bn"")"),"অনির্ণেয়")</f>
        <v>অনির্ণেয়</v>
      </c>
    </row>
    <row r="3767">
      <c r="A3767" s="2" t="s">
        <v>5968</v>
      </c>
      <c r="B3767" s="3" t="str">
        <f>IFERROR(__xludf.DUMMYFUNCTION("GOOGLETRANSLATE(A3767, ""ar"", ""bn"")"),"অ অ্যাপয়েন্টমেন্ট")</f>
        <v>অ অ্যাপয়েন্টমেন্ট</v>
      </c>
    </row>
    <row r="3768">
      <c r="A3768" s="2" t="s">
        <v>5965</v>
      </c>
      <c r="B3768" s="3" t="str">
        <f>IFERROR(__xludf.DUMMYFUNCTION("GOOGLETRANSLATE(A3768, ""ar"", ""bn"")"),"অনির্দিষ্ট")</f>
        <v>অনির্দিষ্ট</v>
      </c>
    </row>
    <row r="3769">
      <c r="A3769" s="2" t="s">
        <v>3237</v>
      </c>
      <c r="B3769" s="3" t="str">
        <f>IFERROR(__xludf.DUMMYFUNCTION("GOOGLETRANSLATE(A3769, ""ar"", ""bn"")"),"অভিযোগ")</f>
        <v>অভিযোগ</v>
      </c>
    </row>
    <row r="3770">
      <c r="A3770" s="2" t="s">
        <v>5969</v>
      </c>
      <c r="B3770" s="3" t="str">
        <f>IFERROR(__xludf.DUMMYFUNCTION("GOOGLETRANSLATE(A3770, ""ar"", ""bn"")"),"ইন্ডিকমেন্টস")</f>
        <v>ইন্ডিকমেন্টস</v>
      </c>
    </row>
    <row r="3771">
      <c r="A3771" s="2" t="s">
        <v>3400</v>
      </c>
      <c r="B3771" s="3" t="str">
        <f>IFERROR(__xludf.DUMMYFUNCTION("GOOGLETRANSLATE(A3771, ""ar"", ""bn"")"),"অযত্ন")</f>
        <v>অযত্ন</v>
      </c>
    </row>
    <row r="3772">
      <c r="A3772" s="2" t="s">
        <v>5970</v>
      </c>
      <c r="B3772" s="3" t="str">
        <f>IFERROR(__xludf.DUMMYFUNCTION("GOOGLETRANSLATE(A3772, ""ar"", ""bn"")"),"উদাসীন")</f>
        <v>উদাসীন</v>
      </c>
    </row>
    <row r="3773">
      <c r="A3773" s="2" t="s">
        <v>5971</v>
      </c>
      <c r="B3773" s="3" t="str">
        <f>IFERROR(__xludf.DUMMYFUNCTION("GOOGLETRANSLATE(A3773, ""ar"", ""bn"")"),"নিরপেক্ষভাবে")</f>
        <v>নিরপেক্ষভাবে</v>
      </c>
    </row>
    <row r="3774">
      <c r="A3774" s="2" t="s">
        <v>5202</v>
      </c>
      <c r="B3774" s="3" t="str">
        <f>IFERROR(__xludf.DUMMYFUNCTION("GOOGLETRANSLATE(A3774, ""ar"", ""bn"")"),"অসন্তোষ")</f>
        <v>অসন্তোষ</v>
      </c>
    </row>
    <row r="3775">
      <c r="A3775" s="2" t="s">
        <v>5972</v>
      </c>
      <c r="B3775" s="3" t="str">
        <f>IFERROR(__xludf.DUMMYFUNCTION("GOOGLETRANSLATE(A3775, ""ar"", ""bn"")"),"লাই দেত্তয়া")</f>
        <v>লাই দেত্তয়া</v>
      </c>
    </row>
    <row r="3776">
      <c r="A3776" s="2" t="s">
        <v>5973</v>
      </c>
      <c r="B3776" s="3" t="str">
        <f>IFERROR(__xludf.DUMMYFUNCTION("GOOGLETRANSLATE(A3776, ""ar"", ""bn"")"),"লিপ্ত")</f>
        <v>লিপ্ত</v>
      </c>
    </row>
    <row r="3777">
      <c r="A3777" s="2" t="s">
        <v>5974</v>
      </c>
      <c r="B3777" s="3" t="str">
        <f>IFERROR(__xludf.DUMMYFUNCTION("GOOGLETRANSLATE(A3777, ""ar"", ""bn"")"),"ইচ্ছাপূরণ")</f>
        <v>ইচ্ছাপূরণ</v>
      </c>
    </row>
    <row r="3778">
      <c r="A3778" s="2" t="s">
        <v>5975</v>
      </c>
      <c r="B3778" s="3" t="str">
        <f>IFERROR(__xludf.DUMMYFUNCTION("GOOGLETRANSLATE(A3778, ""ar"", ""bn"")"),"পানোত্সব")</f>
        <v>পানোত্সব</v>
      </c>
    </row>
    <row r="3779">
      <c r="A3779" s="2" t="s">
        <v>5976</v>
      </c>
      <c r="B3779" s="3" t="str">
        <f>IFERROR(__xludf.DUMMYFUNCTION("GOOGLETRANSLATE(A3779, ""ar"", ""bn"")"),"সহনশীল")</f>
        <v>সহনশীল</v>
      </c>
    </row>
    <row r="3780">
      <c r="A3780" s="2" t="s">
        <v>5977</v>
      </c>
      <c r="B3780" s="3" t="str">
        <f>IFERROR(__xludf.DUMMYFUNCTION("GOOGLETRANSLATE(A3780, ""ar"", ""bn"")"),"indulgently")</f>
        <v>indulgently</v>
      </c>
    </row>
    <row r="3781">
      <c r="A3781" s="2" t="s">
        <v>5978</v>
      </c>
      <c r="B3781" s="3" t="str">
        <f>IFERROR(__xludf.DUMMYFUNCTION("GOOGLETRANSLATE(A3781, ""ar"", ""bn"")"),"indulges")</f>
        <v>indulges</v>
      </c>
    </row>
    <row r="3782">
      <c r="A3782" s="2" t="s">
        <v>5979</v>
      </c>
      <c r="B3782" s="3" t="str">
        <f>IFERROR(__xludf.DUMMYFUNCTION("GOOGLETRANSLATE(A3782, ""ar"", ""bn"")"),"কার্যকরী নয়")</f>
        <v>কার্যকরী নয়</v>
      </c>
    </row>
    <row r="3783">
      <c r="A3783" s="2" t="s">
        <v>5980</v>
      </c>
      <c r="B3783" s="3" t="str">
        <f>IFERROR(__xludf.DUMMYFUNCTION("GOOGLETRANSLATE(A3783, ""ar"", ""bn"")"),"নিষ্ক্রিয়")</f>
        <v>নিষ্ক্রিয়</v>
      </c>
    </row>
    <row r="3784">
      <c r="A3784" s="2" t="s">
        <v>5981</v>
      </c>
      <c r="B3784" s="3" t="str">
        <f>IFERROR(__xludf.DUMMYFUNCTION("GOOGLETRANSLATE(A3784, ""ar"", ""bn"")"),"অক্ষমতা")</f>
        <v>অক্ষমতা</v>
      </c>
    </row>
    <row r="3785">
      <c r="A3785" s="2" t="s">
        <v>5980</v>
      </c>
      <c r="B3785" s="3" t="str">
        <f>IFERROR(__xludf.DUMMYFUNCTION("GOOGLETRANSLATE(A3785, ""ar"", ""bn"")"),"নিষ্ক্রিয়")</f>
        <v>নিষ্ক্রিয়</v>
      </c>
    </row>
    <row r="3786">
      <c r="A3786" s="2" t="s">
        <v>5982</v>
      </c>
      <c r="B3786" s="3" t="str">
        <f>IFERROR(__xludf.DUMMYFUNCTION("GOOGLETRANSLATE(A3786, ""ar"", ""bn"")"),"বেহুদা")</f>
        <v>বেহুদা</v>
      </c>
    </row>
    <row r="3787">
      <c r="A3787" s="2" t="s">
        <v>5983</v>
      </c>
      <c r="B3787" s="3" t="str">
        <f>IFERROR(__xludf.DUMMYFUNCTION("GOOGLETRANSLATE(A3787, ""ar"", ""bn"")"),"অযোগ্যতা")</f>
        <v>অযোগ্যতা</v>
      </c>
    </row>
    <row r="3788">
      <c r="A3788" s="2" t="s">
        <v>5984</v>
      </c>
      <c r="B3788" s="3" t="str">
        <f>IFERROR(__xludf.DUMMYFUNCTION("GOOGLETRANSLATE(A3788, ""ar"", ""bn"")"),"অসাম্য")</f>
        <v>অসাম্য</v>
      </c>
    </row>
    <row r="3789">
      <c r="A3789" s="2" t="s">
        <v>5985</v>
      </c>
      <c r="B3789" s="3" t="str">
        <f>IFERROR(__xludf.DUMMYFUNCTION("GOOGLETRANSLATE(A3789, ""ar"", ""bn"")"),"অসমতা")</f>
        <v>অসমতা</v>
      </c>
    </row>
    <row r="3790">
      <c r="A3790" s="2" t="s">
        <v>5986</v>
      </c>
      <c r="B3790" s="3" t="str">
        <f>IFERROR(__xludf.DUMMYFUNCTION("GOOGLETRANSLATE(A3790, ""ar"", ""bn"")"),"বেঠিক")</f>
        <v>বেঠিক</v>
      </c>
    </row>
    <row r="3791">
      <c r="A3791" s="2" t="s">
        <v>5931</v>
      </c>
      <c r="B3791" s="3" t="str">
        <f>IFERROR(__xludf.DUMMYFUNCTION("GOOGLETRANSLATE(A3791, ""ar"", ""bn"")"),"unprecision")</f>
        <v>unprecision</v>
      </c>
    </row>
    <row r="3792">
      <c r="A3792" s="2" t="s">
        <v>5987</v>
      </c>
      <c r="B3792" s="3" t="str">
        <f>IFERROR(__xludf.DUMMYFUNCTION("GOOGLETRANSLATE(A3792, ""ar"", ""bn"")"),"ব্যাখ্যা করা সম্ভব নয়")</f>
        <v>ব্যাখ্যা করা সম্ভব নয়</v>
      </c>
    </row>
    <row r="3793">
      <c r="A3793" s="2" t="s">
        <v>5988</v>
      </c>
      <c r="B3793" s="3" t="str">
        <f>IFERROR(__xludf.DUMMYFUNCTION("GOOGLETRANSLATE(A3793, ""ar"", ""bn"")"),"কলঙ্কিত")</f>
        <v>কলঙ্কিত</v>
      </c>
    </row>
    <row r="3794">
      <c r="A3794" s="2" t="s">
        <v>5989</v>
      </c>
      <c r="B3794" s="3" t="str">
        <f>IFERROR(__xludf.DUMMYFUNCTION("GOOGLETRANSLATE(A3794, ""ar"", ""bn"")"),"কলঙ্কিত")</f>
        <v>কলঙ্কিত</v>
      </c>
    </row>
    <row r="3795">
      <c r="A3795" s="2" t="s">
        <v>5990</v>
      </c>
      <c r="B3795" s="3" t="str">
        <f>IFERROR(__xludf.DUMMYFUNCTION("GOOGLETRANSLATE(A3795, ""ar"", ""bn"")"),"সংক্রমণ")</f>
        <v>সংক্রমণ</v>
      </c>
    </row>
    <row r="3796">
      <c r="A3796" s="2" t="s">
        <v>5990</v>
      </c>
      <c r="B3796" s="3" t="str">
        <f>IFERROR(__xludf.DUMMYFUNCTION("GOOGLETRANSLATE(A3796, ""ar"", ""bn"")"),"সংক্রমণ")</f>
        <v>সংক্রমণ</v>
      </c>
    </row>
    <row r="3797">
      <c r="A3797" s="2" t="s">
        <v>5991</v>
      </c>
      <c r="B3797" s="3" t="str">
        <f>IFERROR(__xludf.DUMMYFUNCTION("GOOGLETRANSLATE(A3797, ""ar"", ""bn"")"),"সংক্রমণ")</f>
        <v>সংক্রমণ</v>
      </c>
    </row>
    <row r="3798">
      <c r="A3798" s="2" t="s">
        <v>4176</v>
      </c>
      <c r="B3798" s="3" t="str">
        <f>IFERROR(__xludf.DUMMYFUNCTION("GOOGLETRANSLATE(A3798, ""ar"", ""bn"")"),"সংক্রমণ")</f>
        <v>সংক্রমণ</v>
      </c>
    </row>
    <row r="3799">
      <c r="A3799" s="2" t="s">
        <v>5992</v>
      </c>
      <c r="B3799" s="3" t="str">
        <f>IFERROR(__xludf.DUMMYFUNCTION("GOOGLETRANSLATE(A3799, ""ar"", ""bn"")"),"সংক্রমণ")</f>
        <v>সংক্রমণ</v>
      </c>
    </row>
    <row r="3800">
      <c r="A3800" s="2" t="s">
        <v>4177</v>
      </c>
      <c r="B3800" s="3" t="str">
        <f>IFERROR(__xludf.DUMMYFUNCTION("GOOGLETRANSLATE(A3800, ""ar"", ""bn"")"),"অভিপ্রেত")</f>
        <v>অভিপ্রেত</v>
      </c>
    </row>
    <row r="3801">
      <c r="A3801" s="2" t="s">
        <v>4176</v>
      </c>
      <c r="B3801" s="3" t="str">
        <f>IFERROR(__xludf.DUMMYFUNCTION("GOOGLETRANSLATE(A3801, ""ar"", ""bn"")"),"সংক্রমণ")</f>
        <v>সংক্রমণ</v>
      </c>
    </row>
    <row r="3802">
      <c r="A3802" s="2" t="s">
        <v>3285</v>
      </c>
      <c r="B3802" s="3" t="str">
        <f>IFERROR(__xludf.DUMMYFUNCTION("GOOGLETRANSLATE(A3802, ""ar"", ""bn"")"),"সংক্রমিত")</f>
        <v>সংক্রমিত</v>
      </c>
    </row>
    <row r="3803">
      <c r="A3803" s="2" t="s">
        <v>5993</v>
      </c>
      <c r="B3803" s="3" t="str">
        <f>IFERROR(__xludf.DUMMYFUNCTION("GOOGLETRANSLATE(A3803, ""ar"", ""bn"")"),"সর্বনিম্ন পদে")</f>
        <v>সর্বনিম্ন পদে</v>
      </c>
    </row>
    <row r="3804">
      <c r="A3804" s="2" t="s">
        <v>5994</v>
      </c>
      <c r="B3804" s="3" t="str">
        <f>IFERROR(__xludf.DUMMYFUNCTION("GOOGLETRANSLATE(A3804, ""ar"", ""bn"")"),"হীনমন্যতা")</f>
        <v>হীনমন্যতা</v>
      </c>
    </row>
    <row r="3805">
      <c r="A3805" s="2" t="s">
        <v>5995</v>
      </c>
      <c r="B3805" s="3" t="str">
        <f>IFERROR(__xludf.DUMMYFUNCTION("GOOGLETRANSLATE(A3805, ""ar"", ""bn"")"),"শিষ্য")</f>
        <v>শিষ্য</v>
      </c>
    </row>
    <row r="3806">
      <c r="A3806" s="2" t="s">
        <v>4959</v>
      </c>
      <c r="B3806" s="3" t="str">
        <f>IFERROR(__xludf.DUMMYFUNCTION("GOOGLETRANSLATE(A3806, ""ar"", ""bn"")"),"কোঁচ")</f>
        <v>কোঁচ</v>
      </c>
    </row>
    <row r="3807">
      <c r="A3807" s="2" t="s">
        <v>5996</v>
      </c>
      <c r="B3807" s="3" t="str">
        <f>IFERROR(__xludf.DUMMYFUNCTION("GOOGLETRANSLATE(A3807, ""ar"", ""bn"")"),"আক্রমণ করা")</f>
        <v>আক্রমণ করা</v>
      </c>
    </row>
    <row r="3808">
      <c r="A3808" s="2" t="s">
        <v>5997</v>
      </c>
      <c r="B3808" s="3" t="str">
        <f>IFERROR(__xludf.DUMMYFUNCTION("GOOGLETRANSLATE(A3808, ""ar"", ""bn"")"),"আঘাত")</f>
        <v>আঘাত</v>
      </c>
    </row>
    <row r="3809">
      <c r="A3809" s="2" t="s">
        <v>5998</v>
      </c>
      <c r="B3809" s="3" t="str">
        <f>IFERROR(__xludf.DUMMYFUNCTION("GOOGLETRANSLATE(A3809, ""ar"", ""bn"")"),"সংক্রামিত")</f>
        <v>সংক্রামিত</v>
      </c>
    </row>
    <row r="3810">
      <c r="A3810" s="2" t="s">
        <v>5999</v>
      </c>
      <c r="B3810" s="3" t="str">
        <f>IFERROR(__xludf.DUMMYFUNCTION("GOOGLETRANSLATE(A3810, ""ar"", ""bn"")"),"আক্রমণ করা")</f>
        <v>আক্রমণ করা</v>
      </c>
    </row>
    <row r="3811">
      <c r="A3811" s="2" t="s">
        <v>3285</v>
      </c>
      <c r="B3811" s="3" t="str">
        <f>IFERROR(__xludf.DUMMYFUNCTION("GOOGLETRANSLATE(A3811, ""ar"", ""bn"")"),"সংক্রমিত")</f>
        <v>সংক্রমিত</v>
      </c>
    </row>
    <row r="3812">
      <c r="A3812" s="2" t="s">
        <v>3118</v>
      </c>
      <c r="B3812" s="3" t="str">
        <f>IFERROR(__xludf.DUMMYFUNCTION("GOOGLETRANSLATE(A3812, ""ar"", ""bn"")"),"অফসাইড")</f>
        <v>অফসাইড</v>
      </c>
    </row>
    <row r="3813">
      <c r="A3813" s="2" t="s">
        <v>3118</v>
      </c>
      <c r="B3813" s="3" t="str">
        <f>IFERROR(__xludf.DUMMYFUNCTION("GOOGLETRANSLATE(A3813, ""ar"", ""bn"")"),"অফসাইড")</f>
        <v>অফসাইড</v>
      </c>
    </row>
    <row r="3814">
      <c r="A3814" s="2" t="s">
        <v>6000</v>
      </c>
      <c r="B3814" s="3" t="str">
        <f>IFERROR(__xludf.DUMMYFUNCTION("GOOGLETRANSLATE(A3814, ""ar"", ""bn"")"),"ফুটো")</f>
        <v>ফুটো</v>
      </c>
    </row>
    <row r="3815">
      <c r="A3815" s="2" t="s">
        <v>6001</v>
      </c>
      <c r="B3815" s="3" t="str">
        <f>IFERROR(__xludf.DUMMYFUNCTION("GOOGLETRANSLATE(A3815, ""ar"", ""bn"")"),"অফসাইড")</f>
        <v>অফসাইড</v>
      </c>
    </row>
    <row r="3816">
      <c r="A3816" s="2" t="s">
        <v>3118</v>
      </c>
      <c r="B3816" s="3" t="str">
        <f>IFERROR(__xludf.DUMMYFUNCTION("GOOGLETRANSLATE(A3816, ""ar"", ""bn"")"),"অফসাইড")</f>
        <v>অফসাইড</v>
      </c>
    </row>
    <row r="3817">
      <c r="A3817" s="2" t="s">
        <v>3118</v>
      </c>
      <c r="B3817" s="3" t="str">
        <f>IFERROR(__xludf.DUMMYFUNCTION("GOOGLETRANSLATE(A3817, ""ar"", ""bn"")"),"অফসাইড")</f>
        <v>অফসাইড</v>
      </c>
    </row>
    <row r="3818">
      <c r="A3818" s="2" t="s">
        <v>6002</v>
      </c>
      <c r="B3818" s="3" t="str">
        <f>IFERROR(__xludf.DUMMYFUNCTION("GOOGLETRANSLATE(A3818, ""ar"", ""bn"")"),"কাজ এড়ান")</f>
        <v>কাজ এড়ান</v>
      </c>
    </row>
    <row r="3819">
      <c r="A3819" s="2" t="s">
        <v>6003</v>
      </c>
      <c r="B3819" s="3" t="str">
        <f>IFERROR(__xludf.DUMMYFUNCTION("GOOGLETRANSLATE(A3819, ""ar"", ""bn"")"),"অনুপ্রবেশকারীরা")</f>
        <v>অনুপ্রবেশকারীরা</v>
      </c>
    </row>
    <row r="3820">
      <c r="A3820" s="2" t="s">
        <v>3368</v>
      </c>
      <c r="B3820" s="3" t="str">
        <f>IFERROR(__xludf.DUMMYFUNCTION("GOOGLETRANSLATE(A3820, ""ar"", ""bn"")"),"রাগ")</f>
        <v>রাগ</v>
      </c>
    </row>
    <row r="3821">
      <c r="A3821" s="2" t="s">
        <v>6004</v>
      </c>
      <c r="B3821" s="3" t="str">
        <f>IFERROR(__xludf.DUMMYFUNCTION("GOOGLETRANSLATE(A3821, ""ar"", ""bn"")"),"উদ্দীপ্ত")</f>
        <v>উদ্দীপ্ত</v>
      </c>
    </row>
    <row r="3822">
      <c r="A3822" s="2" t="s">
        <v>6005</v>
      </c>
      <c r="B3822" s="3" t="str">
        <f>IFERROR(__xludf.DUMMYFUNCTION("GOOGLETRANSLATE(A3822, ""ar"", ""bn"")"),"Ignite")</f>
        <v>Ignite</v>
      </c>
    </row>
    <row r="3823">
      <c r="A3823" s="2" t="s">
        <v>6006</v>
      </c>
      <c r="B3823" s="3" t="str">
        <f>IFERROR(__xludf.DUMMYFUNCTION("GOOGLETRANSLATE(A3823, ""ar"", ""bn"")"),"মুদ্রাস্ফীতি")</f>
        <v>মুদ্রাস্ফীতি</v>
      </c>
    </row>
    <row r="3824">
      <c r="A3824" s="2" t="s">
        <v>6007</v>
      </c>
      <c r="B3824" s="3" t="str">
        <f>IFERROR(__xludf.DUMMYFUNCTION("GOOGLETRANSLATE(A3824, ""ar"", ""bn"")"),"মুদ্রাস্ফীতিজনিত")</f>
        <v>মুদ্রাস্ফীতিজনিত</v>
      </c>
    </row>
    <row r="3825">
      <c r="A3825" s="2" t="s">
        <v>6008</v>
      </c>
      <c r="B3825" s="3" t="str">
        <f>IFERROR(__xludf.DUMMYFUNCTION("GOOGLETRANSLATE(A3825, ""ar"", ""bn"")"),"আত্মসাৎ")</f>
        <v>আত্মসাৎ</v>
      </c>
    </row>
    <row r="3826">
      <c r="A3826" s="2" t="s">
        <v>6009</v>
      </c>
      <c r="B3826" s="3" t="str">
        <f>IFERROR(__xludf.DUMMYFUNCTION("GOOGLETRANSLATE(A3826, ""ar"", ""bn"")"),"শিকারদের প্রতিক্রিয়া")</f>
        <v>শিকারদের প্রতিক্রিয়া</v>
      </c>
    </row>
    <row r="3827">
      <c r="A3827" s="2" t="s">
        <v>6010</v>
      </c>
      <c r="B3827" s="3" t="str">
        <f>IFERROR(__xludf.DUMMYFUNCTION("GOOGLETRANSLATE(A3827, ""ar"", ""bn"")"),"সংশোধন করার")</f>
        <v>সংশোধন করার</v>
      </c>
    </row>
    <row r="3828">
      <c r="A3828" s="2" t="s">
        <v>6011</v>
      </c>
      <c r="B3828" s="3" t="str">
        <f>IFERROR(__xludf.DUMMYFUNCTION("GOOGLETRANSLATE(A3828, ""ar"", ""bn"")"),"তাল")</f>
        <v>তাল</v>
      </c>
    </row>
    <row r="3829">
      <c r="A3829" s="2" t="s">
        <v>6012</v>
      </c>
      <c r="B3829" s="3" t="str">
        <f>IFERROR(__xludf.DUMMYFUNCTION("GOOGLETRANSLATE(A3829, ""ar"", ""bn"")"),"প্লেগ")</f>
        <v>প্লেগ</v>
      </c>
    </row>
    <row r="3830">
      <c r="A3830" s="2" t="s">
        <v>6013</v>
      </c>
      <c r="B3830" s="3" t="str">
        <f>IFERROR(__xludf.DUMMYFUNCTION("GOOGLETRANSLATE(A3830, ""ar"", ""bn"")"),"ধরা")</f>
        <v>ধরা</v>
      </c>
    </row>
    <row r="3831">
      <c r="A3831" s="2" t="s">
        <v>6014</v>
      </c>
      <c r="B3831" s="3" t="str">
        <f>IFERROR(__xludf.DUMMYFUNCTION("GOOGLETRANSLATE(A3831, ""ar"", ""bn"")"),"ব্যত্যয়")</f>
        <v>ব্যত্যয়</v>
      </c>
    </row>
    <row r="3832">
      <c r="A3832" s="2" t="s">
        <v>3786</v>
      </c>
      <c r="B3832" s="3" t="str">
        <f>IFERROR(__xludf.DUMMYFUNCTION("GOOGLETRANSLATE(A3832, ""ar"", ""bn"")"),"অমান্যকারীদের")</f>
        <v>অমান্যকারীদের</v>
      </c>
    </row>
    <row r="3833">
      <c r="A3833" s="2" t="s">
        <v>5115</v>
      </c>
      <c r="B3833" s="3" t="str">
        <f>IFERROR(__xludf.DUMMYFUNCTION("GOOGLETRANSLATE(A3833, ""ar"", ""bn"")"),"ভঙ্গ")</f>
        <v>ভঙ্গ</v>
      </c>
    </row>
    <row r="3834">
      <c r="A3834" s="2" t="s">
        <v>6015</v>
      </c>
      <c r="B3834" s="3" t="str">
        <f>IFERROR(__xludf.DUMMYFUNCTION("GOOGLETRANSLATE(A3834, ""ar"", ""bn"")"),"বিধিলঙ্ঘন")</f>
        <v>বিধিলঙ্ঘন</v>
      </c>
    </row>
    <row r="3835">
      <c r="A3835" s="2" t="s">
        <v>3368</v>
      </c>
      <c r="B3835" s="3" t="str">
        <f>IFERROR(__xludf.DUMMYFUNCTION("GOOGLETRANSLATE(A3835, ""ar"", ""bn"")"),"রাগ")</f>
        <v>রাগ</v>
      </c>
    </row>
    <row r="3836">
      <c r="A3836" s="2" t="s">
        <v>3368</v>
      </c>
      <c r="B3836" s="3" t="str">
        <f>IFERROR(__xludf.DUMMYFUNCTION("GOOGLETRANSLATE(A3836, ""ar"", ""bn"")"),"রাগ")</f>
        <v>রাগ</v>
      </c>
    </row>
    <row r="3837">
      <c r="A3837" s="2" t="s">
        <v>6016</v>
      </c>
      <c r="B3837" s="3" t="str">
        <f>IFERROR(__xludf.DUMMYFUNCTION("GOOGLETRANSLATE(A3837, ""ar"", ""bn"")"),"Infuriates")</f>
        <v>Infuriates</v>
      </c>
    </row>
    <row r="3838">
      <c r="A3838" s="2" t="s">
        <v>6017</v>
      </c>
      <c r="B3838" s="3" t="str">
        <f>IFERROR(__xludf.DUMMYFUNCTION("GOOGLETRANSLATE(A3838, ""ar"", ""bn"")"),"অকৃতজ্ঞতা")</f>
        <v>অকৃতজ্ঞতা</v>
      </c>
    </row>
    <row r="3839">
      <c r="A3839" s="2" t="s">
        <v>5207</v>
      </c>
      <c r="B3839" s="3" t="str">
        <f>IFERROR(__xludf.DUMMYFUNCTION("GOOGLETRANSLATE(A3839, ""ar"", ""bn"")"),"বাধা")</f>
        <v>বাধা</v>
      </c>
    </row>
    <row r="3840">
      <c r="A3840" s="2" t="s">
        <v>6018</v>
      </c>
      <c r="B3840" s="3" t="str">
        <f>IFERROR(__xludf.DUMMYFUNCTION("GOOGLETRANSLATE(A3840, ""ar"", ""bn"")"),"ব্যবহৃত")</f>
        <v>ব্যবহৃত</v>
      </c>
    </row>
    <row r="3841">
      <c r="A3841" s="2" t="s">
        <v>4841</v>
      </c>
      <c r="B3841" s="3" t="str">
        <f>IFERROR(__xludf.DUMMYFUNCTION("GOOGLETRANSLATE(A3841, ""ar"", ""bn"")"),"আত্মবিশ্বাসহীনতা")</f>
        <v>আত্মবিশ্বাসহীনতা</v>
      </c>
    </row>
    <row r="3842">
      <c r="A3842" s="2" t="s">
        <v>6019</v>
      </c>
      <c r="B3842" s="3" t="str">
        <f>IFERROR(__xludf.DUMMYFUNCTION("GOOGLETRANSLATE(A3842, ""ar"", ""bn"")"),"চাপাচাপি")</f>
        <v>চাপাচাপি</v>
      </c>
    </row>
    <row r="3843">
      <c r="A3843" s="2" t="s">
        <v>6020</v>
      </c>
      <c r="B3843" s="3" t="str">
        <f>IFERROR(__xludf.DUMMYFUNCTION("GOOGLETRANSLATE(A3843, ""ar"", ""bn"")"),"inhibitions")</f>
        <v>inhibitions</v>
      </c>
    </row>
    <row r="3844">
      <c r="A3844" s="2" t="s">
        <v>6021</v>
      </c>
      <c r="B3844" s="3" t="str">
        <f>IFERROR(__xludf.DUMMYFUNCTION("GOOGLETRANSLATE(A3844, ""ar"", ""bn"")"),"নিষেধাত্মক")</f>
        <v>নিষেধাত্মক</v>
      </c>
    </row>
    <row r="3845">
      <c r="A3845" s="2" t="s">
        <v>6022</v>
      </c>
      <c r="B3845" s="3" t="str">
        <f>IFERROR(__xludf.DUMMYFUNCTION("GOOGLETRANSLATE(A3845, ""ar"", ""bn"")"),"ইনহিবিটারস")</f>
        <v>ইনহিবিটারস</v>
      </c>
    </row>
    <row r="3846">
      <c r="A3846" s="2" t="s">
        <v>6023</v>
      </c>
      <c r="B3846" s="3" t="str">
        <f>IFERROR(__xludf.DUMMYFUNCTION("GOOGLETRANSLATE(A3846, ""ar"", ""bn"")"),"দমনমূলক")</f>
        <v>দমনমূলক</v>
      </c>
    </row>
    <row r="3847">
      <c r="A3847" s="2" t="s">
        <v>6024</v>
      </c>
      <c r="B3847" s="3" t="str">
        <f>IFERROR(__xludf.DUMMYFUNCTION("GOOGLETRANSLATE(A3847, ""ar"", ""bn"")"),"হতাশ")</f>
        <v>হতাশ</v>
      </c>
    </row>
    <row r="3848">
      <c r="A3848" s="2" t="s">
        <v>6025</v>
      </c>
      <c r="B3848" s="3" t="str">
        <f>IFERROR(__xludf.DUMMYFUNCTION("GOOGLETRANSLATE(A3848, ""ar"", ""bn"")"),"নিষ্ঠুর")</f>
        <v>নিষ্ঠুর</v>
      </c>
    </row>
    <row r="3849">
      <c r="A3849" s="2" t="s">
        <v>6025</v>
      </c>
      <c r="B3849" s="3" t="str">
        <f>IFERROR(__xludf.DUMMYFUNCTION("GOOGLETRANSLATE(A3849, ""ar"", ""bn"")"),"নিষ্ঠুর")</f>
        <v>নিষ্ঠুর</v>
      </c>
    </row>
    <row r="3850">
      <c r="A3850" s="2" t="s">
        <v>6026</v>
      </c>
      <c r="B3850" s="3" t="str">
        <f>IFERROR(__xludf.DUMMYFUNCTION("GOOGLETRANSLATE(A3850, ""ar"", ""bn"")"),"মানবজাতি")</f>
        <v>মানবজাতি</v>
      </c>
    </row>
    <row r="3851">
      <c r="A3851" s="2" t="s">
        <v>3532</v>
      </c>
      <c r="B3851" s="3" t="str">
        <f>IFERROR(__xludf.DUMMYFUNCTION("GOOGLETRANSLATE(A3851, ""ar"", ""bn"")"),"পশুত্ব")</f>
        <v>পশুত্ব</v>
      </c>
    </row>
    <row r="3852">
      <c r="A3852" s="2" t="s">
        <v>6027</v>
      </c>
      <c r="B3852" s="3" t="str">
        <f>IFERROR(__xludf.DUMMYFUNCTION("GOOGLETRANSLATE(A3852, ""ar"", ""bn"")"),"অমানুষ")</f>
        <v>অমানুষ</v>
      </c>
    </row>
    <row r="3853">
      <c r="A3853" s="2" t="s">
        <v>6028</v>
      </c>
      <c r="B3853" s="3" t="str">
        <f>IFERROR(__xludf.DUMMYFUNCTION("GOOGLETRANSLATE(A3853, ""ar"", ""bn"")"),"অনুজ্ঞা")</f>
        <v>অনুজ্ঞা</v>
      </c>
    </row>
    <row r="3854">
      <c r="A3854" s="2" t="s">
        <v>6029</v>
      </c>
      <c r="B3854" s="3" t="str">
        <f>IFERROR(__xludf.DUMMYFUNCTION("GOOGLETRANSLATE(A3854, ""ar"", ""bn"")"),"আদেশ")</f>
        <v>আদেশ</v>
      </c>
    </row>
    <row r="3855">
      <c r="A3855" s="2" t="s">
        <v>6030</v>
      </c>
      <c r="B3855" s="3" t="str">
        <f>IFERROR(__xludf.DUMMYFUNCTION("GOOGLETRANSLATE(A3855, ""ar"", ""bn"")"),"ক্ষত")</f>
        <v>ক্ষত</v>
      </c>
    </row>
    <row r="3856">
      <c r="A3856" s="2" t="s">
        <v>5990</v>
      </c>
      <c r="B3856" s="3" t="str">
        <f>IFERROR(__xludf.DUMMYFUNCTION("GOOGLETRANSLATE(A3856, ""ar"", ""bn"")"),"সংক্রমণ")</f>
        <v>সংক্রমণ</v>
      </c>
    </row>
    <row r="3857">
      <c r="A3857" s="2" t="s">
        <v>6031</v>
      </c>
      <c r="B3857" s="3" t="str">
        <f>IFERROR(__xludf.DUMMYFUNCTION("GOOGLETRANSLATE(A3857, ""ar"", ""bn"")"),"ইনজ্যুরিস্")</f>
        <v>ইনজ্যুরিস্</v>
      </c>
    </row>
    <row r="3858">
      <c r="A3858" s="2" t="s">
        <v>4689</v>
      </c>
      <c r="B3858" s="3" t="str">
        <f>IFERROR(__xludf.DUMMYFUNCTION("GOOGLETRANSLATE(A3858, ""ar"", ""bn"")"),"ক্ষতিকর")</f>
        <v>ক্ষতিকর</v>
      </c>
    </row>
    <row r="3859">
      <c r="A3859" s="2" t="s">
        <v>6032</v>
      </c>
      <c r="B3859" s="3" t="str">
        <f>IFERROR(__xludf.DUMMYFUNCTION("GOOGLETRANSLATE(A3859, ""ar"", ""bn"")"),"অপর")</f>
        <v>অপর</v>
      </c>
    </row>
    <row r="3860">
      <c r="A3860" s="2" t="s">
        <v>6030</v>
      </c>
      <c r="B3860" s="3" t="str">
        <f>IFERROR(__xludf.DUMMYFUNCTION("GOOGLETRANSLATE(A3860, ""ar"", ""bn"")"),"ক্ষত")</f>
        <v>ক্ষত</v>
      </c>
    </row>
    <row r="3861">
      <c r="A3861" s="2" t="s">
        <v>4268</v>
      </c>
      <c r="B3861" s="3" t="str">
        <f>IFERROR(__xludf.DUMMYFUNCTION("GOOGLETRANSLATE(A3861, ""ar"", ""bn"")"),"পাগল")</f>
        <v>পাগল</v>
      </c>
    </row>
    <row r="3862">
      <c r="A3862" s="2" t="s">
        <v>6033</v>
      </c>
      <c r="B3862" s="3" t="str">
        <f>IFERROR(__xludf.DUMMYFUNCTION("GOOGLETRANSLATE(A3862, ""ar"", ""bn"")"),"পাগলের মত")</f>
        <v>পাগলের মত</v>
      </c>
    </row>
    <row r="3863">
      <c r="A3863" s="2" t="s">
        <v>6034</v>
      </c>
      <c r="B3863" s="3" t="str">
        <f>IFERROR(__xludf.DUMMYFUNCTION("GOOGLETRANSLATE(A3863, ""ar"", ""bn"")"),"বিপজ্জনক")</f>
        <v>বিপজ্জনক</v>
      </c>
    </row>
    <row r="3864">
      <c r="A3864" s="2" t="s">
        <v>6035</v>
      </c>
      <c r="B3864" s="3" t="str">
        <f>IFERROR(__xludf.DUMMYFUNCTION("GOOGLETRANSLATE(A3864, ""ar"", ""bn"")"),"বিপজ্জনক")</f>
        <v>বিপজ্জনক</v>
      </c>
    </row>
    <row r="3865">
      <c r="A3865" s="2" t="s">
        <v>6036</v>
      </c>
      <c r="B3865" s="3" t="str">
        <f>IFERROR(__xludf.DUMMYFUNCTION("GOOGLETRANSLATE(A3865, ""ar"", ""bn"")"),"নিরাপত্তার অভাবে")</f>
        <v>নিরাপত্তার অভাবে</v>
      </c>
    </row>
    <row r="3866">
      <c r="A3866" s="2" t="s">
        <v>6037</v>
      </c>
      <c r="B3866" s="3" t="str">
        <f>IFERROR(__xludf.DUMMYFUNCTION("GOOGLETRANSLATE(A3866, ""ar"", ""bn"")"),"অনিরাপত্তা")</f>
        <v>অনিরাপত্তা</v>
      </c>
    </row>
    <row r="3867">
      <c r="A3867" s="2" t="s">
        <v>6038</v>
      </c>
      <c r="B3867" s="3" t="str">
        <f>IFERROR(__xludf.DUMMYFUNCTION("GOOGLETRANSLATE(A3867, ""ar"", ""bn"")"),"অবিদিত")</f>
        <v>অবিদিত</v>
      </c>
    </row>
    <row r="3868">
      <c r="A3868" s="2" t="s">
        <v>6039</v>
      </c>
      <c r="B3868" s="3" t="str">
        <f>IFERROR(__xludf.DUMMYFUNCTION("GOOGLETRANSLATE(A3868, ""ar"", ""bn"")"),"বাম")</f>
        <v>বাম</v>
      </c>
    </row>
    <row r="3869">
      <c r="A3869" s="2" t="s">
        <v>6040</v>
      </c>
      <c r="B3869" s="3" t="str">
        <f>IFERROR(__xludf.DUMMYFUNCTION("GOOGLETRANSLATE(A3869, ""ar"", ""bn"")"),"ধূর্ত")</f>
        <v>ধূর্ত</v>
      </c>
    </row>
    <row r="3870">
      <c r="A3870" s="2" t="s">
        <v>3517</v>
      </c>
      <c r="B3870" s="3" t="str">
        <f>IFERROR(__xludf.DUMMYFUNCTION("GOOGLETRANSLATE(A3870, ""ar"", ""bn"")"),"ক্ষুদ্রতা")</f>
        <v>ক্ষুদ্রতা</v>
      </c>
    </row>
    <row r="3871">
      <c r="A3871" s="2" t="s">
        <v>6041</v>
      </c>
      <c r="B3871" s="3" t="str">
        <f>IFERROR(__xludf.DUMMYFUNCTION("GOOGLETRANSLATE(A3871, ""ar"", ""bn"")"),"সামান্য")</f>
        <v>সামান্য</v>
      </c>
    </row>
    <row r="3872">
      <c r="A3872" s="2" t="s">
        <v>6042</v>
      </c>
      <c r="B3872" s="3" t="str">
        <f>IFERROR(__xludf.DUMMYFUNCTION("GOOGLETRANSLATE(A3872, ""ar"", ""bn"")"),"insignificantly")</f>
        <v>insignificantly</v>
      </c>
    </row>
    <row r="3873">
      <c r="A3873" s="2" t="s">
        <v>6043</v>
      </c>
      <c r="B3873" s="3" t="str">
        <f>IFERROR(__xludf.DUMMYFUNCTION("GOOGLETRANSLATE(A3873, ""ar"", ""bn"")"),"অবিশ্বস্ত")</f>
        <v>অবিশ্বস্ত</v>
      </c>
    </row>
    <row r="3874">
      <c r="A3874" s="2" t="s">
        <v>6044</v>
      </c>
      <c r="B3874" s="3" t="str">
        <f>IFERROR(__xludf.DUMMYFUNCTION("GOOGLETRANSLATE(A3874, ""ar"", ""bn"")"),"কপটভাবে")</f>
        <v>কপটভাবে</v>
      </c>
    </row>
    <row r="3875">
      <c r="A3875" s="2" t="s">
        <v>5856</v>
      </c>
      <c r="B3875" s="3" t="str">
        <f>IFERROR(__xludf.DUMMYFUNCTION("GOOGLETRANSLATE(A3875, ""ar"", ""bn"")"),"ভণ্ডামি")</f>
        <v>ভণ্ডামি</v>
      </c>
    </row>
    <row r="3876">
      <c r="A3876" s="2" t="s">
        <v>6045</v>
      </c>
      <c r="B3876" s="3" t="str">
        <f>IFERROR(__xludf.DUMMYFUNCTION("GOOGLETRANSLATE(A3876, ""ar"", ""bn"")"),"তাপ্পি")</f>
        <v>তাপ্পি</v>
      </c>
    </row>
    <row r="3877">
      <c r="A3877" s="2" t="s">
        <v>6046</v>
      </c>
      <c r="B3877" s="3" t="str">
        <f>IFERROR(__xludf.DUMMYFUNCTION("GOOGLETRANSLATE(A3877, ""ar"", ""bn"")"),"দেখ")</f>
        <v>দেখ</v>
      </c>
    </row>
    <row r="3878">
      <c r="A3878" s="2" t="s">
        <v>6047</v>
      </c>
      <c r="B3878" s="3" t="str">
        <f>IFERROR(__xludf.DUMMYFUNCTION("GOOGLETRANSLATE(A3878, ""ar"", ""bn"")"),"Insinuating")</f>
        <v>Insinuating</v>
      </c>
    </row>
    <row r="3879">
      <c r="A3879" s="2" t="s">
        <v>6048</v>
      </c>
      <c r="B3879" s="3" t="str">
        <f>IFERROR(__xludf.DUMMYFUNCTION("GOOGLETRANSLATE(A3879, ""ar"", ""bn"")"),"insinuatingly")</f>
        <v>insinuatingly</v>
      </c>
    </row>
    <row r="3880">
      <c r="A3880" s="2" t="s">
        <v>6049</v>
      </c>
      <c r="B3880" s="3" t="str">
        <f>IFERROR(__xludf.DUMMYFUNCTION("GOOGLETRANSLATE(A3880, ""ar"", ""bn"")"),"ইঙ্গিত")</f>
        <v>ইঙ্গিত</v>
      </c>
    </row>
    <row r="3881">
      <c r="A3881" s="2" t="s">
        <v>6050</v>
      </c>
      <c r="B3881" s="3" t="str">
        <f>IFERROR(__xludf.DUMMYFUNCTION("GOOGLETRANSLATE(A3881, ""ar"", ""bn"")"),"সংকেতগুলি")</f>
        <v>সংকেতগুলি</v>
      </c>
    </row>
    <row r="3882">
      <c r="A3882" s="2" t="s">
        <v>6051</v>
      </c>
      <c r="B3882" s="3" t="str">
        <f>IFERROR(__xludf.DUMMYFUNCTION("GOOGLETRANSLATE(A3882, ""ar"", ""bn"")"),"প্রগল্ভতা")</f>
        <v>প্রগল্ভতা</v>
      </c>
    </row>
    <row r="3883">
      <c r="A3883" s="2" t="s">
        <v>3781</v>
      </c>
      <c r="B3883" s="3" t="str">
        <f>IFERROR(__xludf.DUMMYFUNCTION("GOOGLETRANSLATE(A3883, ""ar"", ""bn"")"),"লজ্জাহীন")</f>
        <v>লজ্জাহীন</v>
      </c>
    </row>
    <row r="3884">
      <c r="A3884" s="2" t="s">
        <v>6052</v>
      </c>
      <c r="B3884" s="3" t="str">
        <f>IFERROR(__xludf.DUMMYFUNCTION("GOOGLETRANSLATE(A3884, ""ar"", ""bn"")"),"অহংকার")</f>
        <v>অহংকার</v>
      </c>
    </row>
    <row r="3885">
      <c r="A3885" s="2" t="s">
        <v>6053</v>
      </c>
      <c r="B3885" s="3" t="str">
        <f>IFERROR(__xludf.DUMMYFUNCTION("GOOGLETRANSLATE(A3885, ""ar"", ""bn"")"),"অস্থায়িত্ব")</f>
        <v>অস্থায়িত্ব</v>
      </c>
    </row>
    <row r="3886">
      <c r="A3886" s="2" t="s">
        <v>6054</v>
      </c>
      <c r="B3886" s="3" t="str">
        <f>IFERROR(__xludf.DUMMYFUNCTION("GOOGLETRANSLATE(A3886, ""ar"", ""bn"")"),"ব্যর্থতা")</f>
        <v>ব্যর্থতা</v>
      </c>
    </row>
    <row r="3887">
      <c r="A3887" s="2" t="s">
        <v>5945</v>
      </c>
      <c r="B3887" s="3" t="str">
        <f>IFERROR(__xludf.DUMMYFUNCTION("GOOGLETRANSLATE(A3887, ""ar"", ""bn"")"),"অপর্যাপ্ত")</f>
        <v>অপর্যাপ্ত</v>
      </c>
    </row>
    <row r="3888">
      <c r="A3888" s="2" t="s">
        <v>6055</v>
      </c>
      <c r="B3888" s="3" t="str">
        <f>IFERROR(__xludf.DUMMYFUNCTION("GOOGLETRANSLATE(A3888, ""ar"", ""bn"")"),"পর্যাপ্ত")</f>
        <v>পর্যাপ্ত</v>
      </c>
    </row>
    <row r="3889">
      <c r="A3889" s="2" t="s">
        <v>6056</v>
      </c>
      <c r="B3889" s="3" t="str">
        <f>IFERROR(__xludf.DUMMYFUNCTION("GOOGLETRANSLATE(A3889, ""ar"", ""bn"")"),"অপমান")</f>
        <v>অপমান</v>
      </c>
    </row>
    <row r="3890">
      <c r="A3890" s="2" t="s">
        <v>6057</v>
      </c>
      <c r="B3890" s="3" t="str">
        <f>IFERROR(__xludf.DUMMYFUNCTION("GOOGLETRANSLATE(A3890, ""ar"", ""bn"")"),"অপমান")</f>
        <v>অপমান</v>
      </c>
    </row>
    <row r="3891">
      <c r="A3891" s="2" t="s">
        <v>6058</v>
      </c>
      <c r="B3891" s="3" t="str">
        <f>IFERROR(__xludf.DUMMYFUNCTION("GOOGLETRANSLATE(A3891, ""ar"", ""bn"")"),"অপমানকর")</f>
        <v>অপমানকর</v>
      </c>
    </row>
    <row r="3892">
      <c r="A3892" s="2" t="s">
        <v>4535</v>
      </c>
      <c r="B3892" s="3" t="str">
        <f>IFERROR(__xludf.DUMMYFUNCTION("GOOGLETRANSLATE(A3892, ""ar"", ""bn"")"),"অপমান")</f>
        <v>অপমান</v>
      </c>
    </row>
    <row r="3893">
      <c r="A3893" s="2" t="s">
        <v>4535</v>
      </c>
      <c r="B3893" s="3" t="str">
        <f>IFERROR(__xludf.DUMMYFUNCTION("GOOGLETRANSLATE(A3893, ""ar"", ""bn"")"),"অপমান")</f>
        <v>অপমান</v>
      </c>
    </row>
    <row r="3894">
      <c r="A3894" s="2" t="s">
        <v>4380</v>
      </c>
      <c r="B3894" s="3" t="str">
        <f>IFERROR(__xludf.DUMMYFUNCTION("GOOGLETRANSLATE(A3894, ""ar"", ""bn"")"),"অপমান")</f>
        <v>অপমান</v>
      </c>
    </row>
    <row r="3895">
      <c r="A3895" s="2" t="s">
        <v>6059</v>
      </c>
      <c r="B3895" s="3" t="str">
        <f>IFERROR(__xludf.DUMMYFUNCTION("GOOGLETRANSLATE(A3895, ""ar"", ""bn"")"),"হস্তক্ষেপ")</f>
        <v>হস্তক্ষেপ</v>
      </c>
    </row>
    <row r="3896">
      <c r="A3896" s="2" t="s">
        <v>6060</v>
      </c>
      <c r="B3896" s="3" t="str">
        <f>IFERROR(__xludf.DUMMYFUNCTION("GOOGLETRANSLATE(A3896, ""ar"", ""bn"")"),"হস্তক্ষেপ")</f>
        <v>হস্তক্ষেপ</v>
      </c>
    </row>
    <row r="3897">
      <c r="A3897" s="2" t="s">
        <v>6059</v>
      </c>
      <c r="B3897" s="3" t="str">
        <f>IFERROR(__xludf.DUMMYFUNCTION("GOOGLETRANSLATE(A3897, ""ar"", ""bn"")"),"হস্তক্ষেপ")</f>
        <v>হস্তক্ষেপ</v>
      </c>
    </row>
    <row r="3898">
      <c r="A3898" s="2" t="s">
        <v>6061</v>
      </c>
      <c r="B3898" s="3" t="str">
        <f>IFERROR(__xludf.DUMMYFUNCTION("GOOGLETRANSLATE(A3898, ""ar"", ""bn"")"),"হস্তক্ষেপ")</f>
        <v>হস্তক্ষেপ</v>
      </c>
    </row>
    <row r="3899">
      <c r="A3899" s="2" t="s">
        <v>6062</v>
      </c>
      <c r="B3899" s="3" t="str">
        <f>IFERROR(__xludf.DUMMYFUNCTION("GOOGLETRANSLATE(A3899, ""ar"", ""bn"")"),"Intervener")</f>
        <v>Intervener</v>
      </c>
    </row>
    <row r="3900">
      <c r="A3900" s="2" t="s">
        <v>6063</v>
      </c>
      <c r="B3900" s="3" t="str">
        <f>IFERROR(__xludf.DUMMYFUNCTION("GOOGLETRANSLATE(A3900, ""ar"", ""bn"")"),"হস্তক্ষেপ")</f>
        <v>হস্তক্ষেপ</v>
      </c>
    </row>
    <row r="3901">
      <c r="A3901" s="2" t="s">
        <v>6064</v>
      </c>
      <c r="B3901" s="3" t="str">
        <f>IFERROR(__xludf.DUMMYFUNCTION("GOOGLETRANSLATE(A3901, ""ar"", ""bn"")"),"হস্তক্ষেপ")</f>
        <v>হস্তক্ষেপ</v>
      </c>
    </row>
    <row r="3902">
      <c r="A3902" s="2" t="s">
        <v>6065</v>
      </c>
      <c r="B3902" s="3" t="str">
        <f>IFERROR(__xludf.DUMMYFUNCTION("GOOGLETRANSLATE(A3902, ""ar"", ""bn"")"),"ইন্টারফেরোমিটার")</f>
        <v>ইন্টারফেরোমিটার</v>
      </c>
    </row>
    <row r="3903">
      <c r="A3903" s="2" t="s">
        <v>6066</v>
      </c>
      <c r="B3903" s="3" t="str">
        <f>IFERROR(__xludf.DUMMYFUNCTION("GOOGLETRANSLATE(A3903, ""ar"", ""bn"")"),"উপরে জড়ান")</f>
        <v>উপরে জড়ান</v>
      </c>
    </row>
    <row r="3904">
      <c r="A3904" s="2" t="s">
        <v>6067</v>
      </c>
      <c r="B3904" s="3" t="str">
        <f>IFERROR(__xludf.DUMMYFUNCTION("GOOGLETRANSLATE(A3904, ""ar"", ""bn"")"),"হস্তক্ষেপ")</f>
        <v>হস্তক্ষেপ</v>
      </c>
    </row>
    <row r="3905">
      <c r="A3905" s="2" t="s">
        <v>6067</v>
      </c>
      <c r="B3905" s="3" t="str">
        <f>IFERROR(__xludf.DUMMYFUNCTION("GOOGLETRANSLATE(A3905, ""ar"", ""bn"")"),"হস্তক্ষেপ")</f>
        <v>হস্তক্ষেপ</v>
      </c>
    </row>
    <row r="3906">
      <c r="A3906" s="2" t="s">
        <v>6068</v>
      </c>
      <c r="B3906" s="3" t="str">
        <f>IFERROR(__xludf.DUMMYFUNCTION("GOOGLETRANSLATE(A3906, ""ar"", ""bn"")"),"অ্যান্টিভাইরাস")</f>
        <v>অ্যান্টিভাইরাস</v>
      </c>
    </row>
    <row r="3907">
      <c r="A3907" s="2" t="s">
        <v>6069</v>
      </c>
      <c r="B3907" s="3" t="str">
        <f>IFERROR(__xludf.DUMMYFUNCTION("GOOGLETRANSLATE(A3907, ""ar"", ""bn"")"),"কাটা")</f>
        <v>কাটা</v>
      </c>
    </row>
    <row r="3908">
      <c r="A3908" s="2" t="s">
        <v>6070</v>
      </c>
      <c r="B3908" s="3" t="str">
        <f>IFERROR(__xludf.DUMMYFUNCTION("GOOGLETRANSLATE(A3908, ""ar"", ""bn"")"),"সবিরাম")</f>
        <v>সবিরাম</v>
      </c>
    </row>
    <row r="3909">
      <c r="A3909" s="2" t="s">
        <v>6071</v>
      </c>
      <c r="B3909" s="3" t="str">
        <f>IFERROR(__xludf.DUMMYFUNCTION("GOOGLETRANSLATE(A3909, ""ar"", ""bn"")"),"বয়কট")</f>
        <v>বয়কট</v>
      </c>
    </row>
    <row r="3910">
      <c r="A3910" s="2" t="s">
        <v>5783</v>
      </c>
      <c r="B3910" s="3" t="str">
        <f>IFERROR(__xludf.DUMMYFUNCTION("GOOGLETRANSLATE(A3910, ""ar"", ""bn"")"),"বিঘ্ন")</f>
        <v>বিঘ্ন</v>
      </c>
    </row>
    <row r="3911">
      <c r="A3911" s="2" t="s">
        <v>6072</v>
      </c>
      <c r="B3911" s="3" t="str">
        <f>IFERROR(__xludf.DUMMYFUNCTION("GOOGLETRANSLATE(A3911, ""ar"", ""bn"")"),"cutout")</f>
        <v>cutout</v>
      </c>
    </row>
    <row r="3912">
      <c r="A3912" s="2" t="s">
        <v>6073</v>
      </c>
      <c r="B3912" s="3" t="str">
        <f>IFERROR(__xludf.DUMMYFUNCTION("GOOGLETRANSLATE(A3912, ""ar"", ""bn"")"),"কাউন্টিকে")</f>
        <v>কাউন্টিকে</v>
      </c>
    </row>
    <row r="3913">
      <c r="A3913" s="2" t="s">
        <v>6074</v>
      </c>
      <c r="B3913" s="3" t="str">
        <f>IFERROR(__xludf.DUMMYFUNCTION("GOOGLETRANSLATE(A3913, ""ar"", ""bn"")"),"হুমকি")</f>
        <v>হুমকি</v>
      </c>
    </row>
    <row r="3914">
      <c r="A3914" s="2" t="s">
        <v>6075</v>
      </c>
      <c r="B3914" s="3" t="str">
        <f>IFERROR(__xludf.DUMMYFUNCTION("GOOGLETRANSLATE(A3914, ""ar"", ""bn"")"),"হুমকি")</f>
        <v>হুমকি</v>
      </c>
    </row>
    <row r="3915">
      <c r="A3915" s="2" t="s">
        <v>6076</v>
      </c>
      <c r="B3915" s="3" t="str">
        <f>IFERROR(__xludf.DUMMYFUNCTION("GOOGLETRANSLATE(A3915, ""ar"", ""bn"")"),"হুমকি")</f>
        <v>হুমকি</v>
      </c>
    </row>
    <row r="3916">
      <c r="A3916" s="2" t="s">
        <v>6074</v>
      </c>
      <c r="B3916" s="3" t="str">
        <f>IFERROR(__xludf.DUMMYFUNCTION("GOOGLETRANSLATE(A3916, ""ar"", ""bn"")"),"হুমকি")</f>
        <v>হুমকি</v>
      </c>
    </row>
    <row r="3917">
      <c r="A3917" s="2" t="s">
        <v>6074</v>
      </c>
      <c r="B3917" s="3" t="str">
        <f>IFERROR(__xludf.DUMMYFUNCTION("GOOGLETRANSLATE(A3917, ""ar"", ""bn"")"),"হুমকি")</f>
        <v>হুমকি</v>
      </c>
    </row>
    <row r="3918">
      <c r="A3918" s="2" t="s">
        <v>6077</v>
      </c>
      <c r="B3918" s="3" t="str">
        <f>IFERROR(__xludf.DUMMYFUNCTION("GOOGLETRANSLATE(A3918, ""ar"", ""bn"")"),"হুমকি")</f>
        <v>হুমকি</v>
      </c>
    </row>
    <row r="3919">
      <c r="A3919" s="2" t="s">
        <v>6078</v>
      </c>
      <c r="B3919" s="3" t="str">
        <f>IFERROR(__xludf.DUMMYFUNCTION("GOOGLETRANSLATE(A3919, ""ar"", ""bn"")"),"অসহ্য")</f>
        <v>অসহ্য</v>
      </c>
    </row>
    <row r="3920">
      <c r="A3920" s="2" t="s">
        <v>6079</v>
      </c>
      <c r="B3920" s="3" t="str">
        <f>IFERROR(__xludf.DUMMYFUNCTION("GOOGLETRANSLATE(A3920, ""ar"", ""bn"")"),"প্রমত্ত করা")</f>
        <v>প্রমত্ত করা</v>
      </c>
    </row>
    <row r="3921">
      <c r="A3921" s="2" t="s">
        <v>6080</v>
      </c>
      <c r="B3921" s="3" t="str">
        <f>IFERROR(__xludf.DUMMYFUNCTION("GOOGLETRANSLATE(A3921, ""ar"", ""bn"")"),"স্ক্রুড")</f>
        <v>স্ক্রুড</v>
      </c>
    </row>
    <row r="3922">
      <c r="A3922" s="2" t="s">
        <v>6081</v>
      </c>
      <c r="B3922" s="3" t="str">
        <f>IFERROR(__xludf.DUMMYFUNCTION("GOOGLETRANSLATE(A3922, ""ar"", ""bn"")"),"অনধিকারপ্রবেশ")</f>
        <v>অনধিকারপ্রবেশ</v>
      </c>
    </row>
    <row r="3923">
      <c r="A3923" s="2" t="s">
        <v>6082</v>
      </c>
      <c r="B3923" s="3" t="str">
        <f>IFERROR(__xludf.DUMMYFUNCTION("GOOGLETRANSLATE(A3923, ""ar"", ""bn"")"),"অনুপ্রবিষ্ট")</f>
        <v>অনুপ্রবিষ্ট</v>
      </c>
    </row>
    <row r="3924">
      <c r="A3924" s="2" t="s">
        <v>6083</v>
      </c>
      <c r="B3924" s="3" t="str">
        <f>IFERROR(__xludf.DUMMYFUNCTION("GOOGLETRANSLATE(A3924, ""ar"", ""bn"")"),"প্রার্থনারত")</f>
        <v>প্রার্থনারত</v>
      </c>
    </row>
    <row r="3925">
      <c r="A3925" s="2" t="s">
        <v>6084</v>
      </c>
      <c r="B3925" s="3" t="str">
        <f>IFERROR(__xludf.DUMMYFUNCTION("GOOGLETRANSLATE(A3925, ""ar"", ""bn"")"),"অনুপ্রবেশকারীদের")</f>
        <v>অনুপ্রবেশকারীদের</v>
      </c>
    </row>
    <row r="3926">
      <c r="A3926" s="2" t="s">
        <v>6085</v>
      </c>
      <c r="B3926" s="3" t="str">
        <f>IFERROR(__xludf.DUMMYFUNCTION("GOOGLETRANSLATE(A3926, ""ar"", ""bn"")"),"Intrudes")</f>
        <v>Intrudes</v>
      </c>
    </row>
    <row r="3927">
      <c r="A3927" s="2" t="s">
        <v>6086</v>
      </c>
      <c r="B3927" s="3" t="str">
        <f>IFERROR(__xludf.DUMMYFUNCTION("GOOGLETRANSLATE(A3927, ""ar"", ""bn"")"),"পরাশ্রয়িতা")</f>
        <v>পরাশ্রয়িতা</v>
      </c>
    </row>
    <row r="3928">
      <c r="A3928" s="2" t="s">
        <v>6059</v>
      </c>
      <c r="B3928" s="3" t="str">
        <f>IFERROR(__xludf.DUMMYFUNCTION("GOOGLETRANSLATE(A3928, ""ar"", ""bn"")"),"হস্তক্ষেপ")</f>
        <v>হস্তক্ষেপ</v>
      </c>
    </row>
    <row r="3929">
      <c r="A3929" s="2" t="s">
        <v>6087</v>
      </c>
      <c r="B3929" s="3" t="str">
        <f>IFERROR(__xludf.DUMMYFUNCTION("GOOGLETRANSLATE(A3929, ""ar"", ""bn"")"),"ক্রমশ")</f>
        <v>ক্রমশ</v>
      </c>
    </row>
    <row r="3930">
      <c r="A3930" s="2" t="s">
        <v>6088</v>
      </c>
      <c r="B3930" s="3" t="str">
        <f>IFERROR(__xludf.DUMMYFUNCTION("GOOGLETRANSLATE(A3930, ""ar"", ""bn"")"),"প্রবাহিত করা")</f>
        <v>প্রবাহিত করা</v>
      </c>
    </row>
    <row r="3931">
      <c r="A3931" s="2" t="s">
        <v>6089</v>
      </c>
      <c r="B3931" s="3" t="str">
        <f>IFERROR(__xludf.DUMMYFUNCTION("GOOGLETRANSLATE(A3931, ""ar"", ""bn"")"),"প্লাবিত")</f>
        <v>প্লাবিত</v>
      </c>
    </row>
    <row r="3932">
      <c r="A3932" s="2" t="s">
        <v>6090</v>
      </c>
      <c r="B3932" s="3" t="str">
        <f>IFERROR(__xludf.DUMMYFUNCTION("GOOGLETRANSLATE(A3932, ""ar"", ""bn"")"),"আক্রমণ করা")</f>
        <v>আক্রমণ করা</v>
      </c>
    </row>
    <row r="3933">
      <c r="A3933" s="2" t="s">
        <v>6091</v>
      </c>
      <c r="B3933" s="3" t="str">
        <f>IFERROR(__xludf.DUMMYFUNCTION("GOOGLETRANSLATE(A3933, ""ar"", ""bn"")"),"আক্রান্ত")</f>
        <v>আক্রান্ত</v>
      </c>
    </row>
    <row r="3934">
      <c r="A3934" s="2" t="s">
        <v>6092</v>
      </c>
      <c r="B3934" s="3" t="str">
        <f>IFERROR(__xludf.DUMMYFUNCTION("GOOGLETRANSLATE(A3934, ""ar"", ""bn"")"),"গ্যাস")</f>
        <v>গ্যাস</v>
      </c>
    </row>
    <row r="3935">
      <c r="A3935" s="2" t="s">
        <v>6093</v>
      </c>
      <c r="B3935" s="3" t="str">
        <f>IFERROR(__xludf.DUMMYFUNCTION("GOOGLETRANSLATE(A3935, ""ar"", ""bn"")"),"বাইরের বস্তুর মোকাবিলা")</f>
        <v>বাইরের বস্তুর মোকাবিলা</v>
      </c>
    </row>
    <row r="3936">
      <c r="A3936" s="2" t="s">
        <v>6094</v>
      </c>
      <c r="B3936" s="3" t="str">
        <f>IFERROR(__xludf.DUMMYFUNCTION("GOOGLETRANSLATE(A3936, ""ar"", ""bn"")"),"আক্রমণ")</f>
        <v>আক্রমণ</v>
      </c>
    </row>
    <row r="3937">
      <c r="A3937" s="2" t="s">
        <v>6095</v>
      </c>
      <c r="B3937" s="3" t="str">
        <f>IFERROR(__xludf.DUMMYFUNCTION("GOOGLETRANSLATE(A3937, ""ar"", ""bn"")"),"অকার্যকর")</f>
        <v>অকার্যকর</v>
      </c>
    </row>
    <row r="3938">
      <c r="A3938" s="2" t="s">
        <v>6096</v>
      </c>
      <c r="B3938" s="3" t="str">
        <f>IFERROR(__xludf.DUMMYFUNCTION("GOOGLETRANSLATE(A3938, ""ar"", ""bn"")"),"বাতিল করা")</f>
        <v>বাতিল করা</v>
      </c>
    </row>
    <row r="3939">
      <c r="A3939" s="2" t="s">
        <v>6096</v>
      </c>
      <c r="B3939" s="3" t="str">
        <f>IFERROR(__xludf.DUMMYFUNCTION("GOOGLETRANSLATE(A3939, ""ar"", ""bn"")"),"বাতিল করা")</f>
        <v>বাতিল করা</v>
      </c>
    </row>
    <row r="3940">
      <c r="A3940" s="2" t="s">
        <v>6096</v>
      </c>
      <c r="B3940" s="3" t="str">
        <f>IFERROR(__xludf.DUMMYFUNCTION("GOOGLETRANSLATE(A3940, ""ar"", ""bn"")"),"বাতিল করা")</f>
        <v>বাতিল করা</v>
      </c>
    </row>
    <row r="3941">
      <c r="A3941" s="2" t="s">
        <v>6097</v>
      </c>
      <c r="B3941" s="3" t="str">
        <f>IFERROR(__xludf.DUMMYFUNCTION("GOOGLETRANSLATE(A3941, ""ar"", ""bn"")"),"Nullifiers")</f>
        <v>Nullifiers</v>
      </c>
    </row>
    <row r="3942">
      <c r="A3942" s="2" t="s">
        <v>6098</v>
      </c>
      <c r="B3942" s="3" t="str">
        <f>IFERROR(__xludf.DUMMYFUNCTION("GOOGLETRANSLATE(A3942, ""ar"", ""bn"")"),"চ্যাম্পিয়ন্স")</f>
        <v>চ্যাম্পিয়ন্স</v>
      </c>
    </row>
    <row r="3943">
      <c r="A3943" s="2" t="s">
        <v>5958</v>
      </c>
      <c r="B3943" s="3" t="str">
        <f>IFERROR(__xludf.DUMMYFUNCTION("GOOGLETRANSLATE(A3943, ""ar"", ""bn"")"),"ইনভ্যালিডিটি")</f>
        <v>ইনভ্যালিডিটি</v>
      </c>
    </row>
    <row r="3944">
      <c r="A3944" s="2" t="s">
        <v>6099</v>
      </c>
      <c r="B3944" s="3" t="str">
        <f>IFERROR(__xludf.DUMMYFUNCTION("GOOGLETRANSLATE(A3944, ""ar"", ""bn"")"),"অক্ষম")</f>
        <v>অক্ষম</v>
      </c>
    </row>
    <row r="3945">
      <c r="A3945" s="2" t="s">
        <v>4227</v>
      </c>
      <c r="B3945" s="3" t="str">
        <f>IFERROR(__xludf.DUMMYFUNCTION("GOOGLETRANSLATE(A3945, ""ar"", ""bn"")"),"গোপন")</f>
        <v>গোপন</v>
      </c>
    </row>
    <row r="3946">
      <c r="A3946" s="2" t="s">
        <v>6100</v>
      </c>
      <c r="B3946" s="3" t="str">
        <f>IFERROR(__xludf.DUMMYFUNCTION("GOOGLETRANSLATE(A3946, ""ar"", ""bn"")"),"অতিপ্রাকৃত")</f>
        <v>অতিপ্রাকৃত</v>
      </c>
    </row>
    <row r="3947">
      <c r="A3947" s="2" t="s">
        <v>6101</v>
      </c>
      <c r="B3947" s="3" t="str">
        <f>IFERROR(__xludf.DUMMYFUNCTION("GOOGLETRANSLATE(A3947, ""ar"", ""bn"")"),"প্রতিবিম্ব")</f>
        <v>প্রতিবিম্ব</v>
      </c>
    </row>
    <row r="3948">
      <c r="A3948" s="2" t="s">
        <v>6102</v>
      </c>
      <c r="B3948" s="3" t="str">
        <f>IFERROR(__xludf.DUMMYFUNCTION("GOOGLETRANSLATE(A3948, ""ar"", ""bn"")"),"টাট্টু ঘোড়া")</f>
        <v>টাট্টু ঘোড়া</v>
      </c>
    </row>
    <row r="3949">
      <c r="A3949" s="2" t="s">
        <v>6103</v>
      </c>
      <c r="B3949" s="3" t="str">
        <f>IFERROR(__xludf.DUMMYFUNCTION("GOOGLETRANSLATE(A3949, ""ar"", ""bn"")"),"কুপিত")</f>
        <v>কুপিত</v>
      </c>
    </row>
    <row r="3950">
      <c r="A3950" s="2" t="s">
        <v>6104</v>
      </c>
      <c r="B3950" s="3" t="str">
        <f>IFERROR(__xludf.DUMMYFUNCTION("GOOGLETRANSLATE(A3950, ""ar"", ""bn"")"),"কোনটি বিরক্ত")</f>
        <v>কোনটি বিরক্ত</v>
      </c>
    </row>
    <row r="3951">
      <c r="A3951" s="2" t="s">
        <v>6105</v>
      </c>
      <c r="B3951" s="3" t="str">
        <f>IFERROR(__xludf.DUMMYFUNCTION("GOOGLETRANSLATE(A3951, ""ar"", ""bn"")"),"Irks")</f>
        <v>Irks</v>
      </c>
    </row>
    <row r="3952">
      <c r="A3952" s="2" t="s">
        <v>6106</v>
      </c>
      <c r="B3952" s="3" t="str">
        <f>IFERROR(__xludf.DUMMYFUNCTION("GOOGLETRANSLATE(A3952, ""ar"", ""bn"")"),"লোমকূপ")</f>
        <v>লোমকূপ</v>
      </c>
    </row>
    <row r="3953">
      <c r="A3953" s="2" t="s">
        <v>6107</v>
      </c>
      <c r="B3953" s="3" t="str">
        <f>IFERROR(__xludf.DUMMYFUNCTION("GOOGLETRANSLATE(A3953, ""ar"", ""bn"")"),"একঘেয়েমি")</f>
        <v>একঘেয়েমি</v>
      </c>
    </row>
    <row r="3954">
      <c r="A3954" s="2" t="s">
        <v>4396</v>
      </c>
      <c r="B3954" s="3" t="str">
        <f>IFERROR(__xludf.DUMMYFUNCTION("GOOGLETRANSLATE(A3954, ""ar"", ""bn"")"),"তীব্র ব্যঙ্গপূর্ণ")</f>
        <v>তীব্র ব্যঙ্গপূর্ণ</v>
      </c>
    </row>
    <row r="3955">
      <c r="A3955" s="2" t="s">
        <v>4396</v>
      </c>
      <c r="B3955" s="3" t="str">
        <f>IFERROR(__xludf.DUMMYFUNCTION("GOOGLETRANSLATE(A3955, ""ar"", ""bn"")"),"তীব্র ব্যঙ্গপূর্ণ")</f>
        <v>তীব্র ব্যঙ্গপূর্ণ</v>
      </c>
    </row>
    <row r="3956">
      <c r="A3956" s="2" t="s">
        <v>6108</v>
      </c>
      <c r="B3956" s="3" t="str">
        <f>IFERROR(__xludf.DUMMYFUNCTION("GOOGLETRANSLATE(A3956, ""ar"", ""bn"")"),"এটা একটা পরিহাসের বিষয়")</f>
        <v>এটা একটা পরিহাসের বিষয়</v>
      </c>
    </row>
    <row r="3957">
      <c r="A3957" s="2" t="s">
        <v>4619</v>
      </c>
      <c r="B3957" s="3" t="str">
        <f>IFERROR(__xludf.DUMMYFUNCTION("GOOGLETRANSLATE(A3957, ""ar"", ""bn"")"),"উপহাস")</f>
        <v>উপহাস</v>
      </c>
    </row>
    <row r="3958">
      <c r="A3958" s="2" t="s">
        <v>5889</v>
      </c>
      <c r="B3958" s="3" t="str">
        <f>IFERROR(__xludf.DUMMYFUNCTION("GOOGLETRANSLATE(A3958, ""ar"", ""bn"")"),"অযৌক্তিক")</f>
        <v>অযৌক্তিক</v>
      </c>
    </row>
    <row r="3959">
      <c r="A3959" s="2" t="s">
        <v>6109</v>
      </c>
      <c r="B3959" s="3" t="str">
        <f>IFERROR(__xludf.DUMMYFUNCTION("GOOGLETRANSLATE(A3959, ""ar"", ""bn"")"),"Irrationality")</f>
        <v>Irrationality</v>
      </c>
    </row>
    <row r="3960">
      <c r="A3960" s="2" t="s">
        <v>6110</v>
      </c>
      <c r="B3960" s="3" t="str">
        <f>IFERROR(__xludf.DUMMYFUNCTION("GOOGLETRANSLATE(A3960, ""ar"", ""bn"")"),"Irrationality")</f>
        <v>Irrationality</v>
      </c>
    </row>
    <row r="3961">
      <c r="A3961" s="2" t="s">
        <v>6111</v>
      </c>
      <c r="B3961" s="3" t="str">
        <f>IFERROR(__xludf.DUMMYFUNCTION("GOOGLETRANSLATE(A3961, ""ar"", ""bn"")"),"অযৌক্তিক")</f>
        <v>অযৌক্তিক</v>
      </c>
    </row>
    <row r="3962">
      <c r="A3962" s="2" t="s">
        <v>6112</v>
      </c>
      <c r="B3962" s="3" t="str">
        <f>IFERROR(__xludf.DUMMYFUNCTION("GOOGLETRANSLATE(A3962, ""ar"", ""bn"")"),"অনিয়মিত")</f>
        <v>অনিয়মিত</v>
      </c>
    </row>
    <row r="3963">
      <c r="A3963" s="2" t="s">
        <v>3786</v>
      </c>
      <c r="B3963" s="3" t="str">
        <f>IFERROR(__xludf.DUMMYFUNCTION("GOOGLETRANSLATE(A3963, ""ar"", ""bn"")"),"অমান্যকারীদের")</f>
        <v>অমান্যকারীদের</v>
      </c>
    </row>
    <row r="3964">
      <c r="A3964" s="2" t="s">
        <v>6113</v>
      </c>
      <c r="B3964" s="3" t="str">
        <f>IFERROR(__xludf.DUMMYFUNCTION("GOOGLETRANSLATE(A3964, ""ar"", ""bn"")"),"অনিয়মিত")</f>
        <v>অনিয়মিত</v>
      </c>
    </row>
    <row r="3965">
      <c r="A3965" s="2" t="s">
        <v>6112</v>
      </c>
      <c r="B3965" s="3" t="str">
        <f>IFERROR(__xludf.DUMMYFUNCTION("GOOGLETRANSLATE(A3965, ""ar"", ""bn"")"),"অনিয়মিত")</f>
        <v>অনিয়মিত</v>
      </c>
    </row>
    <row r="3966">
      <c r="A3966" s="2" t="s">
        <v>6114</v>
      </c>
      <c r="B3966" s="3" t="str">
        <f>IFERROR(__xludf.DUMMYFUNCTION("GOOGLETRANSLATE(A3966, ""ar"", ""bn"")"),"অনিয়মিত")</f>
        <v>অনিয়মিত</v>
      </c>
    </row>
    <row r="3967">
      <c r="A3967" s="2" t="s">
        <v>6115</v>
      </c>
      <c r="B3967" s="3" t="str">
        <f>IFERROR(__xludf.DUMMYFUNCTION("GOOGLETRANSLATE(A3967, ""ar"", ""bn"")"),"দায়িত্বহীন")</f>
        <v>দায়িত্বহীন</v>
      </c>
    </row>
    <row r="3968">
      <c r="A3968" s="2" t="s">
        <v>6116</v>
      </c>
      <c r="B3968" s="3" t="str">
        <f>IFERROR(__xludf.DUMMYFUNCTION("GOOGLETRANSLATE(A3968, ""ar"", ""bn"")"),"দায়িত্বহীন")</f>
        <v>দায়িত্বহীন</v>
      </c>
    </row>
    <row r="3969">
      <c r="A3969" s="2" t="s">
        <v>6116</v>
      </c>
      <c r="B3969" s="3" t="str">
        <f>IFERROR(__xludf.DUMMYFUNCTION("GOOGLETRANSLATE(A3969, ""ar"", ""bn"")"),"দায়িত্বহীন")</f>
        <v>দায়িত্বহীন</v>
      </c>
    </row>
    <row r="3970">
      <c r="A3970" s="2" t="s">
        <v>6117</v>
      </c>
      <c r="B3970" s="3" t="str">
        <f>IFERROR(__xludf.DUMMYFUNCTION("GOOGLETRANSLATE(A3970, ""ar"", ""bn"")"),"বিরক্ত")</f>
        <v>বিরক্ত</v>
      </c>
    </row>
    <row r="3971">
      <c r="A3971" s="2" t="s">
        <v>6118</v>
      </c>
      <c r="B3971" s="3" t="str">
        <f>IFERROR(__xludf.DUMMYFUNCTION("GOOGLETRANSLATE(A3971, ""ar"", ""bn"")"),"খিট্খিটে")</f>
        <v>খিট্খিটে</v>
      </c>
    </row>
    <row r="3972">
      <c r="A3972" s="2" t="s">
        <v>6119</v>
      </c>
      <c r="B3972" s="3" t="str">
        <f>IFERROR(__xludf.DUMMYFUNCTION("GOOGLETRANSLATE(A3972, ""ar"", ""bn"")"),"Overreacts")</f>
        <v>Overreacts</v>
      </c>
    </row>
    <row r="3973">
      <c r="A3973" s="2" t="s">
        <v>6120</v>
      </c>
      <c r="B3973" s="3" t="str">
        <f>IFERROR(__xludf.DUMMYFUNCTION("GOOGLETRANSLATE(A3973, ""ar"", ""bn"")"),"আঁচড়ান")</f>
        <v>আঁচড়ান</v>
      </c>
    </row>
    <row r="3974">
      <c r="A3974" s="2" t="s">
        <v>6121</v>
      </c>
      <c r="B3974" s="3" t="str">
        <f>IFERROR(__xludf.DUMMYFUNCTION("GOOGLETRANSLATE(A3974, ""ar"", ""bn"")"),"irritants")</f>
        <v>irritants</v>
      </c>
    </row>
    <row r="3975">
      <c r="A3975" s="2" t="s">
        <v>3368</v>
      </c>
      <c r="B3975" s="3" t="str">
        <f>IFERROR(__xludf.DUMMYFUNCTION("GOOGLETRANSLATE(A3975, ""ar"", ""bn"")"),"রাগ")</f>
        <v>রাগ</v>
      </c>
    </row>
    <row r="3976">
      <c r="A3976" s="2" t="s">
        <v>3368</v>
      </c>
      <c r="B3976" s="3" t="str">
        <f>IFERROR(__xludf.DUMMYFUNCTION("GOOGLETRANSLATE(A3976, ""ar"", ""bn"")"),"রাগ")</f>
        <v>রাগ</v>
      </c>
    </row>
    <row r="3977">
      <c r="A3977" s="2" t="s">
        <v>3387</v>
      </c>
      <c r="B3977" s="3" t="str">
        <f>IFERROR(__xludf.DUMMYFUNCTION("GOOGLETRANSLATE(A3977, ""ar"", ""bn"")"),"মাথা ঘামান")</f>
        <v>মাথা ঘামান</v>
      </c>
    </row>
    <row r="3978">
      <c r="A3978" s="2" t="s">
        <v>3386</v>
      </c>
      <c r="B3978" s="3" t="str">
        <f>IFERROR(__xludf.DUMMYFUNCTION("GOOGLETRANSLATE(A3978, ""ar"", ""bn"")"),"বিরক্তিকর")</f>
        <v>বিরক্তিকর</v>
      </c>
    </row>
    <row r="3979">
      <c r="A3979" s="2" t="s">
        <v>3386</v>
      </c>
      <c r="B3979" s="3" t="str">
        <f>IFERROR(__xludf.DUMMYFUNCTION("GOOGLETRANSLATE(A3979, ""ar"", ""bn"")"),"বিরক্তিকর")</f>
        <v>বিরক্তিকর</v>
      </c>
    </row>
    <row r="3980">
      <c r="A3980" s="2" t="s">
        <v>6122</v>
      </c>
      <c r="B3980" s="3" t="str">
        <f>IFERROR(__xludf.DUMMYFUNCTION("GOOGLETRANSLATE(A3980, ""ar"", ""bn"")"),"উপদ্রব")</f>
        <v>উপদ্রব</v>
      </c>
    </row>
    <row r="3981">
      <c r="A3981" s="2" t="s">
        <v>6122</v>
      </c>
      <c r="B3981" s="3" t="str">
        <f>IFERROR(__xludf.DUMMYFUNCTION("GOOGLETRANSLATE(A3981, ""ar"", ""bn"")"),"উপদ্রব")</f>
        <v>উপদ্রব</v>
      </c>
    </row>
    <row r="3982">
      <c r="A3982" s="2" t="s">
        <v>4599</v>
      </c>
      <c r="B3982" s="3" t="str">
        <f>IFERROR(__xludf.DUMMYFUNCTION("GOOGLETRANSLATE(A3982, ""ar"", ""bn"")"),"আলাদা করা")</f>
        <v>আলাদা করা</v>
      </c>
    </row>
    <row r="3983">
      <c r="A3983" s="2" t="s">
        <v>6123</v>
      </c>
      <c r="B3983" s="3" t="str">
        <f>IFERROR(__xludf.DUMMYFUNCTION("GOOGLETRANSLATE(A3983, ""ar"", ""bn"")"),"ভিন্ন")</f>
        <v>ভিন্ন</v>
      </c>
    </row>
    <row r="3984">
      <c r="A3984" s="2" t="s">
        <v>6124</v>
      </c>
      <c r="B3984" s="3" t="str">
        <f>IFERROR(__xludf.DUMMYFUNCTION("GOOGLETRANSLATE(A3984, ""ar"", ""bn"")"),"isolates")</f>
        <v>isolates</v>
      </c>
    </row>
    <row r="3985">
      <c r="A3985" s="2" t="s">
        <v>4599</v>
      </c>
      <c r="B3985" s="3" t="str">
        <f>IFERROR(__xludf.DUMMYFUNCTION("GOOGLETRANSLATE(A3985, ""ar"", ""bn"")"),"আলাদা করা")</f>
        <v>আলাদা করা</v>
      </c>
    </row>
    <row r="3986">
      <c r="A3986" s="2" t="s">
        <v>6125</v>
      </c>
      <c r="B3986" s="3" t="str">
        <f>IFERROR(__xludf.DUMMYFUNCTION("GOOGLETRANSLATE(A3986, ""ar"", ""bn"")"),"আলাদা করা")</f>
        <v>আলাদা করা</v>
      </c>
    </row>
    <row r="3987">
      <c r="A3987" s="2" t="s">
        <v>6126</v>
      </c>
      <c r="B3987" s="3" t="str">
        <f>IFERROR(__xludf.DUMMYFUNCTION("GOOGLETRANSLATE(A3987, ""ar"", ""bn"")"),"isolationism")</f>
        <v>isolationism</v>
      </c>
    </row>
    <row r="3988">
      <c r="A3988" s="2" t="s">
        <v>6127</v>
      </c>
      <c r="B3988" s="3" t="str">
        <f>IFERROR(__xludf.DUMMYFUNCTION("GOOGLETRANSLATE(A3988, ""ar"", ""bn"")"),"বিচ্ছিন্নতাবাদী")</f>
        <v>বিচ্ছিন্নতাবাদী</v>
      </c>
    </row>
    <row r="3989">
      <c r="A3989" s="2" t="s">
        <v>6128</v>
      </c>
      <c r="B3989" s="3" t="str">
        <f>IFERROR(__xludf.DUMMYFUNCTION("GOOGLETRANSLATE(A3989, ""ar"", ""bn"")"),"isolator")</f>
        <v>isolator</v>
      </c>
    </row>
    <row r="3990">
      <c r="A3990" s="2" t="s">
        <v>6129</v>
      </c>
      <c r="B3990" s="3" t="str">
        <f>IFERROR(__xludf.DUMMYFUNCTION("GOOGLETRANSLATE(A3990, ""ar"", ""bn"")"),"insulators")</f>
        <v>insulators</v>
      </c>
    </row>
    <row r="3991">
      <c r="A3991" s="2" t="s">
        <v>6130</v>
      </c>
      <c r="B3991" s="3" t="str">
        <f>IFERROR(__xludf.DUMMYFUNCTION("GOOGLETRANSLATE(A3991, ""ar"", ""bn"")"),"গাধা")</f>
        <v>গাধা</v>
      </c>
    </row>
    <row r="3992">
      <c r="A3992" s="2" t="s">
        <v>6131</v>
      </c>
      <c r="B3992" s="3" t="str">
        <f>IFERROR(__xludf.DUMMYFUNCTION("GOOGLETRANSLATE(A3992, ""ar"", ""bn"")"),"গাধার")</f>
        <v>গাধার</v>
      </c>
    </row>
    <row r="3993">
      <c r="A3993" s="2" t="s">
        <v>6132</v>
      </c>
      <c r="B3993" s="3" t="str">
        <f>IFERROR(__xludf.DUMMYFUNCTION("GOOGLETRANSLATE(A3993, ""ar"", ""bn"")"),"ক্লান্ত")</f>
        <v>ক্লান্ত</v>
      </c>
    </row>
    <row r="3994">
      <c r="A3994" s="2" t="s">
        <v>5539</v>
      </c>
      <c r="B3994" s="3" t="str">
        <f>IFERROR(__xludf.DUMMYFUNCTION("GOOGLETRANSLATE(A3994, ""ar"", ""bn"")"),"কারাগার")</f>
        <v>কারাগার</v>
      </c>
    </row>
    <row r="3995">
      <c r="A3995" s="2" t="s">
        <v>6133</v>
      </c>
      <c r="B3995" s="3" t="str">
        <f>IFERROR(__xludf.DUMMYFUNCTION("GOOGLETRANSLATE(A3995, ""ar"", ""bn"")"),"বন্দী")</f>
        <v>বন্দী</v>
      </c>
    </row>
    <row r="3996">
      <c r="A3996" s="2" t="s">
        <v>5932</v>
      </c>
      <c r="B3996" s="3" t="str">
        <f>IFERROR(__xludf.DUMMYFUNCTION("GOOGLETRANSLATE(A3996, ""ar"", ""bn"")"),"কারাবন্দী")</f>
        <v>কারাবন্দী</v>
      </c>
    </row>
    <row r="3997">
      <c r="A3997" s="2" t="s">
        <v>5540</v>
      </c>
      <c r="B3997" s="3" t="str">
        <f>IFERROR(__xludf.DUMMYFUNCTION("GOOGLETRANSLATE(A3997, ""ar"", ""bn"")"),"জেলার")</f>
        <v>জেলার</v>
      </c>
    </row>
    <row r="3998">
      <c r="A3998" s="2" t="s">
        <v>5541</v>
      </c>
      <c r="B3998" s="3" t="str">
        <f>IFERROR(__xludf.DUMMYFUNCTION("GOOGLETRANSLATE(A3998, ""ar"", ""bn"")"),"Turnkeys")</f>
        <v>Turnkeys</v>
      </c>
    </row>
    <row r="3999">
      <c r="A3999" s="2" t="s">
        <v>5539</v>
      </c>
      <c r="B3999" s="3" t="str">
        <f>IFERROR(__xludf.DUMMYFUNCTION("GOOGLETRANSLATE(A3999, ""ar"", ""bn"")"),"কারাগার")</f>
        <v>কারাগার</v>
      </c>
    </row>
    <row r="4000">
      <c r="A4000" s="2" t="s">
        <v>6134</v>
      </c>
      <c r="B4000" s="3" t="str">
        <f>IFERROR(__xludf.DUMMYFUNCTION("GOOGLETRANSLATE(A4000, ""ar"", ""bn"")"),"জেলখানা")</f>
        <v>জেলখানা</v>
      </c>
    </row>
    <row r="4001">
      <c r="A4001" s="2" t="s">
        <v>6135</v>
      </c>
      <c r="B4001" s="3" t="str">
        <f>IFERROR(__xludf.DUMMYFUNCTION("GOOGLETRANSLATE(A4001, ""ar"", ""bn"")"),"ঈর্ষান্বিত")</f>
        <v>ঈর্ষান্বিত</v>
      </c>
    </row>
    <row r="4002">
      <c r="A4002" s="2" t="s">
        <v>6136</v>
      </c>
      <c r="B4002" s="3" t="str">
        <f>IFERROR(__xludf.DUMMYFUNCTION("GOOGLETRANSLATE(A4002, ""ar"", ""bn"")"),"সন্দেহ")</f>
        <v>সন্দেহ</v>
      </c>
    </row>
    <row r="4003">
      <c r="A4003" s="2" t="s">
        <v>6137</v>
      </c>
      <c r="B4003" s="3" t="str">
        <f>IFERROR(__xludf.DUMMYFUNCTION("GOOGLETRANSLATE(A4003, ""ar"", ""bn"")"),"প্রখরভাবে")</f>
        <v>প্রখরভাবে</v>
      </c>
    </row>
    <row r="4004">
      <c r="A4004" s="2" t="s">
        <v>6138</v>
      </c>
      <c r="B4004" s="3" t="str">
        <f>IFERROR(__xludf.DUMMYFUNCTION("GOOGLETRANSLATE(A4004, ""ar"", ""bn"")"),"ঈর্ষান্বিত")</f>
        <v>ঈর্ষান্বিত</v>
      </c>
    </row>
    <row r="4005">
      <c r="A4005" s="2" t="s">
        <v>6139</v>
      </c>
      <c r="B4005" s="3" t="str">
        <f>IFERROR(__xludf.DUMMYFUNCTION("GOOGLETRANSLATE(A4005, ""ar"", ""bn"")"),"বিদ্রূপ")</f>
        <v>বিদ্রূপ</v>
      </c>
    </row>
    <row r="4006">
      <c r="A4006" s="2" t="s">
        <v>6140</v>
      </c>
      <c r="B4006" s="3" t="str">
        <f>IFERROR(__xludf.DUMMYFUNCTION("GOOGLETRANSLATE(A4006, ""ar"", ""bn"")"),"ব্যঙ্গ")</f>
        <v>ব্যঙ্গ</v>
      </c>
    </row>
    <row r="4007">
      <c r="A4007" s="2" t="s">
        <v>6141</v>
      </c>
      <c r="B4007" s="3" t="str">
        <f>IFERROR(__xludf.DUMMYFUNCTION("GOOGLETRANSLATE(A4007, ""ar"", ""bn"")"),"উপহাস")</f>
        <v>উপহাস</v>
      </c>
    </row>
    <row r="4008">
      <c r="A4008" s="2" t="s">
        <v>6142</v>
      </c>
      <c r="B4008" s="3" t="str">
        <f>IFERROR(__xludf.DUMMYFUNCTION("GOOGLETRANSLATE(A4008, ""ar"", ""bn"")"),"স্পুফ")</f>
        <v>স্পুফ</v>
      </c>
    </row>
    <row r="4009">
      <c r="A4009" s="2" t="s">
        <v>5117</v>
      </c>
      <c r="B4009" s="3" t="str">
        <f>IFERROR(__xludf.DUMMYFUNCTION("GOOGLETRANSLATE(A4009, ""ar"", ""bn"")"),"বিপদ থেকে অনাবৃত")</f>
        <v>বিপদ থেকে অনাবৃত</v>
      </c>
    </row>
    <row r="4010">
      <c r="A4010" s="2" t="s">
        <v>4408</v>
      </c>
      <c r="B4010" s="3" t="str">
        <f>IFERROR(__xludf.DUMMYFUNCTION("GOOGLETRANSLATE(A4010, ""ar"", ""bn"")"),"ঝুঁকি")</f>
        <v>ঝুঁকি</v>
      </c>
    </row>
    <row r="4011">
      <c r="A4011" s="2" t="s">
        <v>5117</v>
      </c>
      <c r="B4011" s="3" t="str">
        <f>IFERROR(__xludf.DUMMYFUNCTION("GOOGLETRANSLATE(A4011, ""ar"", ""bn"")"),"বিপদ থেকে অনাবৃত")</f>
        <v>বিপদ থেকে অনাবৃত</v>
      </c>
    </row>
    <row r="4012">
      <c r="A4012" s="2" t="s">
        <v>4408</v>
      </c>
      <c r="B4012" s="3" t="str">
        <f>IFERROR(__xludf.DUMMYFUNCTION("GOOGLETRANSLATE(A4012, ""ar"", ""bn"")"),"ঝুঁকি")</f>
        <v>ঝুঁকি</v>
      </c>
    </row>
    <row r="4013">
      <c r="A4013" s="2" t="s">
        <v>6143</v>
      </c>
      <c r="B4013" s="3" t="str">
        <f>IFERROR(__xludf.DUMMYFUNCTION("GOOGLETRANSLATE(A4013, ""ar"", ""bn"")"),"হেঁচকা")</f>
        <v>হেঁচকা</v>
      </c>
    </row>
    <row r="4014">
      <c r="A4014" s="2" t="s">
        <v>6144</v>
      </c>
      <c r="B4014" s="3" t="str">
        <f>IFERROR(__xludf.DUMMYFUNCTION("GOOGLETRANSLATE(A4014, ""ar"", ""bn"")"),"অসিদ্ধ")</f>
        <v>অসিদ্ধ</v>
      </c>
    </row>
    <row r="4015">
      <c r="A4015" s="2" t="s">
        <v>6145</v>
      </c>
      <c r="B4015" s="3" t="str">
        <f>IFERROR(__xludf.DUMMYFUNCTION("GOOGLETRANSLATE(A4015, ""ar"", ""bn"")"),"Jerkily")</f>
        <v>Jerkily</v>
      </c>
    </row>
    <row r="4016">
      <c r="A4016" s="2" t="s">
        <v>6146</v>
      </c>
      <c r="B4016" s="3" t="str">
        <f>IFERROR(__xludf.DUMMYFUNCTION("GOOGLETRANSLATE(A4016, ""ar"", ""bn"")"),"ফতুয়া")</f>
        <v>ফতুয়া</v>
      </c>
    </row>
    <row r="4017">
      <c r="A4017" s="2" t="s">
        <v>6147</v>
      </c>
      <c r="B4017" s="3" t="str">
        <f>IFERROR(__xludf.DUMMYFUNCTION("GOOGLETRANSLATE(A4017, ""ar"", ""bn"")"),"একাকী")</f>
        <v>একাকী</v>
      </c>
    </row>
    <row r="4018">
      <c r="A4018" s="2" t="s">
        <v>6148</v>
      </c>
      <c r="B4018" s="3" t="str">
        <f>IFERROR(__xludf.DUMMYFUNCTION("GOOGLETRANSLATE(A4018, ""ar"", ""bn"")"),"Jerkins")</f>
        <v>Jerkins</v>
      </c>
    </row>
    <row r="4019">
      <c r="A4019" s="2" t="s">
        <v>6149</v>
      </c>
      <c r="B4019" s="3" t="str">
        <f>IFERROR(__xludf.DUMMYFUNCTION("GOOGLETRANSLATE(A4019, ""ar"", ""bn"")"),"কম্পনের")</f>
        <v>কম্পনের</v>
      </c>
    </row>
    <row r="4020">
      <c r="A4020" s="2" t="s">
        <v>6150</v>
      </c>
      <c r="B4020" s="3" t="str">
        <f>IFERROR(__xludf.DUMMYFUNCTION("GOOGLETRANSLATE(A4020, ""ar"", ""bn"")"),"ঝাঁকুনিপূর্ণ")</f>
        <v>ঝাঁকুনিপূর্ণ</v>
      </c>
    </row>
    <row r="4021">
      <c r="A4021" s="2" t="s">
        <v>6144</v>
      </c>
      <c r="B4021" s="3" t="str">
        <f>IFERROR(__xludf.DUMMYFUNCTION("GOOGLETRANSLATE(A4021, ""ar"", ""bn"")"),"অসিদ্ধ")</f>
        <v>অসিদ্ধ</v>
      </c>
    </row>
    <row r="4022">
      <c r="A4022" s="2" t="s">
        <v>6149</v>
      </c>
      <c r="B4022" s="3" t="str">
        <f>IFERROR(__xludf.DUMMYFUNCTION("GOOGLETRANSLATE(A4022, ""ar"", ""bn"")"),"কম্পনের")</f>
        <v>কম্পনের</v>
      </c>
    </row>
    <row r="4023">
      <c r="A4023" s="2" t="s">
        <v>6151</v>
      </c>
      <c r="B4023" s="3" t="str">
        <f>IFERROR(__xludf.DUMMYFUNCTION("GOOGLETRANSLATE(A4023, ""ar"", ""bn"")"),"নার্ভাস")</f>
        <v>নার্ভাস</v>
      </c>
    </row>
    <row r="4024">
      <c r="A4024" s="2" t="s">
        <v>6152</v>
      </c>
      <c r="B4024" s="3" t="str">
        <f>IFERROR(__xludf.DUMMYFUNCTION("GOOGLETRANSLATE(A4024, ""ar"", ""bn"")"),"বেকারি")</f>
        <v>বেকারি</v>
      </c>
    </row>
    <row r="4025">
      <c r="A4025" s="2" t="s">
        <v>6152</v>
      </c>
      <c r="B4025" s="3" t="str">
        <f>IFERROR(__xludf.DUMMYFUNCTION("GOOGLETRANSLATE(A4025, ""ar"", ""bn"")"),"বেকারি")</f>
        <v>বেকারি</v>
      </c>
    </row>
    <row r="4026">
      <c r="A4026" s="2" t="s">
        <v>6153</v>
      </c>
      <c r="B4026" s="3" t="str">
        <f>IFERROR(__xludf.DUMMYFUNCTION("GOOGLETRANSLATE(A4026, ""ar"", ""bn"")"),"একটি বনভোজন")</f>
        <v>একটি বনভোজন</v>
      </c>
    </row>
    <row r="4027">
      <c r="A4027" s="2" t="s">
        <v>6154</v>
      </c>
      <c r="B4027" s="3" t="str">
        <f>IFERROR(__xludf.DUMMYFUNCTION("GOOGLETRANSLATE(A4027, ""ar"", ""bn"")"),"পরিতোষ জন্য চালক")</f>
        <v>পরিতোষ জন্য চালক</v>
      </c>
    </row>
    <row r="4028">
      <c r="A4028" s="2" t="s">
        <v>6155</v>
      </c>
      <c r="B4028" s="3" t="str">
        <f>IFERROR(__xludf.DUMMYFUNCTION("GOOGLETRANSLATE(A4028, ""ar"", ""bn"")"),"লাফানে")</f>
        <v>লাফানে</v>
      </c>
    </row>
    <row r="4029">
      <c r="A4029" s="2" t="s">
        <v>6156</v>
      </c>
      <c r="B4029" s="3" t="str">
        <f>IFERROR(__xludf.DUMMYFUNCTION("GOOGLETRANSLATE(A4029, ""ar"", ""bn"")"),"স্ক্র্যাপ")</f>
        <v>স্ক্র্যাপ</v>
      </c>
    </row>
    <row r="4030">
      <c r="A4030" s="2" t="s">
        <v>6157</v>
      </c>
      <c r="B4030" s="3" t="str">
        <f>IFERROR(__xludf.DUMMYFUNCTION("GOOGLETRANSLATE(A4030, ""ar"", ""bn"")"),"Juncker")</f>
        <v>Juncker</v>
      </c>
    </row>
    <row r="4031">
      <c r="A4031" s="2" t="s">
        <v>6158</v>
      </c>
      <c r="B4031" s="3" t="str">
        <f>IFERROR(__xludf.DUMMYFUNCTION("GOOGLETRANSLATE(A4031, ""ar"", ""bn"")"),"পরব")</f>
        <v>পরব</v>
      </c>
    </row>
    <row r="4032">
      <c r="A4032" s="2" t="s">
        <v>6159</v>
      </c>
      <c r="B4032" s="3" t="str">
        <f>IFERROR(__xludf.DUMMYFUNCTION("GOOGLETRANSLATE(A4032, ""ar"", ""bn"")"),"প্রেমিকা")</f>
        <v>প্রেমিকা</v>
      </c>
    </row>
    <row r="4033">
      <c r="A4033" s="2" t="s">
        <v>6160</v>
      </c>
      <c r="B4033" s="3" t="str">
        <f>IFERROR(__xludf.DUMMYFUNCTION("GOOGLETRANSLATE(A4033, ""ar"", ""bn"")"),"junkies")</f>
        <v>junkies</v>
      </c>
    </row>
    <row r="4034">
      <c r="A4034" s="2" t="s">
        <v>6161</v>
      </c>
      <c r="B4034" s="3" t="str">
        <f>IFERROR(__xludf.DUMMYFUNCTION("GOOGLETRANSLATE(A4034, ""ar"", ""bn"")"),"পালতোলা জাহাজগুলো")</f>
        <v>পালতোলা জাহাজগুলো</v>
      </c>
    </row>
    <row r="4035">
      <c r="A4035" s="2" t="s">
        <v>5707</v>
      </c>
      <c r="B4035" s="3" t="str">
        <f>IFERROR(__xludf.DUMMYFUNCTION("GOOGLETRANSLATE(A4035, ""ar"", ""bn"")"),"অবশিষ্টাংশ")</f>
        <v>অবশিষ্টাংশ</v>
      </c>
    </row>
    <row r="4036">
      <c r="A4036" s="2" t="s">
        <v>6162</v>
      </c>
      <c r="B4036" s="3" t="str">
        <f>IFERROR(__xludf.DUMMYFUNCTION("GOOGLETRANSLATE(A4036, ""ar"", ""bn"")"),"পদাঘাত")</f>
        <v>পদাঘাত</v>
      </c>
    </row>
    <row r="4037">
      <c r="A4037" s="2" t="s">
        <v>3790</v>
      </c>
      <c r="B4037" s="3" t="str">
        <f>IFERROR(__xludf.DUMMYFUNCTION("GOOGLETRANSLATE(A4037, ""ar"", ""bn"")"),"ঘুষ")</f>
        <v>ঘুষ</v>
      </c>
    </row>
    <row r="4038">
      <c r="A4038" s="2" t="s">
        <v>6163</v>
      </c>
      <c r="B4038" s="3" t="str">
        <f>IFERROR(__xludf.DUMMYFUNCTION("GOOGLETRANSLATE(A4038, ""ar"", ""bn"")"),"পদাঘাত")</f>
        <v>পদাঘাত</v>
      </c>
    </row>
    <row r="4039">
      <c r="A4039" s="2" t="s">
        <v>6164</v>
      </c>
      <c r="B4039" s="3" t="str">
        <f>IFERROR(__xludf.DUMMYFUNCTION("GOOGLETRANSLATE(A4039, ""ar"", ""bn"")"),"পদাঘাতকারী")</f>
        <v>পদাঘাতকারী</v>
      </c>
    </row>
    <row r="4040">
      <c r="A4040" s="2" t="s">
        <v>6165</v>
      </c>
      <c r="B4040" s="3" t="str">
        <f>IFERROR(__xludf.DUMMYFUNCTION("GOOGLETRANSLATE(A4040, ""ar"", ""bn"")"),"সুস্থ ও সক্রিয়")</f>
        <v>সুস্থ ও সক্রিয়</v>
      </c>
    </row>
    <row r="4041">
      <c r="A4041" s="2" t="s">
        <v>6166</v>
      </c>
      <c r="B4041" s="3" t="str">
        <f>IFERROR(__xludf.DUMMYFUNCTION("GOOGLETRANSLATE(A4041, ""ar"", ""bn"")"),"কিক")</f>
        <v>কিক</v>
      </c>
    </row>
    <row r="4042">
      <c r="A4042" s="2" t="s">
        <v>6167</v>
      </c>
      <c r="B4042" s="3" t="str">
        <f>IFERROR(__xludf.DUMMYFUNCTION("GOOGLETRANSLATE(A4042, ""ar"", ""bn"")"),"আরোগ্য")</f>
        <v>আরোগ্য</v>
      </c>
    </row>
    <row r="4043">
      <c r="A4043" s="2" t="s">
        <v>6168</v>
      </c>
      <c r="B4043" s="3" t="str">
        <f>IFERROR(__xludf.DUMMYFUNCTION("GOOGLETRANSLATE(A4043, ""ar"", ""bn"")"),"এই শুরু")</f>
        <v>এই শুরু</v>
      </c>
    </row>
    <row r="4044">
      <c r="A4044" s="2" t="s">
        <v>5777</v>
      </c>
      <c r="B4044" s="3" t="str">
        <f>IFERROR(__xludf.DUMMYFUNCTION("GOOGLETRANSLATE(A4044, ""ar"", ""bn"")"),"পাচার")</f>
        <v>পাচার</v>
      </c>
    </row>
    <row r="4045">
      <c r="A4045" s="2" t="s">
        <v>5777</v>
      </c>
      <c r="B4045" s="3" t="str">
        <f>IFERROR(__xludf.DUMMYFUNCTION("GOOGLETRANSLATE(A4045, ""ar"", ""bn"")"),"পাচার")</f>
        <v>পাচার</v>
      </c>
    </row>
    <row r="4046">
      <c r="A4046" s="2" t="s">
        <v>4381</v>
      </c>
      <c r="B4046" s="3" t="str">
        <f>IFERROR(__xludf.DUMMYFUNCTION("GOOGLETRANSLATE(A4046, ""ar"", ""bn"")"),"হাইজ্যেকের")</f>
        <v>হাইজ্যেকের</v>
      </c>
    </row>
    <row r="4047">
      <c r="A4047" s="2" t="s">
        <v>5779</v>
      </c>
      <c r="B4047" s="3" t="str">
        <f>IFERROR(__xludf.DUMMYFUNCTION("GOOGLETRANSLATE(A4047, ""ar"", ""bn"")"),"অপহরণকারীদের")</f>
        <v>অপহরণকারীদের</v>
      </c>
    </row>
    <row r="4048">
      <c r="A4048" s="2" t="s">
        <v>5777</v>
      </c>
      <c r="B4048" s="3" t="str">
        <f>IFERROR(__xludf.DUMMYFUNCTION("GOOGLETRANSLATE(A4048, ""ar"", ""bn"")"),"পাচার")</f>
        <v>পাচার</v>
      </c>
    </row>
    <row r="4049">
      <c r="A4049" s="2" t="s">
        <v>6169</v>
      </c>
      <c r="B4049" s="3" t="str">
        <f>IFERROR(__xludf.DUMMYFUNCTION("GOOGLETRANSLATE(A4049, ""ar"", ""bn"")"),"পাচার")</f>
        <v>পাচার</v>
      </c>
    </row>
    <row r="4050">
      <c r="A4050" s="2" t="s">
        <v>6169</v>
      </c>
      <c r="B4050" s="3" t="str">
        <f>IFERROR(__xludf.DUMMYFUNCTION("GOOGLETRANSLATE(A4050, ""ar"", ""bn"")"),"পাচার")</f>
        <v>পাচার</v>
      </c>
    </row>
    <row r="4051">
      <c r="A4051" s="2" t="s">
        <v>3437</v>
      </c>
      <c r="B4051" s="3" t="str">
        <f>IFERROR(__xludf.DUMMYFUNCTION("GOOGLETRANSLATE(A4051, ""ar"", ""bn"")"),"হত্যা")</f>
        <v>হত্যা</v>
      </c>
    </row>
    <row r="4052">
      <c r="A4052" s="2" t="s">
        <v>3437</v>
      </c>
      <c r="B4052" s="3" t="str">
        <f>IFERROR(__xludf.DUMMYFUNCTION("GOOGLETRANSLATE(A4052, ""ar"", ""bn"")"),"হত্যা")</f>
        <v>হত্যা</v>
      </c>
    </row>
    <row r="4053">
      <c r="A4053" s="2" t="s">
        <v>6170</v>
      </c>
      <c r="B4053" s="3" t="str">
        <f>IFERROR(__xludf.DUMMYFUNCTION("GOOGLETRANSLATE(A4053, ""ar"", ""bn"")"),"হত্যাকারী")</f>
        <v>হত্যাকারী</v>
      </c>
    </row>
    <row r="4054">
      <c r="A4054" s="2" t="s">
        <v>3439</v>
      </c>
      <c r="B4054" s="3" t="str">
        <f>IFERROR(__xludf.DUMMYFUNCTION("GOOGLETRANSLATE(A4054, ""ar"", ""bn"")"),"হত্যাকারি")</f>
        <v>হত্যাকারি</v>
      </c>
    </row>
    <row r="4055">
      <c r="A4055" s="2" t="s">
        <v>3437</v>
      </c>
      <c r="B4055" s="3" t="str">
        <f>IFERROR(__xludf.DUMMYFUNCTION("GOOGLETRANSLATE(A4055, ""ar"", ""bn"")"),"হত্যা")</f>
        <v>হত্যা</v>
      </c>
    </row>
    <row r="4056">
      <c r="A4056" s="2" t="s">
        <v>6171</v>
      </c>
      <c r="B4056" s="3" t="str">
        <f>IFERROR(__xludf.DUMMYFUNCTION("GOOGLETRANSLATE(A4056, ""ar"", ""bn"")"),"হত্যা টি")</f>
        <v>হত্যা টি</v>
      </c>
    </row>
    <row r="4057">
      <c r="A4057" s="2" t="s">
        <v>6172</v>
      </c>
      <c r="B4057" s="3" t="str">
        <f>IFERROR(__xludf.DUMMYFUNCTION("GOOGLETRANSLATE(A4057, ""ar"", ""bn"")"),"মূর্তিমান নিরানন্দ")</f>
        <v>মূর্তিমান নিরানন্দ</v>
      </c>
    </row>
    <row r="4058">
      <c r="A4058" s="2" t="s">
        <v>6173</v>
      </c>
      <c r="B4058" s="3" t="str">
        <f>IFERROR(__xludf.DUMMYFUNCTION("GOOGLETRANSLATE(A4058, ""ar"", ""bn"")"),"বধ")</f>
        <v>বধ</v>
      </c>
    </row>
    <row r="4059">
      <c r="A4059" s="2" t="s">
        <v>3437</v>
      </c>
      <c r="B4059" s="3" t="str">
        <f>IFERROR(__xludf.DUMMYFUNCTION("GOOGLETRANSLATE(A4059, ""ar"", ""bn"")"),"হত্যা")</f>
        <v>হত্যা</v>
      </c>
    </row>
    <row r="4060">
      <c r="A4060" s="2" t="s">
        <v>6170</v>
      </c>
      <c r="B4060" s="3" t="str">
        <f>IFERROR(__xludf.DUMMYFUNCTION("GOOGLETRANSLATE(A4060, ""ar"", ""bn"")"),"হত্যাকারী")</f>
        <v>হত্যাকারী</v>
      </c>
    </row>
    <row r="4061">
      <c r="A4061" s="2" t="s">
        <v>3439</v>
      </c>
      <c r="B4061" s="3" t="str">
        <f>IFERROR(__xludf.DUMMYFUNCTION("GOOGLETRANSLATE(A4061, ""ar"", ""bn"")"),"হত্যাকারি")</f>
        <v>হত্যাকারি</v>
      </c>
    </row>
    <row r="4062">
      <c r="A4062" s="2" t="s">
        <v>3437</v>
      </c>
      <c r="B4062" s="3" t="str">
        <f>IFERROR(__xludf.DUMMYFUNCTION("GOOGLETRANSLATE(A4062, ""ar"", ""bn"")"),"হত্যা")</f>
        <v>হত্যা</v>
      </c>
    </row>
    <row r="4063">
      <c r="A4063" s="2" t="s">
        <v>6171</v>
      </c>
      <c r="B4063" s="3" t="str">
        <f>IFERROR(__xludf.DUMMYFUNCTION("GOOGLETRANSLATE(A4063, ""ar"", ""bn"")"),"হত্যা টি")</f>
        <v>হত্যা টি</v>
      </c>
    </row>
    <row r="4064">
      <c r="A4064" s="2" t="s">
        <v>6172</v>
      </c>
      <c r="B4064" s="3" t="str">
        <f>IFERROR(__xludf.DUMMYFUNCTION("GOOGLETRANSLATE(A4064, ""ar"", ""bn"")"),"মূর্তিমান নিরানন্দ")</f>
        <v>মূর্তিমান নিরানন্দ</v>
      </c>
    </row>
    <row r="4065">
      <c r="A4065" s="2" t="s">
        <v>6174</v>
      </c>
      <c r="B4065" s="3" t="str">
        <f>IFERROR(__xludf.DUMMYFUNCTION("GOOGLETRANSLATE(A4065, ""ar"", ""bn"")"),"একটি ছুরি")</f>
        <v>একটি ছুরি</v>
      </c>
    </row>
    <row r="4066">
      <c r="A4066" s="2" t="s">
        <v>6175</v>
      </c>
      <c r="B4066" s="3" t="str">
        <f>IFERROR(__xludf.DUMMYFUNCTION("GOOGLETRANSLATE(A4066, ""ar"", ""bn"")"),"প্রতিদ্বন্দ্বিতা")</f>
        <v>প্রতিদ্বন্দ্বিতা</v>
      </c>
    </row>
    <row r="4067">
      <c r="A4067" s="2" t="s">
        <v>6176</v>
      </c>
      <c r="B4067" s="3" t="str">
        <f>IFERROR(__xludf.DUMMYFUNCTION("GOOGLETRANSLATE(A4067, ""ar"", ""bn"")"),"একটি ছুরি দিয়ে")</f>
        <v>একটি ছুরি দিয়ে</v>
      </c>
    </row>
    <row r="4068">
      <c r="A4068" s="2" t="s">
        <v>6177</v>
      </c>
      <c r="B4068" s="3" t="str">
        <f>IFERROR(__xludf.DUMMYFUNCTION("GOOGLETRANSLATE(A4068, ""ar"", ""bn"")"),"ছুরি")</f>
        <v>ছুরি</v>
      </c>
    </row>
    <row r="4069">
      <c r="A4069" s="2" t="s">
        <v>4522</v>
      </c>
      <c r="B4069" s="3" t="str">
        <f>IFERROR(__xludf.DUMMYFUNCTION("GOOGLETRANSLATE(A4069, ""ar"", ""bn"")"),"স্বল্পতা")</f>
        <v>স্বল্পতা</v>
      </c>
    </row>
    <row r="4070">
      <c r="A4070" s="2" t="s">
        <v>6178</v>
      </c>
      <c r="B4070" s="3" t="str">
        <f>IFERROR(__xludf.DUMMYFUNCTION("GOOGLETRANSLATE(A4070, ""ar"", ""bn"")"),"অ্যাটোনাল")</f>
        <v>অ্যাটোনাল</v>
      </c>
    </row>
    <row r="4071">
      <c r="A4071" s="2" t="s">
        <v>6179</v>
      </c>
      <c r="B4071" s="3" t="str">
        <f>IFERROR(__xludf.DUMMYFUNCTION("GOOGLETRANSLATE(A4071, ""ar"", ""bn"")"),"উদাসীন")</f>
        <v>উদাসীন</v>
      </c>
    </row>
    <row r="4072">
      <c r="A4072" s="2" t="s">
        <v>6180</v>
      </c>
      <c r="B4072" s="3" t="str">
        <f>IFERROR(__xludf.DUMMYFUNCTION("GOOGLETRANSLATE(A4072, ""ar"", ""bn"")"),"দাস")</f>
        <v>দাস</v>
      </c>
    </row>
    <row r="4073">
      <c r="A4073" s="2" t="s">
        <v>6181</v>
      </c>
      <c r="B4073" s="3" t="str">
        <f>IFERROR(__xludf.DUMMYFUNCTION("GOOGLETRANSLATE(A4073, ""ar"", ""bn"")"),"দালালদের")</f>
        <v>দালালদের</v>
      </c>
    </row>
    <row r="4074">
      <c r="A4074" s="2" t="s">
        <v>6179</v>
      </c>
      <c r="B4074" s="3" t="str">
        <f>IFERROR(__xludf.DUMMYFUNCTION("GOOGLETRANSLATE(A4074, ""ar"", ""bn"")"),"উদাসীন")</f>
        <v>উদাসীন</v>
      </c>
    </row>
    <row r="4075">
      <c r="A4075" s="2" t="s">
        <v>4745</v>
      </c>
      <c r="B4075" s="3" t="str">
        <f>IFERROR(__xludf.DUMMYFUNCTION("GOOGLETRANSLATE(A4075, ""ar"", ""bn"")"),"বিবর্ণ")</f>
        <v>বিবর্ণ</v>
      </c>
    </row>
    <row r="4076">
      <c r="A4076" s="2" t="s">
        <v>6182</v>
      </c>
      <c r="B4076" s="3" t="str">
        <f>IFERROR(__xludf.DUMMYFUNCTION("GOOGLETRANSLATE(A4076, ""ar"", ""bn"")"),"অভাব আছে")</f>
        <v>অভাব আছে</v>
      </c>
    </row>
    <row r="4077">
      <c r="A4077" s="2" t="s">
        <v>4283</v>
      </c>
      <c r="B4077" s="3" t="str">
        <f>IFERROR(__xludf.DUMMYFUNCTION("GOOGLETRANSLATE(A4077, ""ar"", ""bn"")"),"পঙ্গু")</f>
        <v>পঙ্গু</v>
      </c>
    </row>
    <row r="4078">
      <c r="A4078" s="2" t="s">
        <v>6183</v>
      </c>
      <c r="B4078" s="3" t="str">
        <f>IFERROR(__xludf.DUMMYFUNCTION("GOOGLETRANSLATE(A4078, ""ar"", ""bn"")"),"Lamed")</f>
        <v>Lamed</v>
      </c>
    </row>
    <row r="4079">
      <c r="A4079" s="2" t="s">
        <v>6184</v>
      </c>
      <c r="B4079" s="3" t="str">
        <f>IFERROR(__xludf.DUMMYFUNCTION("GOOGLETRANSLATE(A4079, ""ar"", ""bn"")"),"পঙ্গু")</f>
        <v>পঙ্গু</v>
      </c>
    </row>
    <row r="4080">
      <c r="A4080" s="2" t="s">
        <v>5793</v>
      </c>
      <c r="B4080" s="3" t="str">
        <f>IFERROR(__xludf.DUMMYFUNCTION("GOOGLETRANSLATE(A4080, ""ar"", ""bn"")"),"নরম")</f>
        <v>নরম</v>
      </c>
    </row>
    <row r="4081">
      <c r="A4081" s="2" t="s">
        <v>6185</v>
      </c>
      <c r="B4081" s="3" t="str">
        <f>IFERROR(__xludf.DUMMYFUNCTION("GOOGLETRANSLATE(A4081, ""ar"", ""bn"")"),"বিলাপ")</f>
        <v>বিলাপ</v>
      </c>
    </row>
    <row r="4082">
      <c r="A4082" s="2" t="s">
        <v>6186</v>
      </c>
      <c r="B4082" s="3" t="str">
        <f>IFERROR(__xludf.DUMMYFUNCTION("GOOGLETRANSLATE(A4082, ""ar"", ""bn"")"),"অনুশোচীয়")</f>
        <v>অনুশোচীয়</v>
      </c>
    </row>
    <row r="4083">
      <c r="A4083" s="2" t="s">
        <v>6187</v>
      </c>
      <c r="B4083" s="3" t="str">
        <f>IFERROR(__xludf.DUMMYFUNCTION("GOOGLETRANSLATE(A4083, ""ar"", ""bn"")"),"দুঃখিত")</f>
        <v>দুঃখিত</v>
      </c>
    </row>
    <row r="4084">
      <c r="A4084" s="2" t="s">
        <v>6188</v>
      </c>
      <c r="B4084" s="3" t="str">
        <f>IFERROR(__xludf.DUMMYFUNCTION("GOOGLETRANSLATE(A4084, ""ar"", ""bn"")"),"উদ্দীপনা")</f>
        <v>উদ্দীপনা</v>
      </c>
    </row>
    <row r="4085">
      <c r="A4085" s="2" t="s">
        <v>6189</v>
      </c>
      <c r="B4085" s="3" t="str">
        <f>IFERROR(__xludf.DUMMYFUNCTION("GOOGLETRANSLATE(A4085, ""ar"", ""bn"")"),"মাতম")</f>
        <v>মাতম</v>
      </c>
    </row>
    <row r="4086">
      <c r="A4086" s="2" t="s">
        <v>6190</v>
      </c>
      <c r="B4086" s="3" t="str">
        <f>IFERROR(__xludf.DUMMYFUNCTION("GOOGLETRANSLATE(A4086, ""ar"", ""bn"")"),"সহানুভূতি প্রকাশ করা")</f>
        <v>সহানুভূতি প্রকাশ করা</v>
      </c>
    </row>
    <row r="4087">
      <c r="A4087" s="2" t="s">
        <v>6191</v>
      </c>
      <c r="B4087" s="3" t="str">
        <f>IFERROR(__xludf.DUMMYFUNCTION("GOOGLETRANSLATE(A4087, ""ar"", ""bn"")"),"মাতম")</f>
        <v>মাতম</v>
      </c>
    </row>
    <row r="4088">
      <c r="A4088" s="2" t="s">
        <v>6192</v>
      </c>
      <c r="B4088" s="3" t="str">
        <f>IFERROR(__xludf.DUMMYFUNCTION("GOOGLETRANSLATE(A4088, ""ar"", ""bn"")"),"নিজের প্রতি সমবেদনা")</f>
        <v>নিজের প্রতি সমবেদনা</v>
      </c>
    </row>
    <row r="4089">
      <c r="A4089" s="2" t="s">
        <v>6193</v>
      </c>
      <c r="B4089" s="3" t="str">
        <f>IFERROR(__xludf.DUMMYFUNCTION("GOOGLETRANSLATE(A4089, ""ar"", ""bn"")"),"পঙ্গু")</f>
        <v>পঙ্গু</v>
      </c>
    </row>
    <row r="4090">
      <c r="A4090" s="2" t="s">
        <v>6185</v>
      </c>
      <c r="B4090" s="3" t="str">
        <f>IFERROR(__xludf.DUMMYFUNCTION("GOOGLETRANSLATE(A4090, ""ar"", ""bn"")"),"বিলাপ")</f>
        <v>বিলাপ</v>
      </c>
    </row>
    <row r="4091">
      <c r="A4091" s="2" t="s">
        <v>6186</v>
      </c>
      <c r="B4091" s="3" t="str">
        <f>IFERROR(__xludf.DUMMYFUNCTION("GOOGLETRANSLATE(A4091, ""ar"", ""bn"")"),"অনুশোচীয়")</f>
        <v>অনুশোচীয়</v>
      </c>
    </row>
    <row r="4092">
      <c r="A4092" s="2" t="s">
        <v>6187</v>
      </c>
      <c r="B4092" s="3" t="str">
        <f>IFERROR(__xludf.DUMMYFUNCTION("GOOGLETRANSLATE(A4092, ""ar"", ""bn"")"),"দুঃখিত")</f>
        <v>দুঃখিত</v>
      </c>
    </row>
    <row r="4093">
      <c r="A4093" s="2" t="s">
        <v>6188</v>
      </c>
      <c r="B4093" s="3" t="str">
        <f>IFERROR(__xludf.DUMMYFUNCTION("GOOGLETRANSLATE(A4093, ""ar"", ""bn"")"),"উদ্দীপনা")</f>
        <v>উদ্দীপনা</v>
      </c>
    </row>
    <row r="4094">
      <c r="A4094" s="2" t="s">
        <v>6189</v>
      </c>
      <c r="B4094" s="3" t="str">
        <f>IFERROR(__xludf.DUMMYFUNCTION("GOOGLETRANSLATE(A4094, ""ar"", ""bn"")"),"মাতম")</f>
        <v>মাতম</v>
      </c>
    </row>
    <row r="4095">
      <c r="A4095" s="2" t="s">
        <v>6190</v>
      </c>
      <c r="B4095" s="3" t="str">
        <f>IFERROR(__xludf.DUMMYFUNCTION("GOOGLETRANSLATE(A4095, ""ar"", ""bn"")"),"সহানুভূতি প্রকাশ করা")</f>
        <v>সহানুভূতি প্রকাশ করা</v>
      </c>
    </row>
    <row r="4096">
      <c r="A4096" s="2" t="s">
        <v>6191</v>
      </c>
      <c r="B4096" s="3" t="str">
        <f>IFERROR(__xludf.DUMMYFUNCTION("GOOGLETRANSLATE(A4096, ""ar"", ""bn"")"),"মাতম")</f>
        <v>মাতম</v>
      </c>
    </row>
    <row r="4097">
      <c r="A4097" s="2" t="s">
        <v>6192</v>
      </c>
      <c r="B4097" s="3" t="str">
        <f>IFERROR(__xludf.DUMMYFUNCTION("GOOGLETRANSLATE(A4097, ""ar"", ""bn"")"),"নিজের প্রতি সমবেদনা")</f>
        <v>নিজের প্রতি সমবেদনা</v>
      </c>
    </row>
    <row r="4098">
      <c r="A4098" s="2" t="s">
        <v>6194</v>
      </c>
      <c r="B4098" s="3" t="str">
        <f>IFERROR(__xludf.DUMMYFUNCTION("GOOGLETRANSLATE(A4098, ""ar"", ""bn"")"),"স্ত্রীলোকের অন্তর্বাসের লেস")</f>
        <v>স্ত্রীলোকের অন্তর্বাসের লেস</v>
      </c>
    </row>
    <row r="4099">
      <c r="A4099" s="2" t="s">
        <v>6195</v>
      </c>
      <c r="B4099" s="3" t="str">
        <f>IFERROR(__xludf.DUMMYFUNCTION("GOOGLETRANSLATE(A4099, ""ar"", ""bn"")"),"কাহিল")</f>
        <v>কাহিল</v>
      </c>
    </row>
    <row r="4100">
      <c r="A4100" s="2" t="s">
        <v>6196</v>
      </c>
      <c r="B4100" s="3" t="str">
        <f>IFERROR(__xludf.DUMMYFUNCTION("GOOGLETRANSLATE(A4100, ""ar"", ""bn"")"),"মিথ্যাচার")</f>
        <v>মিথ্যাচার</v>
      </c>
    </row>
    <row r="4101">
      <c r="A4101" s="2" t="s">
        <v>6197</v>
      </c>
      <c r="B4101" s="3" t="str">
        <f>IFERROR(__xludf.DUMMYFUNCTION("GOOGLETRANSLATE(A4101, ""ar"", ""bn"")"),"languishing")</f>
        <v>languishing</v>
      </c>
    </row>
    <row r="4102">
      <c r="A4102" s="2" t="s">
        <v>6198</v>
      </c>
      <c r="B4102" s="3" t="str">
        <f>IFERROR(__xludf.DUMMYFUNCTION("GOOGLETRANSLATE(A4102, ""ar"", ""bn"")"),"ঠাট্টা")</f>
        <v>ঠাট্টা</v>
      </c>
    </row>
    <row r="4103">
      <c r="A4103" s="2" t="s">
        <v>6199</v>
      </c>
      <c r="B4103" s="3" t="str">
        <f>IFERROR(__xludf.DUMMYFUNCTION("GOOGLETRANSLATE(A4103, ""ar"", ""bn"")"),"অতিপন্ন")</f>
        <v>অতিপন্ন</v>
      </c>
    </row>
    <row r="4104">
      <c r="A4104" s="2" t="s">
        <v>6200</v>
      </c>
      <c r="B4104" s="3" t="str">
        <f>IFERROR(__xludf.DUMMYFUNCTION("GOOGLETRANSLATE(A4104, ""ar"", ""bn"")"),"তামাদি")</f>
        <v>তামাদি</v>
      </c>
    </row>
    <row r="4105">
      <c r="A4105" s="2" t="s">
        <v>6201</v>
      </c>
      <c r="B4105" s="3" t="str">
        <f>IFERROR(__xludf.DUMMYFUNCTION("GOOGLETRANSLATE(A4105, ""ar"", ""bn"")"),"হাস্যকর")</f>
        <v>হাস্যকর</v>
      </c>
    </row>
    <row r="4106">
      <c r="A4106" s="2" t="s">
        <v>237</v>
      </c>
      <c r="B4106" s="3" t="str">
        <f>IFERROR(__xludf.DUMMYFUNCTION("GOOGLETRANSLATE(A4106, ""ar"", ""bn"")"),"বিশৃঙ্খল")</f>
        <v>বিশৃঙ্খল</v>
      </c>
    </row>
    <row r="4107">
      <c r="A4107" s="2" t="s">
        <v>239</v>
      </c>
      <c r="B4107" s="3" t="str">
        <f>IFERROR(__xludf.DUMMYFUNCTION("GOOGLETRANSLATE(A4107, ""ar"", ""bn"")"),"বিশৃঙ্খলা")</f>
        <v>বিশৃঙ্খলা</v>
      </c>
    </row>
    <row r="4108">
      <c r="A4108" s="2" t="s">
        <v>4093</v>
      </c>
      <c r="B4108" s="3" t="str">
        <f>IFERROR(__xludf.DUMMYFUNCTION("GOOGLETRANSLATE(A4108, ""ar"", ""bn"")"),"অভিযোগ")</f>
        <v>অভিযোগ</v>
      </c>
    </row>
    <row r="4109">
      <c r="A4109" s="2" t="s">
        <v>6202</v>
      </c>
      <c r="B4109" s="3" t="str">
        <f>IFERROR(__xludf.DUMMYFUNCTION("GOOGLETRANSLATE(A4109, ""ar"", ""bn"")"),"মামলা")</f>
        <v>মামলা</v>
      </c>
    </row>
    <row r="4110">
      <c r="A4110" s="2" t="s">
        <v>6203</v>
      </c>
      <c r="B4110" s="3" t="str">
        <f>IFERROR(__xludf.DUMMYFUNCTION("GOOGLETRANSLATE(A4110, ""ar"", ""bn"")"),"Laziest")</f>
        <v>Laziest</v>
      </c>
    </row>
    <row r="4111">
      <c r="A4111" s="2" t="s">
        <v>6204</v>
      </c>
      <c r="B4111" s="3" t="str">
        <f>IFERROR(__xludf.DUMMYFUNCTION("GOOGLETRANSLATE(A4111, ""ar"", ""bn"")"),"Kassala")</f>
        <v>Kassala</v>
      </c>
    </row>
    <row r="4112">
      <c r="A4112" s="2" t="s">
        <v>6205</v>
      </c>
      <c r="B4112" s="3" t="str">
        <f>IFERROR(__xludf.DUMMYFUNCTION("GOOGLETRANSLATE(A4112, ""ar"", ""bn"")"),"আলস্যভরে")</f>
        <v>আলস্যভরে</v>
      </c>
    </row>
    <row r="4113">
      <c r="A4113" s="2" t="s">
        <v>6206</v>
      </c>
      <c r="B4113" s="3" t="str">
        <f>IFERROR(__xludf.DUMMYFUNCTION("GOOGLETRANSLATE(A4113, ""ar"", ""bn"")"),"অলস")</f>
        <v>অলস</v>
      </c>
    </row>
    <row r="4114">
      <c r="A4114" s="2" t="s">
        <v>6207</v>
      </c>
      <c r="B4114" s="3" t="str">
        <f>IFERROR(__xludf.DUMMYFUNCTION("GOOGLETRANSLATE(A4114, ""ar"", ""bn"")"),"বেকার")</f>
        <v>বেকার</v>
      </c>
    </row>
    <row r="4115">
      <c r="A4115" s="2" t="s">
        <v>6208</v>
      </c>
      <c r="B4115" s="3" t="str">
        <f>IFERROR(__xludf.DUMMYFUNCTION("GOOGLETRANSLATE(A4115, ""ar"", ""bn"")"),"ফুটো")</f>
        <v>ফুটো</v>
      </c>
    </row>
    <row r="4116">
      <c r="A4116" s="2" t="s">
        <v>6208</v>
      </c>
      <c r="B4116" s="3" t="str">
        <f>IFERROR(__xludf.DUMMYFUNCTION("GOOGLETRANSLATE(A4116, ""ar"", ""bn"")"),"ফুটো")</f>
        <v>ফুটো</v>
      </c>
    </row>
    <row r="4117">
      <c r="A4117" s="2" t="s">
        <v>6209</v>
      </c>
      <c r="B4117" s="3" t="str">
        <f>IFERROR(__xludf.DUMMYFUNCTION("GOOGLETRANSLATE(A4117, ""ar"", ""bn"")"),"লিকেজ")</f>
        <v>লিকেজ</v>
      </c>
    </row>
    <row r="4118">
      <c r="A4118" s="2" t="s">
        <v>6210</v>
      </c>
      <c r="B4118" s="3" t="str">
        <f>IFERROR(__xludf.DUMMYFUNCTION("GOOGLETRANSLATE(A4118, ""ar"", ""bn"")"),"ফাঁস")</f>
        <v>ফাঁস</v>
      </c>
    </row>
    <row r="4119">
      <c r="A4119" s="2" t="s">
        <v>5026</v>
      </c>
      <c r="B4119" s="3" t="str">
        <f>IFERROR(__xludf.DUMMYFUNCTION("GOOGLETRANSLATE(A4119, ""ar"", ""bn"")"),"ফুটা হত্তয়া")</f>
        <v>ফুটা হত্তয়া</v>
      </c>
    </row>
    <row r="4120">
      <c r="A4120" s="2" t="s">
        <v>6211</v>
      </c>
      <c r="B4120" s="3" t="str">
        <f>IFERROR(__xludf.DUMMYFUNCTION("GOOGLETRANSLATE(A4120, ""ar"", ""bn"")"),"লিক")</f>
        <v>লিক</v>
      </c>
    </row>
    <row r="4121">
      <c r="A4121" s="2" t="s">
        <v>6212</v>
      </c>
      <c r="B4121" s="3" t="str">
        <f>IFERROR(__xludf.DUMMYFUNCTION("GOOGLETRANSLATE(A4121, ""ar"", ""bn"")"),"লিকস")</f>
        <v>লিকস</v>
      </c>
    </row>
    <row r="4122">
      <c r="A4122" s="2" t="s">
        <v>6213</v>
      </c>
      <c r="B4122" s="3" t="str">
        <f>IFERROR(__xludf.DUMMYFUNCTION("GOOGLETRANSLATE(A4122, ""ar"", ""bn"")"),"ছিদ্রময়")</f>
        <v>ছিদ্রময়</v>
      </c>
    </row>
    <row r="4123">
      <c r="A4123" s="2" t="s">
        <v>6208</v>
      </c>
      <c r="B4123" s="3" t="str">
        <f>IFERROR(__xludf.DUMMYFUNCTION("GOOGLETRANSLATE(A4123, ""ar"", ""bn"")"),"ফুটো")</f>
        <v>ফুটো</v>
      </c>
    </row>
    <row r="4124">
      <c r="A4124" s="2" t="s">
        <v>6209</v>
      </c>
      <c r="B4124" s="3" t="str">
        <f>IFERROR(__xludf.DUMMYFUNCTION("GOOGLETRANSLATE(A4124, ""ar"", ""bn"")"),"লিকেজ")</f>
        <v>লিকেজ</v>
      </c>
    </row>
    <row r="4125">
      <c r="A4125" s="2" t="s">
        <v>6211</v>
      </c>
      <c r="B4125" s="3" t="str">
        <f>IFERROR(__xludf.DUMMYFUNCTION("GOOGLETRANSLATE(A4125, ""ar"", ""bn"")"),"লিক")</f>
        <v>লিক</v>
      </c>
    </row>
    <row r="4126">
      <c r="A4126" s="2" t="s">
        <v>6214</v>
      </c>
      <c r="B4126" s="3" t="str">
        <f>IFERROR(__xludf.DUMMYFUNCTION("GOOGLETRANSLATE(A4126, ""ar"", ""bn"")"),"দায়")</f>
        <v>দায়</v>
      </c>
    </row>
    <row r="4127">
      <c r="A4127" s="2" t="s">
        <v>6215</v>
      </c>
      <c r="B4127" s="3" t="str">
        <f>IFERROR(__xludf.DUMMYFUNCTION("GOOGLETRANSLATE(A4127, ""ar"", ""bn"")"),"দায়")</f>
        <v>দায়</v>
      </c>
    </row>
    <row r="4128">
      <c r="A4128" s="2" t="s">
        <v>6216</v>
      </c>
      <c r="B4128" s="3" t="str">
        <f>IFERROR(__xludf.DUMMYFUNCTION("GOOGLETRANSLATE(A4128, ""ar"", ""bn"")"),"সমর্থ")</f>
        <v>সমর্থ</v>
      </c>
    </row>
    <row r="4129">
      <c r="A4129" s="2" t="s">
        <v>6217</v>
      </c>
      <c r="B4129" s="3" t="str">
        <f>IFERROR(__xludf.DUMMYFUNCTION("GOOGLETRANSLATE(A4129, ""ar"", ""bn"")"),"মিথ্যাবাদী")</f>
        <v>মিথ্যাবাদী</v>
      </c>
    </row>
    <row r="4130">
      <c r="A4130" s="2" t="s">
        <v>6218</v>
      </c>
      <c r="B4130" s="3" t="str">
        <f>IFERROR(__xludf.DUMMYFUNCTION("GOOGLETRANSLATE(A4130, ""ar"", ""bn"")"),"মিথ্যাবাদী")</f>
        <v>মিথ্যাবাদী</v>
      </c>
    </row>
    <row r="4131">
      <c r="A4131" s="2" t="s">
        <v>6219</v>
      </c>
      <c r="B4131" s="3" t="str">
        <f>IFERROR(__xludf.DUMMYFUNCTION("GOOGLETRANSLATE(A4131, ""ar"", ""bn"")"),"পরনিন্দা")</f>
        <v>পরনিন্দা</v>
      </c>
    </row>
    <row r="4132">
      <c r="A4132" s="2" t="s">
        <v>6220</v>
      </c>
      <c r="B4132" s="3" t="str">
        <f>IFERROR(__xludf.DUMMYFUNCTION("GOOGLETRANSLATE(A4132, ""ar"", ""bn"")"),"স্লেন্ডার বিরুদ্ধে")</f>
        <v>স্লেন্ডার বিরুদ্ধে</v>
      </c>
    </row>
    <row r="4133">
      <c r="A4133" s="2" t="s">
        <v>6221</v>
      </c>
      <c r="B4133" s="3" t="str">
        <f>IFERROR(__xludf.DUMMYFUNCTION("GOOGLETRANSLATE(A4133, ""ar"", ""bn"")"),"প্রজেক্ট")</f>
        <v>প্রজেক্ট</v>
      </c>
    </row>
    <row r="4134">
      <c r="A4134" s="2" t="s">
        <v>6222</v>
      </c>
      <c r="B4134" s="3" t="str">
        <f>IFERROR(__xludf.DUMMYFUNCTION("GOOGLETRANSLATE(A4134, ""ar"", ""bn"")"),"উল্লাসধ্বনি")</f>
        <v>উল্লাসধ্বনি</v>
      </c>
    </row>
    <row r="4135">
      <c r="A4135" s="2" t="s">
        <v>6223</v>
      </c>
      <c r="B4135" s="3" t="str">
        <f>IFERROR(__xludf.DUMMYFUNCTION("GOOGLETRANSLATE(A4135, ""ar"", ""bn"")"),"মানহানিকর")</f>
        <v>মানহানিকর</v>
      </c>
    </row>
    <row r="4136">
      <c r="A4136" s="2" t="s">
        <v>4491</v>
      </c>
      <c r="B4136" s="3" t="str">
        <f>IFERROR(__xludf.DUMMYFUNCTION("GOOGLETRANSLATE(A4136, ""ar"", ""bn"")"),"মানহানি")</f>
        <v>মানহানি</v>
      </c>
    </row>
    <row r="4137">
      <c r="A4137" s="2" t="s">
        <v>5294</v>
      </c>
      <c r="B4137" s="3" t="str">
        <f>IFERROR(__xludf.DUMMYFUNCTION("GOOGLETRANSLATE(A4137, ""ar"", ""bn"")"),"মিথ্যা")</f>
        <v>মিথ্যা</v>
      </c>
    </row>
    <row r="4138">
      <c r="A4138" s="2" t="s">
        <v>6224</v>
      </c>
      <c r="B4138" s="3" t="str">
        <f>IFERROR(__xludf.DUMMYFUNCTION("GOOGLETRANSLATE(A4138, ""ar"", ""bn"")"),"জার্মান গান")</f>
        <v>জার্মান গান</v>
      </c>
    </row>
    <row r="4139">
      <c r="A4139" s="2" t="s">
        <v>5295</v>
      </c>
      <c r="B4139" s="3" t="str">
        <f>IFERROR(__xludf.DUMMYFUNCTION("GOOGLETRANSLATE(A4139, ""ar"", ""bn"")"),"মিথ্যাচার")</f>
        <v>মিথ্যাচার</v>
      </c>
    </row>
    <row r="4140">
      <c r="A4140" s="2" t="s">
        <v>4431</v>
      </c>
      <c r="B4140" s="3" t="str">
        <f>IFERROR(__xludf.DUMMYFUNCTION("GOOGLETRANSLATE(A4140, ""ar"", ""bn"")"),"মৃত")</f>
        <v>মৃত</v>
      </c>
    </row>
    <row r="4141">
      <c r="A4141" s="2" t="s">
        <v>6225</v>
      </c>
      <c r="B4141" s="3" t="str">
        <f>IFERROR(__xludf.DUMMYFUNCTION("GOOGLETRANSLATE(A4141, ""ar"", ""bn"")"),"পচন")</f>
        <v>পচন</v>
      </c>
    </row>
    <row r="4142">
      <c r="A4142" s="2" t="s">
        <v>4172</v>
      </c>
      <c r="B4142" s="3" t="str">
        <f>IFERROR(__xludf.DUMMYFUNCTION("GOOGLETRANSLATE(A4142, ""ar"", ""bn"")"),"সীমাবদ্ধতা")</f>
        <v>সীমাবদ্ধতা</v>
      </c>
    </row>
    <row r="4143">
      <c r="A4143" s="2" t="s">
        <v>4173</v>
      </c>
      <c r="B4143" s="3" t="str">
        <f>IFERROR(__xludf.DUMMYFUNCTION("GOOGLETRANSLATE(A4143, ""ar"", ""bn"")"),"সীমাবদ্ধতা")</f>
        <v>সীমাবদ্ধতা</v>
      </c>
    </row>
    <row r="4144">
      <c r="A4144" s="2" t="s">
        <v>5793</v>
      </c>
      <c r="B4144" s="3" t="str">
        <f>IFERROR(__xludf.DUMMYFUNCTION("GOOGLETRANSLATE(A4144, ""ar"", ""bn"")"),"নরম")</f>
        <v>নরম</v>
      </c>
    </row>
    <row r="4145">
      <c r="A4145" s="2" t="s">
        <v>6226</v>
      </c>
      <c r="B4145" s="3" t="str">
        <f>IFERROR(__xludf.DUMMYFUNCTION("GOOGLETRANSLATE(A4145, ""ar"", ""bn"")"),"বেরিয়ে আসেন")</f>
        <v>বেরিয়ে আসেন</v>
      </c>
    </row>
    <row r="4146">
      <c r="A4146" s="2" t="s">
        <v>6227</v>
      </c>
      <c r="B4146" s="3" t="str">
        <f>IFERROR(__xludf.DUMMYFUNCTION("GOOGLETRANSLATE(A4146, ""ar"", ""bn"")"),"নাছোড়বান্দা লোক")</f>
        <v>নাছোড়বান্দা লোক</v>
      </c>
    </row>
    <row r="4147">
      <c r="A4147" s="2" t="s">
        <v>6228</v>
      </c>
      <c r="B4147" s="3" t="str">
        <f>IFERROR(__xludf.DUMMYFUNCTION("GOOGLETRANSLATE(A4147, ""ar"", ""bn"")"),"Limpets")</f>
        <v>Limpets</v>
      </c>
    </row>
    <row r="4148">
      <c r="A4148" s="2" t="s">
        <v>6229</v>
      </c>
      <c r="B4148" s="3" t="str">
        <f>IFERROR(__xludf.DUMMYFUNCTION("GOOGLETRANSLATE(A4148, ""ar"", ""bn"")"),"স্বচ্ছ")</f>
        <v>স্বচ্ছ</v>
      </c>
    </row>
    <row r="4149">
      <c r="A4149" s="2" t="s">
        <v>4283</v>
      </c>
      <c r="B4149" s="3" t="str">
        <f>IFERROR(__xludf.DUMMYFUNCTION("GOOGLETRANSLATE(A4149, ""ar"", ""bn"")"),"পঙ্গু")</f>
        <v>পঙ্গু</v>
      </c>
    </row>
    <row r="4150">
      <c r="A4150" s="2" t="s">
        <v>6230</v>
      </c>
      <c r="B4150" s="3" t="str">
        <f>IFERROR(__xludf.DUMMYFUNCTION("GOOGLETRANSLATE(A4150, ""ar"", ""bn"")"),"দুর্বল")</f>
        <v>দুর্বল</v>
      </c>
    </row>
    <row r="4151">
      <c r="A4151" s="2" t="s">
        <v>6231</v>
      </c>
      <c r="B4151" s="3" t="str">
        <f>IFERROR(__xludf.DUMMYFUNCTION("GOOGLETRANSLATE(A4151, ""ar"", ""bn"")"),"উত্তর কেপ")</f>
        <v>উত্তর কেপ</v>
      </c>
    </row>
    <row r="4152">
      <c r="A4152" s="2" t="s">
        <v>5794</v>
      </c>
      <c r="B4152" s="3" t="str">
        <f>IFERROR(__xludf.DUMMYFUNCTION("GOOGLETRANSLATE(A4152, ""ar"", ""bn"")"),"নরম")</f>
        <v>নরম</v>
      </c>
    </row>
    <row r="4153">
      <c r="A4153" s="2" t="s">
        <v>6232</v>
      </c>
      <c r="B4153" s="3" t="str">
        <f>IFERROR(__xludf.DUMMYFUNCTION("GOOGLETRANSLATE(A4153, ""ar"", ""bn"")"),"পরিত্রাণ পেতে")</f>
        <v>পরিত্রাণ পেতে</v>
      </c>
    </row>
    <row r="4154">
      <c r="A4154" s="2" t="s">
        <v>6233</v>
      </c>
      <c r="B4154" s="3" t="str">
        <f>IFERROR(__xludf.DUMMYFUNCTION("GOOGLETRANSLATE(A4154, ""ar"", ""bn"")"),"ফিল্টারিং")</f>
        <v>ফিল্টারিং</v>
      </c>
    </row>
    <row r="4155">
      <c r="A4155" s="2" t="s">
        <v>6233</v>
      </c>
      <c r="B4155" s="3" t="str">
        <f>IFERROR(__xludf.DUMMYFUNCTION("GOOGLETRANSLATE(A4155, ""ar"", ""bn"")"),"ফিল্টারিং")</f>
        <v>ফিল্টারিং</v>
      </c>
    </row>
    <row r="4156">
      <c r="A4156" s="2" t="s">
        <v>5096</v>
      </c>
      <c r="B4156" s="3" t="str">
        <f>IFERROR(__xludf.DUMMYFUNCTION("GOOGLETRANSLATE(A4156, ""ar"", ""bn"")"),"যোগ্যতা")</f>
        <v>যোগ্যতা</v>
      </c>
    </row>
    <row r="4157">
      <c r="A4157" s="2" t="s">
        <v>3274</v>
      </c>
      <c r="B4157" s="3" t="str">
        <f>IFERROR(__xludf.DUMMYFUNCTION("GOOGLETRANSLATE(A4157, ""ar"", ""bn"")"),"ডিসকাউন্ট")</f>
        <v>ডিসকাউন্ট</v>
      </c>
    </row>
    <row r="4158">
      <c r="A4158" s="2" t="s">
        <v>6234</v>
      </c>
      <c r="B4158" s="3" t="str">
        <f>IFERROR(__xludf.DUMMYFUNCTION("GOOGLETRANSLATE(A4158, ""ar"", ""bn"")"),"মামলাকারী")</f>
        <v>মামলাকারী</v>
      </c>
    </row>
    <row r="4159">
      <c r="A4159" s="2" t="s">
        <v>6235</v>
      </c>
      <c r="B4159" s="3" t="str">
        <f>IFERROR(__xludf.DUMMYFUNCTION("GOOGLETRANSLATE(A4159, ""ar"", ""bn"")"),"বিচারক")</f>
        <v>বিচারক</v>
      </c>
    </row>
    <row r="4160">
      <c r="A4160" s="2" t="s">
        <v>6236</v>
      </c>
      <c r="B4160" s="3" t="str">
        <f>IFERROR(__xludf.DUMMYFUNCTION("GOOGLETRANSLATE(A4160, ""ar"", ""bn"")"),"মামলা")</f>
        <v>মামলা</v>
      </c>
    </row>
    <row r="4161">
      <c r="A4161" s="2" t="s">
        <v>6237</v>
      </c>
      <c r="B4161" s="3" t="str">
        <f>IFERROR(__xludf.DUMMYFUNCTION("GOOGLETRANSLATE(A4161, ""ar"", ""bn"")"),"মামলা")</f>
        <v>মামলা</v>
      </c>
    </row>
    <row r="4162">
      <c r="A4162" s="2" t="s">
        <v>6236</v>
      </c>
      <c r="B4162" s="3" t="str">
        <f>IFERROR(__xludf.DUMMYFUNCTION("GOOGLETRANSLATE(A4162, ""ar"", ""bn"")"),"মামলা")</f>
        <v>মামলা</v>
      </c>
    </row>
    <row r="4163">
      <c r="A4163" s="2" t="s">
        <v>6238</v>
      </c>
      <c r="B4163" s="3" t="str">
        <f>IFERROR(__xludf.DUMMYFUNCTION("GOOGLETRANSLATE(A4163, ""ar"", ""bn"")"),"ঝগড়াটে")</f>
        <v>ঝগড়াটে</v>
      </c>
    </row>
    <row r="4164">
      <c r="A4164" s="2" t="s">
        <v>5071</v>
      </c>
      <c r="B4164" s="3" t="str">
        <f>IFERROR(__xludf.DUMMYFUNCTION("GOOGLETRANSLATE(A4164, ""ar"", ""bn"")"),"আবর্জনা")</f>
        <v>আবর্জনা</v>
      </c>
    </row>
    <row r="4165">
      <c r="A4165" s="2" t="s">
        <v>6239</v>
      </c>
      <c r="B4165" s="3" t="str">
        <f>IFERROR(__xludf.DUMMYFUNCTION("GOOGLETRANSLATE(A4165, ""ar"", ""bn"")"),"littered")</f>
        <v>littered</v>
      </c>
    </row>
    <row r="4166">
      <c r="A4166" s="2" t="s">
        <v>6240</v>
      </c>
      <c r="B4166" s="3" t="str">
        <f>IFERROR(__xludf.DUMMYFUNCTION("GOOGLETRANSLATE(A4166, ""ar"", ""bn"")"),"যত্র তত্র আবর্জনা ফেলার")</f>
        <v>যত্র তত্র আবর্জনা ফেলার</v>
      </c>
    </row>
    <row r="4167">
      <c r="A4167" s="2" t="s">
        <v>6241</v>
      </c>
      <c r="B4167" s="3" t="str">
        <f>IFERROR(__xludf.DUMMYFUNCTION("GOOGLETRANSLATE(A4167, ""ar"", ""bn"")"),"শিবিকা")</f>
        <v>শিবিকা</v>
      </c>
    </row>
    <row r="4168">
      <c r="A4168" s="2" t="s">
        <v>6242</v>
      </c>
      <c r="B4168" s="3" t="str">
        <f>IFERROR(__xludf.DUMMYFUNCTION("GOOGLETRANSLATE(A4168, ""ar"", ""bn"")"),"একক")</f>
        <v>একক</v>
      </c>
    </row>
    <row r="4169">
      <c r="A4169" s="2" t="s">
        <v>6243</v>
      </c>
      <c r="B4169" s="3" t="str">
        <f>IFERROR(__xludf.DUMMYFUNCTION("GOOGLETRANSLATE(A4169, ""ar"", ""bn"")"),"ঐক্য")</f>
        <v>ঐক্য</v>
      </c>
    </row>
    <row r="4170">
      <c r="A4170" s="2" t="s">
        <v>3338</v>
      </c>
      <c r="B4170" s="3" t="str">
        <f>IFERROR(__xludf.DUMMYFUNCTION("GOOGLETRANSLATE(A4170, ""ar"", ""bn"")"),"আলাদা করা")</f>
        <v>আলাদা করা</v>
      </c>
    </row>
    <row r="4171">
      <c r="A4171" s="2" t="s">
        <v>6244</v>
      </c>
      <c r="B4171" s="3" t="str">
        <f>IFERROR(__xludf.DUMMYFUNCTION("GOOGLETRANSLATE(A4171, ""ar"", ""bn"")"),"একাকী")</f>
        <v>একাকী</v>
      </c>
    </row>
    <row r="4172">
      <c r="A4172" s="2" t="s">
        <v>6242</v>
      </c>
      <c r="B4172" s="3" t="str">
        <f>IFERROR(__xludf.DUMMYFUNCTION("GOOGLETRANSLATE(A4172, ""ar"", ""bn"")"),"একক")</f>
        <v>একক</v>
      </c>
    </row>
    <row r="4173">
      <c r="A4173" s="2" t="s">
        <v>6245</v>
      </c>
      <c r="B4173" s="3" t="str">
        <f>IFERROR(__xludf.DUMMYFUNCTION("GOOGLETRANSLATE(A4173, ""ar"", ""bn"")"),"Loners")</f>
        <v>Loners</v>
      </c>
    </row>
    <row r="4174">
      <c r="A4174" s="2" t="s">
        <v>6242</v>
      </c>
      <c r="B4174" s="3" t="str">
        <f>IFERROR(__xludf.DUMMYFUNCTION("GOOGLETRANSLATE(A4174, ""ar"", ""bn"")"),"একক")</f>
        <v>একক</v>
      </c>
    </row>
    <row r="4175">
      <c r="A4175" s="2" t="s">
        <v>6246</v>
      </c>
      <c r="B4175" s="3" t="str">
        <f>IFERROR(__xludf.DUMMYFUNCTION("GOOGLETRANSLATE(A4175, ""ar"", ""bn"")"),"আকাঙ্ক্ষা")</f>
        <v>আকাঙ্ক্ষা</v>
      </c>
    </row>
    <row r="4176">
      <c r="A4176" s="2" t="s">
        <v>6247</v>
      </c>
      <c r="B4176" s="3" t="str">
        <f>IFERROR(__xludf.DUMMYFUNCTION("GOOGLETRANSLATE(A4176, ""ar"", ""bn"")"),"অগ্রবর্তী")</f>
        <v>অগ্রবর্তী</v>
      </c>
    </row>
    <row r="4177">
      <c r="A4177" s="2" t="s">
        <v>6248</v>
      </c>
      <c r="B4177" s="3" t="str">
        <f>IFERROR(__xludf.DUMMYFUNCTION("GOOGLETRANSLATE(A4177, ""ar"", ""bn"")"),"আকাঙ্ক্ষা")</f>
        <v>আকাঙ্ক্ষা</v>
      </c>
    </row>
    <row r="4178">
      <c r="A4178" s="2" t="s">
        <v>6249</v>
      </c>
      <c r="B4178" s="3" t="str">
        <f>IFERROR(__xludf.DUMMYFUNCTION("GOOGLETRANSLATE(A4178, ""ar"", ""bn"")"),"নিখোঁজ")</f>
        <v>নিখোঁজ</v>
      </c>
    </row>
    <row r="4179">
      <c r="A4179" s="2" t="s">
        <v>6250</v>
      </c>
      <c r="B4179" s="3" t="str">
        <f>IFERROR(__xludf.DUMMYFUNCTION("GOOGLETRANSLATE(A4179, ""ar"", ""bn"")"),"অভাগা")</f>
        <v>অভাগা</v>
      </c>
    </row>
    <row r="4180">
      <c r="A4180" s="2" t="s">
        <v>6251</v>
      </c>
      <c r="B4180" s="3" t="str">
        <f>IFERROR(__xludf.DUMMYFUNCTION("GOOGLETRANSLATE(A4180, ""ar"", ""bn"")"),"পরাজিত")</f>
        <v>পরাজিত</v>
      </c>
    </row>
    <row r="4181">
      <c r="A4181" s="2" t="s">
        <v>6252</v>
      </c>
      <c r="B4181" s="3" t="str">
        <f>IFERROR(__xludf.DUMMYFUNCTION("GOOGLETRANSLATE(A4181, ""ar"", ""bn"")"),"হারায়")</f>
        <v>হারায়</v>
      </c>
    </row>
    <row r="4182">
      <c r="A4182" s="2" t="s">
        <v>6250</v>
      </c>
      <c r="B4182" s="3" t="str">
        <f>IFERROR(__xludf.DUMMYFUNCTION("GOOGLETRANSLATE(A4182, ""ar"", ""bn"")"),"অভাগা")</f>
        <v>অভাগা</v>
      </c>
    </row>
    <row r="4183">
      <c r="A4183" s="2" t="s">
        <v>6251</v>
      </c>
      <c r="B4183" s="3" t="str">
        <f>IFERROR(__xludf.DUMMYFUNCTION("GOOGLETRANSLATE(A4183, ""ar"", ""bn"")"),"পরাজিত")</f>
        <v>পরাজিত</v>
      </c>
    </row>
    <row r="4184">
      <c r="A4184" s="2" t="s">
        <v>6252</v>
      </c>
      <c r="B4184" s="3" t="str">
        <f>IFERROR(__xludf.DUMMYFUNCTION("GOOGLETRANSLATE(A4184, ""ar"", ""bn"")"),"হারায়")</f>
        <v>হারায়</v>
      </c>
    </row>
    <row r="4185">
      <c r="A4185" s="2" t="s">
        <v>6253</v>
      </c>
      <c r="B4185" s="3" t="str">
        <f>IFERROR(__xludf.DUMMYFUNCTION("GOOGLETRANSLATE(A4185, ""ar"", ""bn"")"),"ক্ষতি")</f>
        <v>ক্ষতি</v>
      </c>
    </row>
    <row r="4186">
      <c r="A4186" s="2" t="s">
        <v>6254</v>
      </c>
      <c r="B4186" s="3" t="str">
        <f>IFERROR(__xludf.DUMMYFUNCTION("GOOGLETRANSLATE(A4186, ""ar"", ""bn"")"),"হারানো")</f>
        <v>হারানো</v>
      </c>
    </row>
    <row r="4187">
      <c r="A4187" s="2" t="s">
        <v>6255</v>
      </c>
      <c r="B4187" s="3" t="str">
        <f>IFERROR(__xludf.DUMMYFUNCTION("GOOGLETRANSLATE(A4187, ""ar"", ""bn"")"),"ক্ষতি")</f>
        <v>ক্ষতি</v>
      </c>
    </row>
    <row r="4188">
      <c r="A4188" s="2" t="s">
        <v>4402</v>
      </c>
      <c r="B4188" s="3" t="str">
        <f>IFERROR(__xludf.DUMMYFUNCTION("GOOGLETRANSLATE(A4188, ""ar"", ""bn"")"),"লোকসান")</f>
        <v>লোকসান</v>
      </c>
    </row>
    <row r="4189">
      <c r="A4189" s="2" t="s">
        <v>6256</v>
      </c>
      <c r="B4189" s="3" t="str">
        <f>IFERROR(__xludf.DUMMYFUNCTION("GOOGLETRANSLATE(A4189, ""ar"", ""bn"")"),"নিখোঁজ")</f>
        <v>নিখোঁজ</v>
      </c>
    </row>
    <row r="4190">
      <c r="A4190" s="2" t="s">
        <v>6257</v>
      </c>
      <c r="B4190" s="3" t="str">
        <f>IFERROR(__xludf.DUMMYFUNCTION("GOOGLETRANSLATE(A4190, ""ar"", ""bn"")"),"উকুন")</f>
        <v>উকুন</v>
      </c>
    </row>
    <row r="4191">
      <c r="A4191" s="2" t="s">
        <v>4184</v>
      </c>
      <c r="B4191" s="3" t="str">
        <f>IFERROR(__xludf.DUMMYFUNCTION("GOOGLETRANSLATE(A4191, ""ar"", ""bn"")"),"দুর্বৃত্ত")</f>
        <v>দুর্বৃত্ত</v>
      </c>
    </row>
    <row r="4192">
      <c r="A4192" s="2" t="s">
        <v>6258</v>
      </c>
      <c r="B4192" s="3" t="str">
        <f>IFERROR(__xludf.DUMMYFUNCTION("GOOGLETRANSLATE(A4192, ""ar"", ""bn"")"),"স্নেহহীন")</f>
        <v>স্নেহহীন</v>
      </c>
    </row>
    <row r="4193">
      <c r="A4193" s="2" t="s">
        <v>6259</v>
      </c>
      <c r="B4193" s="3" t="str">
        <f>IFERROR(__xludf.DUMMYFUNCTION("GOOGLETRANSLATE(A4193, ""ar"", ""bn"")"),"কম")</f>
        <v>কম</v>
      </c>
    </row>
    <row r="4194">
      <c r="A4194" s="2" t="s">
        <v>6260</v>
      </c>
      <c r="B4194" s="3" t="str">
        <f>IFERROR(__xludf.DUMMYFUNCTION("GOOGLETRANSLATE(A4194, ""ar"", ""bn"")"),"সর্বনিম্ন")</f>
        <v>সর্বনিম্ন</v>
      </c>
    </row>
    <row r="4195">
      <c r="A4195" s="2" t="s">
        <v>6261</v>
      </c>
      <c r="B4195" s="3" t="str">
        <f>IFERROR(__xludf.DUMMYFUNCTION("GOOGLETRANSLATE(A4195, ""ar"", ""bn"")"),"ছোট")</f>
        <v>ছোট</v>
      </c>
    </row>
    <row r="4196">
      <c r="A4196" s="2" t="s">
        <v>6262</v>
      </c>
      <c r="B4196" s="3" t="str">
        <f>IFERROR(__xludf.DUMMYFUNCTION("GOOGLETRANSLATE(A4196, ""ar"", ""bn"")"),"হ্রাসপ্রাপ্ত")</f>
        <v>হ্রাসপ্রাপ্ত</v>
      </c>
    </row>
    <row r="4197">
      <c r="A4197" s="2" t="s">
        <v>4606</v>
      </c>
      <c r="B4197" s="3" t="str">
        <f>IFERROR(__xludf.DUMMYFUNCTION("GOOGLETRANSLATE(A4197, ""ar"", ""bn"")"),"আনুপাতিক হারে কমান")</f>
        <v>আনুপাতিক হারে কমান</v>
      </c>
    </row>
    <row r="4198">
      <c r="A4198" s="2" t="s">
        <v>4608</v>
      </c>
      <c r="B4198" s="3" t="str">
        <f>IFERROR(__xludf.DUMMYFUNCTION("GOOGLETRANSLATE(A4198, ""ar"", ""bn"")"),"কমায়")</f>
        <v>কমায়</v>
      </c>
    </row>
    <row r="4199">
      <c r="A4199" s="2" t="s">
        <v>6260</v>
      </c>
      <c r="B4199" s="3" t="str">
        <f>IFERROR(__xludf.DUMMYFUNCTION("GOOGLETRANSLATE(A4199, ""ar"", ""bn"")"),"সর্বনিম্ন")</f>
        <v>সর্বনিম্ন</v>
      </c>
    </row>
    <row r="4200">
      <c r="A4200" s="2" t="s">
        <v>6263</v>
      </c>
      <c r="B4200" s="3" t="str">
        <f>IFERROR(__xludf.DUMMYFUNCTION("GOOGLETRANSLATE(A4200, ""ar"", ""bn"")"),"নর্দন")</f>
        <v>নর্দন</v>
      </c>
    </row>
    <row r="4201">
      <c r="A4201" s="2" t="s">
        <v>6264</v>
      </c>
      <c r="B4201" s="3" t="str">
        <f>IFERROR(__xludf.DUMMYFUNCTION("GOOGLETRANSLATE(A4201, ""ar"", ""bn"")"),"নিম্ন-জমি")</f>
        <v>নিম্ন-জমি</v>
      </c>
    </row>
    <row r="4202">
      <c r="A4202" s="2" t="s">
        <v>6264</v>
      </c>
      <c r="B4202" s="3" t="str">
        <f>IFERROR(__xludf.DUMMYFUNCTION("GOOGLETRANSLATE(A4202, ""ar"", ""bn"")"),"নিম্ন-জমি")</f>
        <v>নিম্ন-জমি</v>
      </c>
    </row>
    <row r="4203">
      <c r="A4203" s="2" t="s">
        <v>6264</v>
      </c>
      <c r="B4203" s="3" t="str">
        <f>IFERROR(__xludf.DUMMYFUNCTION("GOOGLETRANSLATE(A4203, ""ar"", ""bn"")"),"নিম্ন-জমি")</f>
        <v>নিম্ন-জমি</v>
      </c>
    </row>
    <row r="4204">
      <c r="A4204" s="2" t="s">
        <v>6265</v>
      </c>
      <c r="B4204" s="3" t="str">
        <f>IFERROR(__xludf.DUMMYFUNCTION("GOOGLETRANSLATE(A4204, ""ar"", ""bn"")"),"চরম দুর্বৃত্তি")</f>
        <v>চরম দুর্বৃত্তি</v>
      </c>
    </row>
    <row r="4205">
      <c r="A4205" s="2" t="s">
        <v>6266</v>
      </c>
      <c r="B4205" s="3" t="str">
        <f>IFERROR(__xludf.DUMMYFUNCTION("GOOGLETRANSLATE(A4205, ""ar"", ""bn"")"),"অপরিচ্ছন্ন")</f>
        <v>অপরিচ্ছন্ন</v>
      </c>
    </row>
    <row r="4206">
      <c r="A4206" s="2" t="s">
        <v>6267</v>
      </c>
      <c r="B4206" s="3" t="str">
        <f>IFERROR(__xludf.DUMMYFUNCTION("GOOGLETRANSLATE(A4206, ""ar"", ""bn"")"),"ক্ষুদ্রতা")</f>
        <v>ক্ষুদ্রতা</v>
      </c>
    </row>
    <row r="4207">
      <c r="A4207" s="2" t="s">
        <v>6268</v>
      </c>
      <c r="B4207" s="3" t="str">
        <f>IFERROR(__xludf.DUMMYFUNCTION("GOOGLETRANSLATE(A4207, ""ar"", ""bn"")"),"সর্বনিম্ন স্তর")</f>
        <v>সর্বনিম্ন স্তর</v>
      </c>
    </row>
    <row r="4208">
      <c r="A4208" s="2" t="s">
        <v>6269</v>
      </c>
      <c r="B4208" s="3" t="str">
        <f>IFERROR(__xludf.DUMMYFUNCTION("GOOGLETRANSLATE(A4208, ""ar"", ""bn"")"),"অভাগা")</f>
        <v>অভাগা</v>
      </c>
    </row>
    <row r="4209">
      <c r="A4209" s="2" t="s">
        <v>6270</v>
      </c>
      <c r="B4209" s="3" t="str">
        <f>IFERROR(__xludf.DUMMYFUNCTION("GOOGLETRANSLATE(A4209, ""ar"", ""bn"")"),"হাস্যকর")</f>
        <v>হাস্যকর</v>
      </c>
    </row>
    <row r="4210">
      <c r="A4210" s="2" t="s">
        <v>5345</v>
      </c>
      <c r="B4210" s="3" t="str">
        <f>IFERROR(__xludf.DUMMYFUNCTION("GOOGLETRANSLATE(A4210, ""ar"", ""bn"")"),"Fatuously")</f>
        <v>Fatuously</v>
      </c>
    </row>
    <row r="4211">
      <c r="A4211" s="2" t="s">
        <v>6271</v>
      </c>
      <c r="B4211" s="3" t="str">
        <f>IFERROR(__xludf.DUMMYFUNCTION("GOOGLETRANSLATE(A4211, ""ar"", ""bn"")"),"Wackiness")</f>
        <v>Wackiness</v>
      </c>
    </row>
    <row r="4212">
      <c r="A4212" s="2" t="s">
        <v>6272</v>
      </c>
      <c r="B4212" s="3" t="str">
        <f>IFERROR(__xludf.DUMMYFUNCTION("GOOGLETRANSLATE(A4212, ""ar"", ""bn"")"),"ঘুমান")</f>
        <v>ঘুমান</v>
      </c>
    </row>
    <row r="4213">
      <c r="A4213" s="2" t="s">
        <v>6273</v>
      </c>
      <c r="B4213" s="3" t="str">
        <f>IFERROR(__xludf.DUMMYFUNCTION("GOOGLETRANSLATE(A4213, ""ar"", ""bn"")"),"লুলাবিজ")</f>
        <v>লুলাবিজ</v>
      </c>
    </row>
    <row r="4214">
      <c r="A4214" s="2" t="s">
        <v>6274</v>
      </c>
      <c r="B4214" s="3" t="str">
        <f>IFERROR(__xludf.DUMMYFUNCTION("GOOGLETRANSLATE(A4214, ""ar"", ""bn"")"),"ঘুমপাড়ানি গান")</f>
        <v>ঘুমপাড়ানি গান</v>
      </c>
    </row>
    <row r="4215">
      <c r="A4215" s="2" t="s">
        <v>6275</v>
      </c>
      <c r="B4215" s="3" t="str">
        <f>IFERROR(__xludf.DUMMYFUNCTION("GOOGLETRANSLATE(A4215, ""ar"", ""bn"")"),"পার্কিং")</f>
        <v>পার্কিং</v>
      </c>
    </row>
    <row r="4216">
      <c r="A4216" s="2" t="s">
        <v>6276</v>
      </c>
      <c r="B4216" s="3" t="str">
        <f>IFERROR(__xludf.DUMMYFUNCTION("GOOGLETRANSLATE(A4216, ""ar"", ""bn"")"),"শান্ত")</f>
        <v>শান্ত</v>
      </c>
    </row>
    <row r="4217">
      <c r="A4217" s="2" t="s">
        <v>6277</v>
      </c>
      <c r="B4217" s="3" t="str">
        <f>IFERROR(__xludf.DUMMYFUNCTION("GOOGLETRANSLATE(A4217, ""ar"", ""bn"")"),"শান্ত সময়কাল")</f>
        <v>শান্ত সময়কাল</v>
      </c>
    </row>
    <row r="4218">
      <c r="A4218" s="2" t="s">
        <v>6278</v>
      </c>
      <c r="B4218" s="3" t="str">
        <f>IFERROR(__xludf.DUMMYFUNCTION("GOOGLETRANSLATE(A4218, ""ar"", ""bn"")"),"নির্বোধ")</f>
        <v>নির্বোধ</v>
      </c>
    </row>
    <row r="4219">
      <c r="A4219" s="2" t="s">
        <v>6279</v>
      </c>
      <c r="B4219" s="3" t="str">
        <f>IFERROR(__xludf.DUMMYFUNCTION("GOOGLETRANSLATE(A4219, ""ar"", ""bn"")"),"পাগওল একটা")</f>
        <v>পাগওল একটা</v>
      </c>
    </row>
    <row r="4220">
      <c r="A4220" s="2" t="s">
        <v>3509</v>
      </c>
      <c r="B4220" s="3" t="str">
        <f>IFERROR(__xludf.DUMMYFUNCTION("GOOGLETRANSLATE(A4220, ""ar"", ""bn"")"),"টোপ")</f>
        <v>টোপ</v>
      </c>
    </row>
    <row r="4221">
      <c r="A4221" s="2" t="s">
        <v>6280</v>
      </c>
      <c r="B4221" s="3" t="str">
        <f>IFERROR(__xludf.DUMMYFUNCTION("GOOGLETRANSLATE(A4221, ""ar"", ""bn"")"),"তাকে টানুন")</f>
        <v>তাকে টানুন</v>
      </c>
    </row>
    <row r="4222">
      <c r="A4222" s="2" t="s">
        <v>6281</v>
      </c>
      <c r="B4222" s="3" t="str">
        <f>IFERROR(__xludf.DUMMYFUNCTION("GOOGLETRANSLATE(A4222, ""ar"", ""bn"")"),"জাদু")</f>
        <v>জাদু</v>
      </c>
    </row>
    <row r="4223">
      <c r="A4223" s="2" t="s">
        <v>6282</v>
      </c>
      <c r="B4223" s="3" t="str">
        <f>IFERROR(__xludf.DUMMYFUNCTION("GOOGLETRANSLATE(A4223, ""ar"", ""bn"")"),"Lurex")</f>
        <v>Lurex</v>
      </c>
    </row>
    <row r="4224">
      <c r="A4224" s="2" t="s">
        <v>6283</v>
      </c>
      <c r="B4224" s="3" t="str">
        <f>IFERROR(__xludf.DUMMYFUNCTION("GOOGLETRANSLATE(A4224, ""ar"", ""bn"")"),"ওৎ পেতে থাকা")</f>
        <v>ওৎ পেতে থাকা</v>
      </c>
    </row>
    <row r="4225">
      <c r="A4225" s="2" t="s">
        <v>6284</v>
      </c>
      <c r="B4225" s="3" t="str">
        <f>IFERROR(__xludf.DUMMYFUNCTION("GOOGLETRANSLATE(A4225, ""ar"", ""bn"")"),"Lurked")</f>
        <v>Lurked</v>
      </c>
    </row>
    <row r="4226">
      <c r="A4226" s="2" t="s">
        <v>6285</v>
      </c>
      <c r="B4226" s="3" t="str">
        <f>IFERROR(__xludf.DUMMYFUNCTION("GOOGLETRANSLATE(A4226, ""ar"", ""bn"")"),"নতুন সদেস্য")</f>
        <v>নতুন সদেস্য</v>
      </c>
    </row>
    <row r="4227">
      <c r="A4227" s="2" t="s">
        <v>6286</v>
      </c>
      <c r="B4227" s="3" t="str">
        <f>IFERROR(__xludf.DUMMYFUNCTION("GOOGLETRANSLATE(A4227, ""ar"", ""bn"")"),"ত্তৎ পাতা")</f>
        <v>ত্তৎ পাতা</v>
      </c>
    </row>
    <row r="4228">
      <c r="A4228" s="2" t="s">
        <v>6287</v>
      </c>
      <c r="B4228" s="3" t="str">
        <f>IFERROR(__xludf.DUMMYFUNCTION("GOOGLETRANSLATE(A4228, ""ar"", ""bn"")"),"lurks")</f>
        <v>lurks</v>
      </c>
    </row>
    <row r="4229">
      <c r="A4229" s="2" t="s">
        <v>5294</v>
      </c>
      <c r="B4229" s="3" t="str">
        <f>IFERROR(__xludf.DUMMYFUNCTION("GOOGLETRANSLATE(A4229, ""ar"", ""bn"")"),"মিথ্যা")</f>
        <v>মিথ্যা</v>
      </c>
    </row>
    <row r="4230">
      <c r="A4230" s="2" t="s">
        <v>4268</v>
      </c>
      <c r="B4230" s="3" t="str">
        <f>IFERROR(__xludf.DUMMYFUNCTION("GOOGLETRANSLATE(A4230, ""ar"", ""bn"")"),"পাগল")</f>
        <v>পাগল</v>
      </c>
    </row>
    <row r="4231">
      <c r="A4231" s="2" t="s">
        <v>6288</v>
      </c>
      <c r="B4231" s="3" t="str">
        <f>IFERROR(__xludf.DUMMYFUNCTION("GOOGLETRANSLATE(A4231, ""ar"", ""bn"")"),"ঠাকরূণ")</f>
        <v>ঠাকরূণ</v>
      </c>
    </row>
    <row r="4232">
      <c r="A4232" s="2" t="s">
        <v>6288</v>
      </c>
      <c r="B4232" s="3" t="str">
        <f>IFERROR(__xludf.DUMMYFUNCTION("GOOGLETRANSLATE(A4232, ""ar"", ""bn"")"),"ঠাকরূণ")</f>
        <v>ঠাকরূণ</v>
      </c>
    </row>
    <row r="4233">
      <c r="A4233" s="2" t="s">
        <v>6289</v>
      </c>
      <c r="B4233" s="3" t="str">
        <f>IFERROR(__xludf.DUMMYFUNCTION("GOOGLETRANSLATE(A4233, ""ar"", ""bn"")"),"মহিলা")</f>
        <v>মহিলা</v>
      </c>
    </row>
    <row r="4234">
      <c r="A4234" s="2" t="s">
        <v>6290</v>
      </c>
      <c r="B4234" s="3" t="str">
        <f>IFERROR(__xludf.DUMMYFUNCTION("GOOGLETRANSLATE(A4234, ""ar"", ""bn"")"),"উন্মাদ")</f>
        <v>উন্মাদ</v>
      </c>
    </row>
    <row r="4235">
      <c r="A4235" s="2" t="s">
        <v>6291</v>
      </c>
      <c r="B4235" s="3" t="str">
        <f>IFERROR(__xludf.DUMMYFUNCTION("GOOGLETRANSLATE(A4235, ""ar"", ""bn"")"),"স্মৃতিভ্রংশ")</f>
        <v>স্মৃতিভ্রংশ</v>
      </c>
    </row>
    <row r="4236">
      <c r="A4236" s="2" t="s">
        <v>6291</v>
      </c>
      <c r="B4236" s="3" t="str">
        <f>IFERROR(__xludf.DUMMYFUNCTION("GOOGLETRANSLATE(A4236, ""ar"", ""bn"")"),"স্মৃতিভ্রংশ")</f>
        <v>স্মৃতিভ্রংশ</v>
      </c>
    </row>
    <row r="4237">
      <c r="A4237" s="2" t="s">
        <v>6292</v>
      </c>
      <c r="B4237" s="3" t="str">
        <f>IFERROR(__xludf.DUMMYFUNCTION("GOOGLETRANSLATE(A4237, ""ar"", ""bn"")"),"উন্মাদক")</f>
        <v>উন্মাদক</v>
      </c>
    </row>
    <row r="4238">
      <c r="A4238" s="2" t="s">
        <v>6033</v>
      </c>
      <c r="B4238" s="3" t="str">
        <f>IFERROR(__xludf.DUMMYFUNCTION("GOOGLETRANSLATE(A4238, ""ar"", ""bn"")"),"পাগলের মত")</f>
        <v>পাগলের মত</v>
      </c>
    </row>
    <row r="4239">
      <c r="A4239" s="2" t="s">
        <v>6293</v>
      </c>
      <c r="B4239" s="3" t="str">
        <f>IFERROR(__xludf.DUMMYFUNCTION("GOOGLETRANSLATE(A4239, ""ar"", ""bn"")"),"Maddens")</f>
        <v>Maddens</v>
      </c>
    </row>
    <row r="4240">
      <c r="A4240" s="2" t="s">
        <v>6294</v>
      </c>
      <c r="B4240" s="3" t="str">
        <f>IFERROR(__xludf.DUMMYFUNCTION("GOOGLETRANSLATE(A4240, ""ar"", ""bn"")"),"লতাবিশেষ")</f>
        <v>লতাবিশেষ</v>
      </c>
    </row>
    <row r="4241">
      <c r="A4241" s="2" t="s">
        <v>6295</v>
      </c>
      <c r="B4241" s="3" t="str">
        <f>IFERROR(__xludf.DUMMYFUNCTION("GOOGLETRANSLATE(A4241, ""ar"", ""bn"")"),"Maddest")</f>
        <v>Maddest</v>
      </c>
    </row>
    <row r="4242">
      <c r="A4242" s="2" t="s">
        <v>6296</v>
      </c>
      <c r="B4242" s="3" t="str">
        <f>IFERROR(__xludf.DUMMYFUNCTION("GOOGLETRANSLATE(A4242, ""ar"", ""bn"")"),"প্রণীত")</f>
        <v>প্রণীত</v>
      </c>
    </row>
    <row r="4243">
      <c r="A4243" s="2" t="s">
        <v>6297</v>
      </c>
      <c r="B4243" s="3" t="str">
        <f>IFERROR(__xludf.DUMMYFUNCTION("GOOGLETRANSLATE(A4243, ""ar"", ""bn"")"),"মদিরা")</f>
        <v>মদিরা</v>
      </c>
    </row>
    <row r="4244">
      <c r="A4244" s="2" t="s">
        <v>6298</v>
      </c>
      <c r="B4244" s="3" t="str">
        <f>IFERROR(__xludf.DUMMYFUNCTION("GOOGLETRANSLATE(A4244, ""ar"", ""bn"")"),"কুমারী")</f>
        <v>কুমারী</v>
      </c>
    </row>
    <row r="4245">
      <c r="A4245" s="2" t="s">
        <v>6299</v>
      </c>
      <c r="B4245" s="3" t="str">
        <f>IFERROR(__xludf.DUMMYFUNCTION("GOOGLETRANSLATE(A4245, ""ar"", ""bn"")"),"পাগলা গারদ")</f>
        <v>পাগলা গারদ</v>
      </c>
    </row>
    <row r="4246">
      <c r="A4246" s="2" t="s">
        <v>6033</v>
      </c>
      <c r="B4246" s="3" t="str">
        <f>IFERROR(__xludf.DUMMYFUNCTION("GOOGLETRANSLATE(A4246, ""ar"", ""bn"")"),"পাগলের মত")</f>
        <v>পাগলের মত</v>
      </c>
    </row>
    <row r="4247">
      <c r="A4247" s="2" t="s">
        <v>4268</v>
      </c>
      <c r="B4247" s="3" t="str">
        <f>IFERROR(__xludf.DUMMYFUNCTION("GOOGLETRANSLATE(A4247, ""ar"", ""bn"")"),"পাগল")</f>
        <v>পাগল</v>
      </c>
    </row>
    <row r="4248">
      <c r="A4248" s="2" t="s">
        <v>6279</v>
      </c>
      <c r="B4248" s="3" t="str">
        <f>IFERROR(__xludf.DUMMYFUNCTION("GOOGLETRANSLATE(A4248, ""ar"", ""bn"")"),"পাগওল একটা")</f>
        <v>পাগওল একটা</v>
      </c>
    </row>
    <row r="4249">
      <c r="A4249" s="2" t="s">
        <v>4263</v>
      </c>
      <c r="B4249" s="3" t="str">
        <f>IFERROR(__xludf.DUMMYFUNCTION("GOOGLETRANSLATE(A4249, ""ar"", ""bn"")"),"বাতুলতা")</f>
        <v>বাতুলতা</v>
      </c>
    </row>
    <row r="4250">
      <c r="A4250" s="2" t="s">
        <v>6300</v>
      </c>
      <c r="B4250" s="3" t="str">
        <f>IFERROR(__xludf.DUMMYFUNCTION("GOOGLETRANSLATE(A4250, ""ar"", ""bn"")"),"মাদ্রাজ")</f>
        <v>মাদ্রাজ</v>
      </c>
    </row>
    <row r="4251">
      <c r="A4251" s="2" t="s">
        <v>6301</v>
      </c>
      <c r="B4251" s="3" t="str">
        <f>IFERROR(__xludf.DUMMYFUNCTION("GOOGLETRANSLATE(A4251, ""ar"", ""bn"")"),"মাদ্রিদ")</f>
        <v>মাদ্রিদ</v>
      </c>
    </row>
    <row r="4252">
      <c r="A4252" s="2" t="s">
        <v>6302</v>
      </c>
      <c r="B4252" s="3" t="str">
        <f>IFERROR(__xludf.DUMMYFUNCTION("GOOGLETRANSLATE(A4252, ""ar"", ""bn"")"),"প্রেমগাথা")</f>
        <v>প্রেমগাথা</v>
      </c>
    </row>
    <row r="4253">
      <c r="A4253" s="2" t="s">
        <v>6303</v>
      </c>
      <c r="B4253" s="3" t="str">
        <f>IFERROR(__xludf.DUMMYFUNCTION("GOOGLETRANSLATE(A4253, ""ar"", ""bn"")"),"Madrigals")</f>
        <v>Madrigals</v>
      </c>
    </row>
    <row r="4254">
      <c r="A4254" s="2" t="s">
        <v>6304</v>
      </c>
      <c r="B4254" s="3" t="str">
        <f>IFERROR(__xludf.DUMMYFUNCTION("GOOGLETRANSLATE(A4254, ""ar"", ""bn"")"),"পাগল")</f>
        <v>পাগল</v>
      </c>
    </row>
    <row r="4255">
      <c r="A4255" s="2" t="s">
        <v>6291</v>
      </c>
      <c r="B4255" s="3" t="str">
        <f>IFERROR(__xludf.DUMMYFUNCTION("GOOGLETRANSLATE(A4255, ""ar"", ""bn"")"),"স্মৃতিভ্রংশ")</f>
        <v>স্মৃতিভ্রংশ</v>
      </c>
    </row>
    <row r="4256">
      <c r="A4256" s="2" t="s">
        <v>6291</v>
      </c>
      <c r="B4256" s="3" t="str">
        <f>IFERROR(__xludf.DUMMYFUNCTION("GOOGLETRANSLATE(A4256, ""ar"", ""bn"")"),"স্মৃতিভ্রংশ")</f>
        <v>স্মৃতিভ্রংশ</v>
      </c>
    </row>
    <row r="4257">
      <c r="A4257" s="2" t="s">
        <v>6292</v>
      </c>
      <c r="B4257" s="3" t="str">
        <f>IFERROR(__xludf.DUMMYFUNCTION("GOOGLETRANSLATE(A4257, ""ar"", ""bn"")"),"উন্মাদক")</f>
        <v>উন্মাদক</v>
      </c>
    </row>
    <row r="4258">
      <c r="A4258" s="2" t="s">
        <v>6033</v>
      </c>
      <c r="B4258" s="3" t="str">
        <f>IFERROR(__xludf.DUMMYFUNCTION("GOOGLETRANSLATE(A4258, ""ar"", ""bn"")"),"পাগলের মত")</f>
        <v>পাগলের মত</v>
      </c>
    </row>
    <row r="4259">
      <c r="A4259" s="2" t="s">
        <v>6293</v>
      </c>
      <c r="B4259" s="3" t="str">
        <f>IFERROR(__xludf.DUMMYFUNCTION("GOOGLETRANSLATE(A4259, ""ar"", ""bn"")"),"Maddens")</f>
        <v>Maddens</v>
      </c>
    </row>
    <row r="4260">
      <c r="A4260" s="2" t="s">
        <v>6294</v>
      </c>
      <c r="B4260" s="3" t="str">
        <f>IFERROR(__xludf.DUMMYFUNCTION("GOOGLETRANSLATE(A4260, ""ar"", ""bn"")"),"লতাবিশেষ")</f>
        <v>লতাবিশেষ</v>
      </c>
    </row>
    <row r="4261">
      <c r="A4261" s="2" t="s">
        <v>6295</v>
      </c>
      <c r="B4261" s="3" t="str">
        <f>IFERROR(__xludf.DUMMYFUNCTION("GOOGLETRANSLATE(A4261, ""ar"", ""bn"")"),"Maddest")</f>
        <v>Maddest</v>
      </c>
    </row>
    <row r="4262">
      <c r="A4262" s="2" t="s">
        <v>4268</v>
      </c>
      <c r="B4262" s="3" t="str">
        <f>IFERROR(__xludf.DUMMYFUNCTION("GOOGLETRANSLATE(A4262, ""ar"", ""bn"")"),"পাগল")</f>
        <v>পাগল</v>
      </c>
    </row>
    <row r="4263">
      <c r="A4263" s="2" t="s">
        <v>6279</v>
      </c>
      <c r="B4263" s="3" t="str">
        <f>IFERROR(__xludf.DUMMYFUNCTION("GOOGLETRANSLATE(A4263, ""ar"", ""bn"")"),"পাগওল একটা")</f>
        <v>পাগওল একটা</v>
      </c>
    </row>
    <row r="4264">
      <c r="A4264" s="2" t="s">
        <v>4263</v>
      </c>
      <c r="B4264" s="3" t="str">
        <f>IFERROR(__xludf.DUMMYFUNCTION("GOOGLETRANSLATE(A4264, ""ar"", ""bn"")"),"বাতুলতা")</f>
        <v>বাতুলতা</v>
      </c>
    </row>
    <row r="4265">
      <c r="A4265" s="2" t="s">
        <v>6305</v>
      </c>
      <c r="B4265" s="3" t="str">
        <f>IFERROR(__xludf.DUMMYFUNCTION("GOOGLETRANSLATE(A4265, ""ar"", ""bn"")"),"অসঙ্গত")</f>
        <v>অসঙ্গত</v>
      </c>
    </row>
    <row r="4266">
      <c r="A4266" s="2" t="s">
        <v>6306</v>
      </c>
      <c r="B4266" s="3" t="str">
        <f>IFERROR(__xludf.DUMMYFUNCTION("GOOGLETRANSLATE(A4266, ""ar"", ""bn"")"),"অনিয়মিত")</f>
        <v>অনিয়মিত</v>
      </c>
    </row>
    <row r="4267">
      <c r="A4267" s="2" t="s">
        <v>3319</v>
      </c>
      <c r="B4267" s="3" t="str">
        <f>IFERROR(__xludf.DUMMYFUNCTION("GOOGLETRANSLATE(A4267, ""ar"", ""bn"")"),"অসুস্থতা")</f>
        <v>অসুস্থতা</v>
      </c>
    </row>
    <row r="4268">
      <c r="A4268" s="2" t="s">
        <v>6307</v>
      </c>
      <c r="B4268" s="3" t="str">
        <f>IFERROR(__xludf.DUMMYFUNCTION("GOOGLETRANSLATE(A4268, ""ar"", ""bn"")"),"মনের ঝাল")</f>
        <v>মনের ঝাল</v>
      </c>
    </row>
    <row r="4269">
      <c r="A4269" s="2" t="s">
        <v>6308</v>
      </c>
      <c r="B4269" s="3" t="str">
        <f>IFERROR(__xludf.DUMMYFUNCTION("GOOGLETRANSLATE(A4269, ""ar"", ""bn"")"),"মারাত্মক")</f>
        <v>মারাত্মক</v>
      </c>
    </row>
    <row r="4270">
      <c r="A4270" s="2" t="s">
        <v>6309</v>
      </c>
      <c r="B4270" s="3" t="str">
        <f>IFERROR(__xludf.DUMMYFUNCTION("GOOGLETRANSLATE(A4270, ""ar"", ""bn"")"),"বিদ্বেষপূর্ণভাবে")</f>
        <v>বিদ্বেষপূর্ণভাবে</v>
      </c>
    </row>
    <row r="4271">
      <c r="A4271" s="2" t="s">
        <v>3496</v>
      </c>
      <c r="B4271" s="3" t="str">
        <f>IFERROR(__xludf.DUMMYFUNCTION("GOOGLETRANSLATE(A4271, ""ar"", ""bn"")"),"আক্রোশ")</f>
        <v>আক্রোশ</v>
      </c>
    </row>
    <row r="4272">
      <c r="A4272" s="2" t="s">
        <v>4689</v>
      </c>
      <c r="B4272" s="3" t="str">
        <f>IFERROR(__xludf.DUMMYFUNCTION("GOOGLETRANSLATE(A4272, ""ar"", ""bn"")"),"ক্ষতিকর")</f>
        <v>ক্ষতিকর</v>
      </c>
    </row>
    <row r="4273">
      <c r="A4273" s="2" t="s">
        <v>6310</v>
      </c>
      <c r="B4273" s="3" t="str">
        <f>IFERROR(__xludf.DUMMYFUNCTION("GOOGLETRANSLATE(A4273, ""ar"", ""bn"")"),"ম্যালিগন্যান্ট টিউমারের")</f>
        <v>ম্যালিগন্যান্ট টিউমারের</v>
      </c>
    </row>
    <row r="4274">
      <c r="A4274" s="2" t="s">
        <v>3496</v>
      </c>
      <c r="B4274" s="3" t="str">
        <f>IFERROR(__xludf.DUMMYFUNCTION("GOOGLETRANSLATE(A4274, ""ar"", ""bn"")"),"আক্রোশ")</f>
        <v>আক্রোশ</v>
      </c>
    </row>
    <row r="4275">
      <c r="A4275" s="2" t="s">
        <v>6308</v>
      </c>
      <c r="B4275" s="3" t="str">
        <f>IFERROR(__xludf.DUMMYFUNCTION("GOOGLETRANSLATE(A4275, ""ar"", ""bn"")"),"মারাত্মক")</f>
        <v>মারাত্মক</v>
      </c>
    </row>
    <row r="4276">
      <c r="A4276" s="2" t="s">
        <v>6311</v>
      </c>
      <c r="B4276" s="3" t="str">
        <f>IFERROR(__xludf.DUMMYFUNCTION("GOOGLETRANSLATE(A4276, ""ar"", ""bn"")"),"বিদ্বিষ্ট")</f>
        <v>বিদ্বিষ্ট</v>
      </c>
    </row>
    <row r="4277">
      <c r="A4277" s="2" t="s">
        <v>6312</v>
      </c>
      <c r="B4277" s="3" t="str">
        <f>IFERROR(__xludf.DUMMYFUNCTION("GOOGLETRANSLATE(A4277, ""ar"", ""bn"")"),"অপবাদ")</f>
        <v>অপবাদ</v>
      </c>
    </row>
    <row r="4278">
      <c r="A4278" s="2" t="s">
        <v>5188</v>
      </c>
      <c r="B4278" s="3" t="str">
        <f>IFERROR(__xludf.DUMMYFUNCTION("GOOGLETRANSLATE(A4278, ""ar"", ""bn"")"),"মন্দ")</f>
        <v>মন্দ</v>
      </c>
    </row>
    <row r="4279">
      <c r="A4279" s="2" t="s">
        <v>6313</v>
      </c>
      <c r="B4279" s="3" t="str">
        <f>IFERROR(__xludf.DUMMYFUNCTION("GOOGLETRANSLATE(A4279, ""ar"", ""bn"")"),"অপব্যবহার")</f>
        <v>অপব্যবহার</v>
      </c>
    </row>
    <row r="4280">
      <c r="A4280" s="2" t="s">
        <v>6310</v>
      </c>
      <c r="B4280" s="3" t="str">
        <f>IFERROR(__xludf.DUMMYFUNCTION("GOOGLETRANSLATE(A4280, ""ar"", ""bn"")"),"ম্যালিগন্যান্ট টিউমারের")</f>
        <v>ম্যালিগন্যান্ট টিউমারের</v>
      </c>
    </row>
    <row r="4281">
      <c r="A4281" s="2" t="s">
        <v>3496</v>
      </c>
      <c r="B4281" s="3" t="str">
        <f>IFERROR(__xludf.DUMMYFUNCTION("GOOGLETRANSLATE(A4281, ""ar"", ""bn"")"),"আক্রোশ")</f>
        <v>আক্রোশ</v>
      </c>
    </row>
    <row r="4282">
      <c r="A4282" s="2" t="s">
        <v>6308</v>
      </c>
      <c r="B4282" s="3" t="str">
        <f>IFERROR(__xludf.DUMMYFUNCTION("GOOGLETRANSLATE(A4282, ""ar"", ""bn"")"),"মারাত্মক")</f>
        <v>মারাত্মক</v>
      </c>
    </row>
    <row r="4283">
      <c r="A4283" s="2" t="s">
        <v>4601</v>
      </c>
      <c r="B4283" s="3" t="str">
        <f>IFERROR(__xludf.DUMMYFUNCTION("GOOGLETRANSLATE(A4283, ""ar"", ""bn"")"),"জগাখিচুড়ি")</f>
        <v>জগাখিচুড়ি</v>
      </c>
    </row>
    <row r="4284">
      <c r="A4284" s="2" t="s">
        <v>6314</v>
      </c>
      <c r="B4284" s="3" t="str">
        <f>IFERROR(__xludf.DUMMYFUNCTION("GOOGLETRANSLATE(A4284, ""ar"", ""bn"")"),"fraying")</f>
        <v>fraying</v>
      </c>
    </row>
    <row r="4285">
      <c r="A4285" s="2" t="s">
        <v>6315</v>
      </c>
      <c r="B4285" s="3" t="str">
        <f>IFERROR(__xludf.DUMMYFUNCTION("GOOGLETRANSLATE(A4285, ""ar"", ""bn"")"),"Mangler")</f>
        <v>Mangler</v>
      </c>
    </row>
    <row r="4286">
      <c r="A4286" s="2" t="s">
        <v>6316</v>
      </c>
      <c r="B4286" s="3" t="str">
        <f>IFERROR(__xludf.DUMMYFUNCTION("GOOGLETRANSLATE(A4286, ""ar"", ""bn"")"),"অন্ধকারাচ্ছন্ন")</f>
        <v>অন্ধকারাচ্ছন্ন</v>
      </c>
    </row>
    <row r="4287">
      <c r="A4287" s="2" t="s">
        <v>4268</v>
      </c>
      <c r="B4287" s="3" t="str">
        <f>IFERROR(__xludf.DUMMYFUNCTION("GOOGLETRANSLATE(A4287, ""ar"", ""bn"")"),"পাগল")</f>
        <v>পাগল</v>
      </c>
    </row>
    <row r="4288">
      <c r="A4288" s="2" t="s">
        <v>6317</v>
      </c>
      <c r="B4288" s="3" t="str">
        <f>IFERROR(__xludf.DUMMYFUNCTION("GOOGLETRANSLATE(A4288, ""ar"", ""bn"")"),"উন্মত্তবৎ")</f>
        <v>উন্মত্তবৎ</v>
      </c>
    </row>
    <row r="4289">
      <c r="A4289" s="2" t="s">
        <v>6318</v>
      </c>
      <c r="B4289" s="3" t="str">
        <f>IFERROR(__xludf.DUMMYFUNCTION("GOOGLETRANSLATE(A4289, ""ar"", ""bn"")"),"পাগল")</f>
        <v>পাগল</v>
      </c>
    </row>
    <row r="4290">
      <c r="A4290" s="2" t="s">
        <v>6319</v>
      </c>
      <c r="B4290" s="3" t="str">
        <f>IFERROR(__xludf.DUMMYFUNCTION("GOOGLETRANSLATE(A4290, ""ar"", ""bn"")"),"নিপূণভাবে ব্যবহার করা")</f>
        <v>নিপূণভাবে ব্যবহার করা</v>
      </c>
    </row>
    <row r="4291">
      <c r="A4291" s="2" t="s">
        <v>6320</v>
      </c>
      <c r="B4291" s="3" t="str">
        <f>IFERROR(__xludf.DUMMYFUNCTION("GOOGLETRANSLATE(A4291, ""ar"", ""bn"")"),"দক্ষতা সহকারে হস্তচালন")</f>
        <v>দক্ষতা সহকারে হস্তচালন</v>
      </c>
    </row>
    <row r="4292">
      <c r="A4292" s="2" t="s">
        <v>6321</v>
      </c>
      <c r="B4292" s="3" t="str">
        <f>IFERROR(__xludf.DUMMYFUNCTION("GOOGLETRANSLATE(A4292, ""ar"", ""bn"")"),"সাধিত")</f>
        <v>সাধিত</v>
      </c>
    </row>
    <row r="4293">
      <c r="A4293" s="2" t="s">
        <v>6320</v>
      </c>
      <c r="B4293" s="3" t="str">
        <f>IFERROR(__xludf.DUMMYFUNCTION("GOOGLETRANSLATE(A4293, ""ar"", ""bn"")"),"দক্ষতা সহকারে হস্তচালন")</f>
        <v>দক্ষতা সহকারে হস্তচালন</v>
      </c>
    </row>
    <row r="4294">
      <c r="A4294" s="2" t="s">
        <v>6319</v>
      </c>
      <c r="B4294" s="3" t="str">
        <f>IFERROR(__xludf.DUMMYFUNCTION("GOOGLETRANSLATE(A4294, ""ar"", ""bn"")"),"নিপূণভাবে ব্যবহার করা")</f>
        <v>নিপূণভাবে ব্যবহার করা</v>
      </c>
    </row>
    <row r="4295">
      <c r="A4295" s="2" t="s">
        <v>6320</v>
      </c>
      <c r="B4295" s="3" t="str">
        <f>IFERROR(__xludf.DUMMYFUNCTION("GOOGLETRANSLATE(A4295, ""ar"", ""bn"")"),"দক্ষতা সহকারে হস্তচালন")</f>
        <v>দক্ষতা সহকারে হস্তচালন</v>
      </c>
    </row>
    <row r="4296">
      <c r="A4296" s="2" t="s">
        <v>6322</v>
      </c>
      <c r="B4296" s="3" t="str">
        <f>IFERROR(__xludf.DUMMYFUNCTION("GOOGLETRANSLATE(A4296, ""ar"", ""bn"")"),"ধান্দাবাজি")</f>
        <v>ধান্দাবাজি</v>
      </c>
    </row>
    <row r="4297">
      <c r="A4297" s="2" t="s">
        <v>6323</v>
      </c>
      <c r="B4297" s="3" t="str">
        <f>IFERROR(__xludf.DUMMYFUNCTION("GOOGLETRANSLATE(A4297, ""ar"", ""bn"")"),"হস্ত দ্বারা কায্র্যকারক")</f>
        <v>হস্ত দ্বারা কায্র্যকারক</v>
      </c>
    </row>
    <row r="4298">
      <c r="A4298" s="2" t="s">
        <v>6324</v>
      </c>
      <c r="B4298" s="3" t="str">
        <f>IFERROR(__xludf.DUMMYFUNCTION("GOOGLETRANSLATE(A4298, ""ar"", ""bn"")"),"Manipulators")</f>
        <v>Manipulators</v>
      </c>
    </row>
    <row r="4299">
      <c r="A4299" s="2" t="s">
        <v>3437</v>
      </c>
      <c r="B4299" s="3" t="str">
        <f>IFERROR(__xludf.DUMMYFUNCTION("GOOGLETRANSLATE(A4299, ""ar"", ""bn"")"),"হত্যা")</f>
        <v>হত্যা</v>
      </c>
    </row>
    <row r="4300">
      <c r="A4300" s="2" t="s">
        <v>6325</v>
      </c>
      <c r="B4300" s="3" t="str">
        <f>IFERROR(__xludf.DUMMYFUNCTION("GOOGLETRANSLATE(A4300, ""ar"", ""bn"")"),"মার্চ")</f>
        <v>মার্চ</v>
      </c>
    </row>
    <row r="4301">
      <c r="A4301" s="2" t="s">
        <v>6326</v>
      </c>
      <c r="B4301" s="3" t="str">
        <f>IFERROR(__xludf.DUMMYFUNCTION("GOOGLETRANSLATE(A4301, ""ar"", ""bn"")"),"Mara,")</f>
        <v>Mara,</v>
      </c>
    </row>
    <row r="4302">
      <c r="A4302" s="2" t="s">
        <v>6327</v>
      </c>
      <c r="B4302" s="3" t="str">
        <f>IFERROR(__xludf.DUMMYFUNCTION("GOOGLETRANSLATE(A4302, ""ar"", ""bn"")"),"সহ্যশক্তির পরীক্ষা")</f>
        <v>সহ্যশক্তির পরীক্ষা</v>
      </c>
    </row>
    <row r="4303">
      <c r="A4303" s="2" t="s">
        <v>6328</v>
      </c>
      <c r="B4303" s="3" t="str">
        <f>IFERROR(__xludf.DUMMYFUNCTION("GOOGLETRANSLATE(A4303, ""ar"", ""bn"")"),"সহ্যশক্তির পরীক্ষা")</f>
        <v>সহ্যশক্তির পরীক্ষা</v>
      </c>
    </row>
    <row r="4304">
      <c r="A4304" s="2" t="s">
        <v>3878</v>
      </c>
      <c r="B4304" s="3" t="str">
        <f>IFERROR(__xludf.DUMMYFUNCTION("GOOGLETRANSLATE(A4304, ""ar"", ""bn"")"),"চোরগুলো")</f>
        <v>চোরগুলো</v>
      </c>
    </row>
    <row r="4305">
      <c r="A4305" s="2" t="s">
        <v>6329</v>
      </c>
      <c r="B4305" s="3" t="str">
        <f>IFERROR(__xludf.DUMMYFUNCTION("GOOGLETRANSLATE(A4305, ""ar"", ""bn"")"),"marauding")</f>
        <v>marauding</v>
      </c>
    </row>
    <row r="4306">
      <c r="A4306" s="2" t="s">
        <v>6330</v>
      </c>
      <c r="B4306" s="3" t="str">
        <f>IFERROR(__xludf.DUMMYFUNCTION("GOOGLETRANSLATE(A4306, ""ar"", ""bn"")"),"মার্বেল")</f>
        <v>মার্বেল</v>
      </c>
    </row>
    <row r="4307">
      <c r="A4307" s="2" t="s">
        <v>6331</v>
      </c>
      <c r="B4307" s="3" t="str">
        <f>IFERROR(__xludf.DUMMYFUNCTION("GOOGLETRANSLATE(A4307, ""ar"", ""bn"")"),"মার্বেল")</f>
        <v>মার্বেল</v>
      </c>
    </row>
    <row r="4308">
      <c r="A4308" s="2" t="s">
        <v>6332</v>
      </c>
      <c r="B4308" s="3" t="str">
        <f>IFERROR(__xludf.DUMMYFUNCTION("GOOGLETRANSLATE(A4308, ""ar"", ""bn"")"),"থটস")</f>
        <v>থটস</v>
      </c>
    </row>
    <row r="4309">
      <c r="A4309" s="2" t="s">
        <v>6333</v>
      </c>
      <c r="B4309" s="3" t="str">
        <f>IFERROR(__xludf.DUMMYFUNCTION("GOOGLETRANSLATE(A4309, ""ar"", ""bn"")"),"মার্চ")</f>
        <v>মার্চ</v>
      </c>
    </row>
    <row r="4310">
      <c r="A4310" s="2" t="s">
        <v>6334</v>
      </c>
      <c r="B4310" s="3" t="str">
        <f>IFERROR(__xludf.DUMMYFUNCTION("GOOGLETRANSLATE(A4310, ""ar"", ""bn"")"),"সে হেঁটেছিল")</f>
        <v>সে হেঁটেছিল</v>
      </c>
    </row>
    <row r="4311">
      <c r="A4311" s="2" t="s">
        <v>4573</v>
      </c>
      <c r="B4311" s="3" t="str">
        <f>IFERROR(__xludf.DUMMYFUNCTION("GOOGLETRANSLATE(A4311, ""ar"", ""bn"")"),"সক্রিয় অংশগ্রহণকারী")</f>
        <v>সক্রিয় অংশগ্রহণকারী</v>
      </c>
    </row>
    <row r="4312">
      <c r="A4312" s="2" t="s">
        <v>6335</v>
      </c>
      <c r="B4312" s="3" t="str">
        <f>IFERROR(__xludf.DUMMYFUNCTION("GOOGLETRANSLATE(A4312, ""ar"", ""bn"")"),"মার্চ")</f>
        <v>মার্চ</v>
      </c>
    </row>
    <row r="4313">
      <c r="A4313" s="2" t="s">
        <v>6336</v>
      </c>
      <c r="B4313" s="3" t="str">
        <f>IFERROR(__xludf.DUMMYFUNCTION("GOOGLETRANSLATE(A4313, ""ar"", ""bn"")"),"মিছিলের")</f>
        <v>মিছিলের</v>
      </c>
    </row>
    <row r="4314">
      <c r="A4314" s="2" t="s">
        <v>6333</v>
      </c>
      <c r="B4314" s="3" t="str">
        <f>IFERROR(__xludf.DUMMYFUNCTION("GOOGLETRANSLATE(A4314, ""ar"", ""bn"")"),"মার্চ")</f>
        <v>মার্চ</v>
      </c>
    </row>
    <row r="4315">
      <c r="A4315" s="2" t="s">
        <v>6337</v>
      </c>
      <c r="B4315" s="3" t="str">
        <f>IFERROR(__xludf.DUMMYFUNCTION("GOOGLETRANSLATE(A4315, ""ar"", ""bn"")"),"বৃহৎ তাঁবু")</f>
        <v>বৃহৎ তাঁবু</v>
      </c>
    </row>
    <row r="4316">
      <c r="A4316" s="2" t="s">
        <v>6338</v>
      </c>
      <c r="B4316" s="3" t="str">
        <f>IFERROR(__xludf.DUMMYFUNCTION("GOOGLETRANSLATE(A4316, ""ar"", ""bn"")"),"ঘোটকী")</f>
        <v>ঘোটকী</v>
      </c>
    </row>
    <row r="4317">
      <c r="A4317" s="2" t="s">
        <v>6339</v>
      </c>
      <c r="B4317" s="3" t="str">
        <f>IFERROR(__xludf.DUMMYFUNCTION("GOOGLETRANSLATE(A4317, ""ar"", ""bn"")"),"Clickers")</f>
        <v>Clickers</v>
      </c>
    </row>
    <row r="4318">
      <c r="A4318" s="2" t="s">
        <v>5339</v>
      </c>
      <c r="B4318" s="3" t="str">
        <f>IFERROR(__xludf.DUMMYFUNCTION("GOOGLETRANSLATE(A4318, ""ar"", ""bn"")"),"মার্জারিন")</f>
        <v>মার্জারিন</v>
      </c>
    </row>
    <row r="4319">
      <c r="A4319" s="2" t="s">
        <v>6340</v>
      </c>
      <c r="B4319" s="3" t="str">
        <f>IFERROR(__xludf.DUMMYFUNCTION("GOOGLETRANSLATE(A4319, ""ar"", ""bn"")"),"মার্জারিন")</f>
        <v>মার্জারিন</v>
      </c>
    </row>
    <row r="4320">
      <c r="A4320" s="2" t="s">
        <v>6341</v>
      </c>
      <c r="B4320" s="3" t="str">
        <f>IFERROR(__xludf.DUMMYFUNCTION("GOOGLETRANSLATE(A4320, ""ar"", ""bn"")"),"Margit")</f>
        <v>Margit</v>
      </c>
    </row>
    <row r="4321">
      <c r="A4321" s="2" t="s">
        <v>6342</v>
      </c>
      <c r="B4321" s="3" t="str">
        <f>IFERROR(__xludf.DUMMYFUNCTION("GOOGLETRANSLATE(A4321, ""ar"", ""bn"")"),"মার্জিন")</f>
        <v>মার্জিন</v>
      </c>
    </row>
    <row r="4322">
      <c r="A4322" s="2" t="s">
        <v>6343</v>
      </c>
      <c r="B4322" s="3" t="str">
        <f>IFERROR(__xludf.DUMMYFUNCTION("GOOGLETRANSLATE(A4322, ""ar"", ""bn"")"),"প্রান্তীয়")</f>
        <v>প্রান্তীয়</v>
      </c>
    </row>
    <row r="4323">
      <c r="A4323" s="2" t="s">
        <v>6344</v>
      </c>
      <c r="B4323" s="3" t="str">
        <f>IFERROR(__xludf.DUMMYFUNCTION("GOOGLETRANSLATE(A4323, ""ar"", ""bn"")"),"Theloahat")</f>
        <v>Theloahat</v>
      </c>
    </row>
    <row r="4324">
      <c r="A4324" s="2" t="s">
        <v>6345</v>
      </c>
      <c r="B4324" s="3" t="str">
        <f>IFERROR(__xludf.DUMMYFUNCTION("GOOGLETRANSLATE(A4324, ""ar"", ""bn"")"),"প্রান্তিকীকরণ")</f>
        <v>প্রান্তিকীকরণ</v>
      </c>
    </row>
    <row r="4325">
      <c r="A4325" s="2" t="s">
        <v>6346</v>
      </c>
      <c r="B4325" s="3" t="str">
        <f>IFERROR(__xludf.DUMMYFUNCTION("GOOGLETRANSLATE(A4325, ""ar"", ""bn"")"),"প্রান্তিকীকরণ")</f>
        <v>প্রান্তিকীকরণ</v>
      </c>
    </row>
    <row r="4326">
      <c r="A4326" s="2" t="s">
        <v>6347</v>
      </c>
      <c r="B4326" s="3" t="str">
        <f>IFERROR(__xludf.DUMMYFUNCTION("GOOGLETRANSLATE(A4326, ""ar"", ""bn"")"),"প্রান্তিক")</f>
        <v>প্রান্তিক</v>
      </c>
    </row>
    <row r="4327">
      <c r="A4327" s="2" t="s">
        <v>6346</v>
      </c>
      <c r="B4327" s="3" t="str">
        <f>IFERROR(__xludf.DUMMYFUNCTION("GOOGLETRANSLATE(A4327, ""ar"", ""bn"")"),"প্রান্তিকীকরণ")</f>
        <v>প্রান্তিকীকরণ</v>
      </c>
    </row>
    <row r="4328">
      <c r="A4328" s="2" t="s">
        <v>6346</v>
      </c>
      <c r="B4328" s="3" t="str">
        <f>IFERROR(__xludf.DUMMYFUNCTION("GOOGLETRANSLATE(A4328, ""ar"", ""bn"")"),"প্রান্তিকীকরণ")</f>
        <v>প্রান্তিকীকরণ</v>
      </c>
    </row>
    <row r="4329">
      <c r="A4329" s="2" t="s">
        <v>6345</v>
      </c>
      <c r="B4329" s="3" t="str">
        <f>IFERROR(__xludf.DUMMYFUNCTION("GOOGLETRANSLATE(A4329, ""ar"", ""bn"")"),"প্রান্তিকীকরণ")</f>
        <v>প্রান্তিকীকরণ</v>
      </c>
    </row>
    <row r="4330">
      <c r="A4330" s="2" t="s">
        <v>6343</v>
      </c>
      <c r="B4330" s="3" t="str">
        <f>IFERROR(__xludf.DUMMYFUNCTION("GOOGLETRANSLATE(A4330, ""ar"", ""bn"")"),"প্রান্তীয়")</f>
        <v>প্রান্তীয়</v>
      </c>
    </row>
    <row r="4331">
      <c r="A4331" s="2" t="s">
        <v>6348</v>
      </c>
      <c r="B4331" s="3" t="str">
        <f>IFERROR(__xludf.DUMMYFUNCTION("GOOGLETRANSLATE(A4331, ""ar"", ""bn"")"),"সরল মুনাফা")</f>
        <v>সরল মুনাফা</v>
      </c>
    </row>
    <row r="4332">
      <c r="A4332" s="2" t="s">
        <v>6349</v>
      </c>
      <c r="B4332" s="3" t="str">
        <f>IFERROR(__xludf.DUMMYFUNCTION("GOOGLETRANSLATE(A4332, ""ar"", ""bn"")"),"মার্জিন")</f>
        <v>মার্জিন</v>
      </c>
    </row>
    <row r="4333">
      <c r="A4333" s="2" t="s">
        <v>6350</v>
      </c>
      <c r="B4333" s="3" t="str">
        <f>IFERROR(__xludf.DUMMYFUNCTION("GOOGLETRANSLATE(A4333, ""ar"", ""bn"")"),"মারিয়া")</f>
        <v>মারিয়া</v>
      </c>
    </row>
    <row r="4334">
      <c r="A4334" s="2" t="s">
        <v>6351</v>
      </c>
      <c r="B4334" s="3" t="str">
        <f>IFERROR(__xludf.DUMMYFUNCTION("GOOGLETRANSLATE(A4334, ""ar"", ""bn"")"),"গাঁদা ফুল")</f>
        <v>গাঁদা ফুল</v>
      </c>
    </row>
    <row r="4335">
      <c r="A4335" s="2" t="s">
        <v>6352</v>
      </c>
      <c r="B4335" s="3" t="str">
        <f>IFERROR(__xludf.DUMMYFUNCTION("GOOGLETRANSLATE(A4335, ""ar"", ""bn"")"),"প্লাশ্")</f>
        <v>প্লাশ্</v>
      </c>
    </row>
    <row r="4336">
      <c r="A4336" s="2" t="s">
        <v>6353</v>
      </c>
      <c r="B4336" s="3" t="str">
        <f>IFERROR(__xludf.DUMMYFUNCTION("GOOGLETRANSLATE(A4336, ""ar"", ""bn"")"),"গাঁজা")</f>
        <v>গাঁজা</v>
      </c>
    </row>
    <row r="4337">
      <c r="A4337" s="2" t="s">
        <v>6354</v>
      </c>
      <c r="B4337" s="3" t="str">
        <f>IFERROR(__xludf.DUMMYFUNCTION("GOOGLETRANSLATE(A4337, ""ar"", ""bn"")"),"মারিনা")</f>
        <v>মারিনা</v>
      </c>
    </row>
    <row r="4338">
      <c r="A4338" s="2" t="s">
        <v>6355</v>
      </c>
      <c r="B4338" s="3" t="str">
        <f>IFERROR(__xludf.DUMMYFUNCTION("GOOGLETRANSLATE(A4338, ""ar"", ""bn"")"),"নোনা জল")</f>
        <v>নোনা জল</v>
      </c>
    </row>
    <row r="4339">
      <c r="A4339" s="2" t="s">
        <v>6356</v>
      </c>
      <c r="B4339" s="3" t="str">
        <f>IFERROR(__xludf.DUMMYFUNCTION("GOOGLETRANSLATE(A4339, ""ar"", ""bn"")"),"নোঙ্গর")</f>
        <v>নোঙ্গর</v>
      </c>
    </row>
    <row r="4340">
      <c r="A4340" s="2" t="s">
        <v>6357</v>
      </c>
      <c r="B4340" s="3" t="str">
        <f>IFERROR(__xludf.DUMMYFUNCTION("GOOGLETRANSLATE(A4340, ""ar"", ""bn"")"),"marinate")</f>
        <v>marinate</v>
      </c>
    </row>
    <row r="4341">
      <c r="A4341" s="2" t="s">
        <v>6358</v>
      </c>
      <c r="B4341" s="3" t="str">
        <f>IFERROR(__xludf.DUMMYFUNCTION("GOOGLETRANSLATE(A4341, ""ar"", ""bn"")"),"marinated")</f>
        <v>marinated</v>
      </c>
    </row>
    <row r="4342">
      <c r="A4342" s="2" t="s">
        <v>6359</v>
      </c>
      <c r="B4342" s="3" t="str">
        <f>IFERROR(__xludf.DUMMYFUNCTION("GOOGLETRANSLATE(A4342, ""ar"", ""bn"")"),"নৌ")</f>
        <v>নৌ</v>
      </c>
    </row>
    <row r="4343">
      <c r="A4343" s="2" t="s">
        <v>6360</v>
      </c>
      <c r="B4343" s="3" t="str">
        <f>IFERROR(__xludf.DUMMYFUNCTION("GOOGLETRANSLATE(A4343, ""ar"", ""bn"")"),"একজন নাবিক")</f>
        <v>একজন নাবিক</v>
      </c>
    </row>
    <row r="4344">
      <c r="A4344" s="2" t="s">
        <v>6361</v>
      </c>
      <c r="B4344" s="3" t="str">
        <f>IFERROR(__xludf.DUMMYFUNCTION("GOOGLETRANSLATE(A4344, ""ar"", ""bn"")"),"নাবিকদের")</f>
        <v>নাবিকদের</v>
      </c>
    </row>
    <row r="4345">
      <c r="A4345" s="2" t="s">
        <v>6362</v>
      </c>
      <c r="B4345" s="3" t="str">
        <f>IFERROR(__xludf.DUMMYFUNCTION("GOOGLETRANSLATE(A4345, ""ar"", ""bn"")"),"সামুদ্রিক")</f>
        <v>সামুদ্রিক</v>
      </c>
    </row>
    <row r="4346">
      <c r="A4346" s="2" t="s">
        <v>6363</v>
      </c>
      <c r="B4346" s="3" t="str">
        <f>IFERROR(__xludf.DUMMYFUNCTION("GOOGLETRANSLATE(A4346, ""ar"", ""bn"")"),"পুতলি")</f>
        <v>পুতলি</v>
      </c>
    </row>
    <row r="4347">
      <c r="A4347" s="2" t="s">
        <v>6364</v>
      </c>
      <c r="B4347" s="3" t="str">
        <f>IFERROR(__xludf.DUMMYFUNCTION("GOOGLETRANSLATE(A4347, ""ar"", ""bn"")"),"পুতুল")</f>
        <v>পুতুল</v>
      </c>
    </row>
    <row r="4348">
      <c r="A4348" s="2" t="s">
        <v>6365</v>
      </c>
      <c r="B4348" s="3" t="str">
        <f>IFERROR(__xludf.DUMMYFUNCTION("GOOGLETRANSLATE(A4348, ""ar"", ""bn"")"),"আমার স্বামী")</f>
        <v>আমার স্বামী</v>
      </c>
    </row>
    <row r="4349">
      <c r="A4349" s="2" t="s">
        <v>6359</v>
      </c>
      <c r="B4349" s="3" t="str">
        <f>IFERROR(__xludf.DUMMYFUNCTION("GOOGLETRANSLATE(A4349, ""ar"", ""bn"")"),"নৌ")</f>
        <v>নৌ</v>
      </c>
    </row>
    <row r="4350">
      <c r="A4350" s="2" t="s">
        <v>6366</v>
      </c>
      <c r="B4350" s="3" t="str">
        <f>IFERROR(__xludf.DUMMYFUNCTION("GOOGLETRANSLATE(A4350, ""ar"", ""bn"")"),"চিহ্ন")</f>
        <v>চিহ্ন</v>
      </c>
    </row>
    <row r="4351">
      <c r="A4351" s="2" t="s">
        <v>6367</v>
      </c>
      <c r="B4351" s="3" t="str">
        <f>IFERROR(__xludf.DUMMYFUNCTION("GOOGLETRANSLATE(A4351, ""ar"", ""bn"")"),"চিহ্নিত")</f>
        <v>চিহ্নিত</v>
      </c>
    </row>
    <row r="4352">
      <c r="A4352" s="2" t="s">
        <v>6368</v>
      </c>
      <c r="B4352" s="3" t="str">
        <f>IFERROR(__xludf.DUMMYFUNCTION("GOOGLETRANSLATE(A4352, ""ar"", ""bn"")"),"উল্লেখযোগ্যভাবে")</f>
        <v>উল্লেখযোগ্যভাবে</v>
      </c>
    </row>
    <row r="4353">
      <c r="A4353" s="2" t="s">
        <v>6366</v>
      </c>
      <c r="B4353" s="3" t="str">
        <f>IFERROR(__xludf.DUMMYFUNCTION("GOOGLETRANSLATE(A4353, ""ar"", ""bn"")"),"চিহ্ন")</f>
        <v>চিহ্ন</v>
      </c>
    </row>
    <row r="4354">
      <c r="A4354" s="2" t="s">
        <v>6369</v>
      </c>
      <c r="B4354" s="3" t="str">
        <f>IFERROR(__xludf.DUMMYFUNCTION("GOOGLETRANSLATE(A4354, ""ar"", ""bn"")"),"লক্ষণ")</f>
        <v>লক্ষণ</v>
      </c>
    </row>
    <row r="4355">
      <c r="A4355" s="2" t="s">
        <v>6370</v>
      </c>
      <c r="B4355" s="3" t="str">
        <f>IFERROR(__xludf.DUMMYFUNCTION("GOOGLETRANSLATE(A4355, ""ar"", ""bn"")"),"বাজার")</f>
        <v>বাজার</v>
      </c>
    </row>
    <row r="4356">
      <c r="A4356" s="2" t="s">
        <v>6371</v>
      </c>
      <c r="B4356" s="3" t="str">
        <f>IFERROR(__xludf.DUMMYFUNCTION("GOOGLETRANSLATE(A4356, ""ar"", ""bn"")"),"মার্কেটিং")</f>
        <v>মার্কেটিং</v>
      </c>
    </row>
    <row r="4357">
      <c r="A4357" s="2" t="s">
        <v>6371</v>
      </c>
      <c r="B4357" s="3" t="str">
        <f>IFERROR(__xludf.DUMMYFUNCTION("GOOGLETRANSLATE(A4357, ""ar"", ""bn"")"),"মার্কেটিং")</f>
        <v>মার্কেটিং</v>
      </c>
    </row>
    <row r="4358">
      <c r="A4358" s="2" t="s">
        <v>6371</v>
      </c>
      <c r="B4358" s="3" t="str">
        <f>IFERROR(__xludf.DUMMYFUNCTION("GOOGLETRANSLATE(A4358, ""ar"", ""bn"")"),"মার্কেটিং")</f>
        <v>মার্কেটিং</v>
      </c>
    </row>
    <row r="4359">
      <c r="A4359" s="2" t="s">
        <v>6372</v>
      </c>
      <c r="B4359" s="3" t="str">
        <f>IFERROR(__xludf.DUMMYFUNCTION("GOOGLETRANSLATE(A4359, ""ar"", ""bn"")"),"বাজার ব্যবসায়ীদের")</f>
        <v>বাজার ব্যবসায়ীদের</v>
      </c>
    </row>
    <row r="4360">
      <c r="A4360" s="2" t="s">
        <v>6371</v>
      </c>
      <c r="B4360" s="3" t="str">
        <f>IFERROR(__xludf.DUMMYFUNCTION("GOOGLETRANSLATE(A4360, ""ar"", ""bn"")"),"মার্কেটিং")</f>
        <v>মার্কেটিং</v>
      </c>
    </row>
    <row r="4361">
      <c r="A4361" s="2" t="s">
        <v>6371</v>
      </c>
      <c r="B4361" s="3" t="str">
        <f>IFERROR(__xludf.DUMMYFUNCTION("GOOGLETRANSLATE(A4361, ""ar"", ""bn"")"),"মার্কেটিং")</f>
        <v>মার্কেটিং</v>
      </c>
    </row>
    <row r="4362">
      <c r="A4362" s="2" t="s">
        <v>135</v>
      </c>
      <c r="B4362" s="3" t="str">
        <f>IFERROR(__xludf.DUMMYFUNCTION("GOOGLETRANSLATE(A4362, ""ar"", ""bn"")"),"বাজার")</f>
        <v>বাজার</v>
      </c>
    </row>
    <row r="4363">
      <c r="A4363" s="2" t="s">
        <v>6373</v>
      </c>
      <c r="B4363" s="3" t="str">
        <f>IFERROR(__xludf.DUMMYFUNCTION("GOOGLETRANSLATE(A4363, ""ar"", ""bn"")"),"বাজার")</f>
        <v>বাজার</v>
      </c>
    </row>
    <row r="4364">
      <c r="A4364" s="2" t="s">
        <v>6374</v>
      </c>
      <c r="B4364" s="3" t="str">
        <f>IFERROR(__xludf.DUMMYFUNCTION("GOOGLETRANSLATE(A4364, ""ar"", ""bn"")"),"অবস্থানসূচক")</f>
        <v>অবস্থানসূচক</v>
      </c>
    </row>
    <row r="4365">
      <c r="A4365" s="2" t="s">
        <v>6369</v>
      </c>
      <c r="B4365" s="3" t="str">
        <f>IFERROR(__xludf.DUMMYFUNCTION("GOOGLETRANSLATE(A4365, ""ar"", ""bn"")"),"লক্ষণ")</f>
        <v>লক্ষণ</v>
      </c>
    </row>
    <row r="4366">
      <c r="A4366" s="2" t="s">
        <v>6369</v>
      </c>
      <c r="B4366" s="3" t="str">
        <f>IFERROR(__xludf.DUMMYFUNCTION("GOOGLETRANSLATE(A4366, ""ar"", ""bn"")"),"লক্ষণ")</f>
        <v>লক্ষণ</v>
      </c>
    </row>
    <row r="4367">
      <c r="A4367" s="2" t="s">
        <v>6375</v>
      </c>
      <c r="B4367" s="3" t="str">
        <f>IFERROR(__xludf.DUMMYFUNCTION("GOOGLETRANSLATE(A4367, ""ar"", ""bn"")"),"গোল-দাতা")</f>
        <v>গোল-দাতা</v>
      </c>
    </row>
    <row r="4368">
      <c r="A4368" s="2" t="s">
        <v>6376</v>
      </c>
      <c r="B4368" s="3" t="str">
        <f>IFERROR(__xludf.DUMMYFUNCTION("GOOGLETRANSLATE(A4368, ""ar"", ""bn"")"),"লক্ষ্যবেধে ​​কুশলতা")</f>
        <v>লক্ষ্যবেধে ​​কুশলতা</v>
      </c>
    </row>
    <row r="4369">
      <c r="A4369" s="2" t="s">
        <v>6377</v>
      </c>
      <c r="B4369" s="3" t="str">
        <f>IFERROR(__xludf.DUMMYFUNCTION("GOOGLETRANSLATE(A4369, ""ar"", ""bn"")"),"বন্দুকবাজদের")</f>
        <v>বন্দুকবাজদের</v>
      </c>
    </row>
    <row r="4370">
      <c r="A4370" s="2" t="s">
        <v>6378</v>
      </c>
      <c r="B4370" s="3" t="str">
        <f>IFERROR(__xludf.DUMMYFUNCTION("GOOGLETRANSLATE(A4370, ""ar"", ""bn"")"),"ট্যাগ")</f>
        <v>ট্যাগ</v>
      </c>
    </row>
    <row r="4371">
      <c r="A4371" s="2" t="s">
        <v>6379</v>
      </c>
      <c r="B4371" s="3" t="str">
        <f>IFERROR(__xludf.DUMMYFUNCTION("GOOGLETRANSLATE(A4371, ""ar"", ""bn"")"),"মুনাফা রেখা")</f>
        <v>মুনাফা রেখা</v>
      </c>
    </row>
    <row r="4372">
      <c r="A4372" s="2" t="s">
        <v>6380</v>
      </c>
      <c r="B4372" s="3" t="str">
        <f>IFERROR(__xludf.DUMMYFUNCTION("GOOGLETRANSLATE(A4372, ""ar"", ""bn"")"),"ভূমি")</f>
        <v>ভূমি</v>
      </c>
    </row>
    <row r="4373">
      <c r="A4373" s="2" t="s">
        <v>6381</v>
      </c>
      <c r="B4373" s="3" t="str">
        <f>IFERROR(__xludf.DUMMYFUNCTION("GOOGLETRANSLATE(A4373, ""ar"", ""bn"")"),"কমলালেবুর আচার")</f>
        <v>কমলালেবুর আচার</v>
      </c>
    </row>
    <row r="4374">
      <c r="A4374" s="2" t="s">
        <v>6382</v>
      </c>
      <c r="B4374" s="3" t="str">
        <f>IFERROR(__xludf.DUMMYFUNCTION("GOOGLETRANSLATE(A4374, ""ar"", ""bn"")"),"আমেরিকার এক প্রকার ছোট ধরণের বানর")</f>
        <v>আমেরিকার এক প্রকার ছোট ধরণের বানর</v>
      </c>
    </row>
    <row r="4375">
      <c r="A4375" s="2" t="s">
        <v>6383</v>
      </c>
      <c r="B4375" s="3" t="str">
        <f>IFERROR(__xludf.DUMMYFUNCTION("GOOGLETRANSLATE(A4375, ""ar"", ""bn"")"),"আমেরিকান বানর")</f>
        <v>আমেরিকান বানর</v>
      </c>
    </row>
    <row r="4376">
      <c r="A4376" s="2" t="s">
        <v>6384</v>
      </c>
      <c r="B4376" s="3" t="str">
        <f>IFERROR(__xludf.DUMMYFUNCTION("GOOGLETRANSLATE(A4376, ""ar"", ""bn"")"),"পাব্র্বত্য মূষিক")</f>
        <v>পাব্র্বত্য মূষিক</v>
      </c>
    </row>
    <row r="4377">
      <c r="A4377" s="2" t="s">
        <v>3490</v>
      </c>
      <c r="B4377" s="3" t="str">
        <f>IFERROR(__xludf.DUMMYFUNCTION("GOOGLETRANSLATE(A4377, ""ar"", ""bn"")"),"আল Ghurair")</f>
        <v>আল Ghurair</v>
      </c>
    </row>
    <row r="4378">
      <c r="A4378" s="2" t="s">
        <v>6385</v>
      </c>
      <c r="B4378" s="3" t="str">
        <f>IFERROR(__xludf.DUMMYFUNCTION("GOOGLETRANSLATE(A4378, ""ar"", ""bn"")"),"তুবড়ি")</f>
        <v>তুবড়ি</v>
      </c>
    </row>
    <row r="4379">
      <c r="A4379" s="2" t="s">
        <v>6386</v>
      </c>
      <c r="B4379" s="3" t="str">
        <f>IFERROR(__xludf.DUMMYFUNCTION("GOOGLETRANSLATE(A4379, ""ar"", ""bn"")"),"অসহায়")</f>
        <v>অসহায়</v>
      </c>
    </row>
    <row r="4380">
      <c r="A4380" s="2" t="s">
        <v>6387</v>
      </c>
      <c r="B4380" s="3" t="str">
        <f>IFERROR(__xludf.DUMMYFUNCTION("GOOGLETRANSLATE(A4380, ""ar"", ""bn"")"),"বিসর্জন")</f>
        <v>বিসর্জন</v>
      </c>
    </row>
    <row r="4381">
      <c r="A4381" s="2" t="s">
        <v>6388</v>
      </c>
      <c r="B4381" s="3" t="str">
        <f>IFERROR(__xludf.DUMMYFUNCTION("GOOGLETRANSLATE(A4381, ""ar"", ""bn"")"),"Maroons")</f>
        <v>Maroons</v>
      </c>
    </row>
    <row r="4382">
      <c r="A4382" s="2" t="s">
        <v>6389</v>
      </c>
      <c r="B4382" s="3" t="str">
        <f>IFERROR(__xludf.DUMMYFUNCTION("GOOGLETRANSLATE(A4382, ""ar"", ""bn"")"),"marque")</f>
        <v>marque</v>
      </c>
    </row>
    <row r="4383">
      <c r="A4383" s="2" t="s">
        <v>6390</v>
      </c>
      <c r="B4383" s="3" t="str">
        <f>IFERROR(__xludf.DUMMYFUNCTION("GOOGLETRANSLATE(A4383, ""ar"", ""bn"")"),"বৃহৎ শিবির")</f>
        <v>বৃহৎ শিবির</v>
      </c>
    </row>
    <row r="4384">
      <c r="A4384" s="2" t="s">
        <v>6391</v>
      </c>
      <c r="B4384" s="3" t="str">
        <f>IFERROR(__xludf.DUMMYFUNCTION("GOOGLETRANSLATE(A4384, ""ar"", ""bn"")"),"Marquees")</f>
        <v>Marquees</v>
      </c>
    </row>
    <row r="4385">
      <c r="A4385" s="2" t="s">
        <v>6392</v>
      </c>
      <c r="B4385" s="3" t="str">
        <f>IFERROR(__xludf.DUMMYFUNCTION("GOOGLETRANSLATE(A4385, ""ar"", ""bn"")"),"মার্কেজ")</f>
        <v>মার্কেজ</v>
      </c>
    </row>
    <row r="4386">
      <c r="A4386" s="2" t="s">
        <v>6393</v>
      </c>
      <c r="B4386" s="3" t="str">
        <f>IFERROR(__xludf.DUMMYFUNCTION("GOOGLETRANSLATE(A4386, ""ar"", ""bn"")"),"Marquis")</f>
        <v>Marquis</v>
      </c>
    </row>
    <row r="4387">
      <c r="A4387" s="2" t="s">
        <v>6394</v>
      </c>
      <c r="B4387" s="3" t="str">
        <f>IFERROR(__xludf.DUMMYFUNCTION("GOOGLETRANSLATE(A4387, ""ar"", ""bn"")"),"মার্কেট্রি")</f>
        <v>মার্কেট্রি</v>
      </c>
    </row>
    <row r="4388">
      <c r="A4388" s="2" t="s">
        <v>6393</v>
      </c>
      <c r="B4388" s="3" t="str">
        <f>IFERROR(__xludf.DUMMYFUNCTION("GOOGLETRANSLATE(A4388, ""ar"", ""bn"")"),"Marquis")</f>
        <v>Marquis</v>
      </c>
    </row>
    <row r="4389">
      <c r="A4389" s="2" t="s">
        <v>6395</v>
      </c>
      <c r="B4389" s="3" t="str">
        <f>IFERROR(__xludf.DUMMYFUNCTION("GOOGLETRANSLATE(A4389, ""ar"", ""bn"")"),"লেগেই")</f>
        <v>লেগেই</v>
      </c>
    </row>
    <row r="4390">
      <c r="A4390" s="2" t="s">
        <v>6396</v>
      </c>
      <c r="B4390" s="3" t="str">
        <f>IFERROR(__xludf.DUMMYFUNCTION("GOOGLETRANSLATE(A4390, ""ar"", ""bn"")"),"বিবাহ")</f>
        <v>বিবাহ</v>
      </c>
    </row>
    <row r="4391">
      <c r="A4391" s="2" t="s">
        <v>6397</v>
      </c>
      <c r="B4391" s="3" t="str">
        <f>IFERROR(__xludf.DUMMYFUNCTION("GOOGLETRANSLATE(A4391, ""ar"", ""bn"")"),"বিবাহযোগ্য")</f>
        <v>বিবাহযোগ্য</v>
      </c>
    </row>
    <row r="4392">
      <c r="A4392" s="2" t="s">
        <v>6398</v>
      </c>
      <c r="B4392" s="3" t="str">
        <f>IFERROR(__xludf.DUMMYFUNCTION("GOOGLETRANSLATE(A4392, ""ar"", ""bn"")"),"বিবাহ")</f>
        <v>বিবাহ</v>
      </c>
    </row>
    <row r="4393">
      <c r="A4393" s="2" t="s">
        <v>6399</v>
      </c>
      <c r="B4393" s="3" t="str">
        <f>IFERROR(__xludf.DUMMYFUNCTION("GOOGLETRANSLATE(A4393, ""ar"", ""bn"")"),"বিবাহিত")</f>
        <v>বিবাহিত</v>
      </c>
    </row>
    <row r="4394">
      <c r="A4394" s="2" t="s">
        <v>6400</v>
      </c>
      <c r="B4394" s="3" t="str">
        <f>IFERROR(__xludf.DUMMYFUNCTION("GOOGLETRANSLATE(A4394, ""ar"", ""bn"")"),"বিবাহ করা")</f>
        <v>বিবাহ করা</v>
      </c>
    </row>
    <row r="4395">
      <c r="A4395" s="2" t="s">
        <v>4603</v>
      </c>
      <c r="B4395" s="3" t="str">
        <f>IFERROR(__xludf.DUMMYFUNCTION("GOOGLETRANSLATE(A4395, ""ar"", ""bn"")"),"Marring")</f>
        <v>Marring</v>
      </c>
    </row>
    <row r="4396">
      <c r="A4396" s="2" t="s">
        <v>6401</v>
      </c>
      <c r="B4396" s="3" t="str">
        <f>IFERROR(__xludf.DUMMYFUNCTION("GOOGLETRANSLATE(A4396, ""ar"", ""bn"")"),"মজ্জা")</f>
        <v>মজ্জা</v>
      </c>
    </row>
    <row r="4397">
      <c r="A4397" s="2" t="s">
        <v>6402</v>
      </c>
      <c r="B4397" s="3" t="str">
        <f>IFERROR(__xludf.DUMMYFUNCTION("GOOGLETRANSLATE(A4397, ""ar"", ""bn"")"),"ধুন্দুল")</f>
        <v>ধুন্দুল</v>
      </c>
    </row>
    <row r="4398">
      <c r="A4398" s="2" t="s">
        <v>6403</v>
      </c>
      <c r="B4398" s="3" t="str">
        <f>IFERROR(__xludf.DUMMYFUNCTION("GOOGLETRANSLATE(A4398, ""ar"", ""bn"")"),"বিযে করো")</f>
        <v>বিযে করো</v>
      </c>
    </row>
    <row r="4399">
      <c r="A4399" s="2" t="s">
        <v>6398</v>
      </c>
      <c r="B4399" s="3" t="str">
        <f>IFERROR(__xludf.DUMMYFUNCTION("GOOGLETRANSLATE(A4399, ""ar"", ""bn"")"),"বিবাহ")</f>
        <v>বিবাহ</v>
      </c>
    </row>
    <row r="4400">
      <c r="A4400" s="2" t="s">
        <v>6404</v>
      </c>
      <c r="B4400" s="3" t="str">
        <f>IFERROR(__xludf.DUMMYFUNCTION("GOOGLETRANSLATE(A4400, ""ar"", ""bn"")"),"মঙ্গল")</f>
        <v>মঙ্গল</v>
      </c>
    </row>
    <row r="4401">
      <c r="A4401" s="2" t="s">
        <v>6405</v>
      </c>
      <c r="B4401" s="3" t="str">
        <f>IFERROR(__xludf.DUMMYFUNCTION("GOOGLETRANSLATE(A4401, ""ar"", ""bn"")"),"Marsala")</f>
        <v>Marsala</v>
      </c>
    </row>
    <row r="4402">
      <c r="A4402" s="2" t="s">
        <v>6406</v>
      </c>
      <c r="B4402" s="3" t="str">
        <f>IFERROR(__xludf.DUMMYFUNCTION("GOOGLETRANSLATE(A4402, ""ar"", ""bn"")"),"জলাভূমি")</f>
        <v>জলাভূমি</v>
      </c>
    </row>
    <row r="4403">
      <c r="A4403" s="2" t="s">
        <v>6407</v>
      </c>
      <c r="B4403" s="3" t="str">
        <f>IFERROR(__xludf.DUMMYFUNCTION("GOOGLETRANSLATE(A4403, ""ar"", ""bn"")"),"সেনাপতি")</f>
        <v>সেনাপতি</v>
      </c>
    </row>
    <row r="4404">
      <c r="A4404" s="2" t="s">
        <v>6408</v>
      </c>
      <c r="B4404" s="3" t="str">
        <f>IFERROR(__xludf.DUMMYFUNCTION("GOOGLETRANSLATE(A4404, ""ar"", ""bn"")"),"সংগঠিত")</f>
        <v>সংগঠিত</v>
      </c>
    </row>
    <row r="4405">
      <c r="A4405" s="2" t="s">
        <v>6409</v>
      </c>
      <c r="B4405" s="3" t="str">
        <f>IFERROR(__xludf.DUMMYFUNCTION("GOOGLETRANSLATE(A4405, ""ar"", ""bn"")"),"সংরক্ষণ করুন সিস্টেম")</f>
        <v>সংরক্ষণ করুন সিস্টেম</v>
      </c>
    </row>
    <row r="4406">
      <c r="A4406" s="2" t="s">
        <v>6410</v>
      </c>
      <c r="B4406" s="3" t="str">
        <f>IFERROR(__xludf.DUMMYFUNCTION("GOOGLETRANSLATE(A4406, ""ar"", ""bn"")"),"রক্ষিবাহিনী")</f>
        <v>রক্ষিবাহিনী</v>
      </c>
    </row>
    <row r="4407">
      <c r="A4407" s="2" t="s">
        <v>6411</v>
      </c>
      <c r="B4407" s="3" t="str">
        <f>IFERROR(__xludf.DUMMYFUNCTION("GOOGLETRANSLATE(A4407, ""ar"", ""bn"")"),"marshes")</f>
        <v>marshes</v>
      </c>
    </row>
    <row r="4408">
      <c r="A4408" s="2" t="s">
        <v>6412</v>
      </c>
      <c r="B4408" s="3" t="str">
        <f>IFERROR(__xludf.DUMMYFUNCTION("GOOGLETRANSLATE(A4408, ""ar"", ""bn"")"),"জলা")</f>
        <v>জলা</v>
      </c>
    </row>
    <row r="4409">
      <c r="A4409" s="2" t="s">
        <v>6413</v>
      </c>
      <c r="B4409" s="3" t="str">
        <f>IFERROR(__xludf.DUMMYFUNCTION("GOOGLETRANSLATE(A4409, ""ar"", ""bn"")"),"Marshmallow এ")</f>
        <v>Marshmallow এ</v>
      </c>
    </row>
    <row r="4410">
      <c r="A4410" s="2" t="s">
        <v>6414</v>
      </c>
      <c r="B4410" s="3" t="str">
        <f>IFERROR(__xludf.DUMMYFUNCTION("GOOGLETRANSLATE(A4410, ""ar"", ""bn"")"),"marshmallows,")</f>
        <v>marshmallows,</v>
      </c>
    </row>
    <row r="4411">
      <c r="A4411" s="2" t="s">
        <v>6415</v>
      </c>
      <c r="B4411" s="3" t="str">
        <f>IFERROR(__xludf.DUMMYFUNCTION("GOOGLETRANSLATE(A4411, ""ar"", ""bn"")"),"Fenny")</f>
        <v>Fenny</v>
      </c>
    </row>
    <row r="4412">
      <c r="A4412" s="2" t="s">
        <v>6416</v>
      </c>
      <c r="B4412" s="3" t="str">
        <f>IFERROR(__xludf.DUMMYFUNCTION("GOOGLETRANSLATE(A4412, ""ar"", ""bn"")"),"অঙ্কগর্ভ")</f>
        <v>অঙ্কগর্ভ</v>
      </c>
    </row>
    <row r="4413">
      <c r="A4413" s="2" t="s">
        <v>6417</v>
      </c>
      <c r="B4413" s="3" t="str">
        <f>IFERROR(__xludf.DUMMYFUNCTION("GOOGLETRANSLATE(A4413, ""ar"", ""bn"")"),"শাবকবাহী জীব")</f>
        <v>শাবকবাহী জীব</v>
      </c>
    </row>
    <row r="4414">
      <c r="A4414" s="2" t="s">
        <v>6370</v>
      </c>
      <c r="B4414" s="3" t="str">
        <f>IFERROR(__xludf.DUMMYFUNCTION("GOOGLETRANSLATE(A4414, ""ar"", ""bn"")"),"বাজার")</f>
        <v>বাজার</v>
      </c>
    </row>
    <row r="4415">
      <c r="A4415" s="2" t="s">
        <v>6418</v>
      </c>
      <c r="B4415" s="3" t="str">
        <f>IFERROR(__xludf.DUMMYFUNCTION("GOOGLETRANSLATE(A4415, ""ar"", ""bn"")"),"মার্টেন")</f>
        <v>মার্টেন</v>
      </c>
    </row>
    <row r="4416">
      <c r="A4416" s="2" t="s">
        <v>6419</v>
      </c>
      <c r="B4416" s="3" t="str">
        <f>IFERROR(__xludf.DUMMYFUNCTION("GOOGLETRANSLATE(A4416, ""ar"", ""bn"")"),"মার্টিন্স")</f>
        <v>মার্টিন্স</v>
      </c>
    </row>
    <row r="4417">
      <c r="A4417" s="2" t="s">
        <v>6420</v>
      </c>
      <c r="B4417" s="3" t="str">
        <f>IFERROR(__xludf.DUMMYFUNCTION("GOOGLETRANSLATE(A4417, ""ar"", ""bn"")"),"সৈনিক")</f>
        <v>সৈনিক</v>
      </c>
    </row>
    <row r="4418">
      <c r="A4418" s="2" t="s">
        <v>6404</v>
      </c>
      <c r="B4418" s="3" t="str">
        <f>IFERROR(__xludf.DUMMYFUNCTION("GOOGLETRANSLATE(A4418, ""ar"", ""bn"")"),"মঙ্গল")</f>
        <v>মঙ্গল</v>
      </c>
    </row>
    <row r="4419">
      <c r="A4419" s="2" t="s">
        <v>6404</v>
      </c>
      <c r="B4419" s="3" t="str">
        <f>IFERROR(__xludf.DUMMYFUNCTION("GOOGLETRANSLATE(A4419, ""ar"", ""bn"")"),"মঙ্গল")</f>
        <v>মঙ্গল</v>
      </c>
    </row>
    <row r="4420">
      <c r="A4420" s="2" t="s">
        <v>6421</v>
      </c>
      <c r="B4420" s="3" t="str">
        <f>IFERROR(__xludf.DUMMYFUNCTION("GOOGLETRANSLATE(A4420, ""ar"", ""bn"")"),"মার্টিন")</f>
        <v>মার্টিন</v>
      </c>
    </row>
    <row r="4421">
      <c r="A4421" s="2" t="s">
        <v>6422</v>
      </c>
      <c r="B4421" s="3" t="str">
        <f>IFERROR(__xludf.DUMMYFUNCTION("GOOGLETRANSLATE(A4421, ""ar"", ""bn"")"),"কঠোর নিয়মনিষ্ঠ ব্যক্তি")</f>
        <v>কঠোর নিয়মনিষ্ঠ ব্যক্তি</v>
      </c>
    </row>
    <row r="4422">
      <c r="A4422" s="2" t="s">
        <v>6423</v>
      </c>
      <c r="B4422" s="3" t="str">
        <f>IFERROR(__xludf.DUMMYFUNCTION("GOOGLETRANSLATE(A4422, ""ar"", ""bn"")"),"পেটী")</f>
        <v>পেটী</v>
      </c>
    </row>
    <row r="4423">
      <c r="A4423" s="2" t="s">
        <v>6424</v>
      </c>
      <c r="B4423" s="3" t="str">
        <f>IFERROR(__xludf.DUMMYFUNCTION("GOOGLETRANSLATE(A4423, ""ar"", ""bn"")"),"মার্টিনি")</f>
        <v>মার্টিনি</v>
      </c>
    </row>
    <row r="4424">
      <c r="A4424" s="2" t="s">
        <v>6425</v>
      </c>
      <c r="B4424" s="3" t="str">
        <f>IFERROR(__xludf.DUMMYFUNCTION("GOOGLETRANSLATE(A4424, ""ar"", ""bn"")"),"মার্টিন্স")</f>
        <v>মার্টিন্স</v>
      </c>
    </row>
    <row r="4425">
      <c r="A4425" s="2" t="s">
        <v>6426</v>
      </c>
      <c r="B4425" s="3" t="str">
        <f>IFERROR(__xludf.DUMMYFUNCTION("GOOGLETRANSLATE(A4425, ""ar"", ""bn"")"),"শহীদ")</f>
        <v>শহীদ</v>
      </c>
    </row>
    <row r="4426">
      <c r="A4426" s="2" t="s">
        <v>1430</v>
      </c>
      <c r="B4426" s="3" t="str">
        <f>IFERROR(__xludf.DUMMYFUNCTION("GOOGLETRANSLATE(A4426, ""ar"", ""bn"")"),"শহীদের যন্ত্রণা")</f>
        <v>শহীদের যন্ত্রণা</v>
      </c>
    </row>
    <row r="4427">
      <c r="A4427" s="2" t="s">
        <v>6427</v>
      </c>
      <c r="B4427" s="3" t="str">
        <f>IFERROR(__xludf.DUMMYFUNCTION("GOOGLETRANSLATE(A4427, ""ar"", ""bn"")"),"উদ্ধৃতি")</f>
        <v>উদ্ধৃতি</v>
      </c>
    </row>
    <row r="4428">
      <c r="A4428" s="2" t="s">
        <v>6428</v>
      </c>
      <c r="B4428" s="3" t="str">
        <f>IFERROR(__xludf.DUMMYFUNCTION("GOOGLETRANSLATE(A4428, ""ar"", ""bn"")"),"শহীদ")</f>
        <v>শহীদ</v>
      </c>
    </row>
    <row r="4429">
      <c r="A4429" s="2" t="s">
        <v>6429</v>
      </c>
      <c r="B4429" s="3" t="str">
        <f>IFERROR(__xludf.DUMMYFUNCTION("GOOGLETRANSLATE(A4429, ""ar"", ""bn"")"),"অদ্ভুত ব্যাপার")</f>
        <v>অদ্ভুত ব্যাপার</v>
      </c>
    </row>
    <row r="4430">
      <c r="A4430" s="2" t="s">
        <v>6430</v>
      </c>
      <c r="B4430" s="3" t="str">
        <f>IFERROR(__xludf.DUMMYFUNCTION("GOOGLETRANSLATE(A4430, ""ar"", ""bn"")"),"Vtjb")</f>
        <v>Vtjb</v>
      </c>
    </row>
    <row r="4431">
      <c r="A4431" s="2" t="s">
        <v>6431</v>
      </c>
      <c r="B4431" s="3" t="str">
        <f>IFERROR(__xludf.DUMMYFUNCTION("GOOGLETRANSLATE(A4431, ""ar"", ""bn"")"),"চীত্কার")</f>
        <v>চীত্কার</v>
      </c>
    </row>
    <row r="4432">
      <c r="A4432" s="2" t="s">
        <v>6432</v>
      </c>
      <c r="B4432" s="3" t="str">
        <f>IFERROR(__xludf.DUMMYFUNCTION("GOOGLETRANSLATE(A4432, ""ar"", ""bn"")"),"বিস্ময়কর")</f>
        <v>বিস্ময়কর</v>
      </c>
    </row>
    <row r="4433">
      <c r="A4433" s="2" t="s">
        <v>6432</v>
      </c>
      <c r="B4433" s="3" t="str">
        <f>IFERROR(__xludf.DUMMYFUNCTION("GOOGLETRANSLATE(A4433, ""ar"", ""bn"")"),"বিস্ময়কর")</f>
        <v>বিস্ময়কর</v>
      </c>
    </row>
    <row r="4434">
      <c r="A4434" s="2" t="s">
        <v>6433</v>
      </c>
      <c r="B4434" s="3" t="str">
        <f>IFERROR(__xludf.DUMMYFUNCTION("GOOGLETRANSLATE(A4434, ""ar"", ""bn"")"),"বিস্ময়কর")</f>
        <v>বিস্ময়কর</v>
      </c>
    </row>
    <row r="4435">
      <c r="A4435" s="2" t="s">
        <v>6434</v>
      </c>
      <c r="B4435" s="3" t="str">
        <f>IFERROR(__xludf.DUMMYFUNCTION("GOOGLETRANSLATE(A4435, ""ar"", ""bn"")"),"মার্কস")</f>
        <v>মার্কস</v>
      </c>
    </row>
    <row r="4436">
      <c r="A4436" s="2" t="s">
        <v>6435</v>
      </c>
      <c r="B4436" s="3" t="str">
        <f>IFERROR(__xludf.DUMMYFUNCTION("GOOGLETRANSLATE(A4436, ""ar"", ""bn"")"),"মার্কসবাদ")</f>
        <v>মার্কসবাদ</v>
      </c>
    </row>
    <row r="4437">
      <c r="A4437" s="2" t="s">
        <v>6435</v>
      </c>
      <c r="B4437" s="3" t="str">
        <f>IFERROR(__xludf.DUMMYFUNCTION("GOOGLETRANSLATE(A4437, ""ar"", ""bn"")"),"মার্কসবাদ")</f>
        <v>মার্কসবাদ</v>
      </c>
    </row>
    <row r="4438">
      <c r="A4438" s="2" t="s">
        <v>6436</v>
      </c>
      <c r="B4438" s="3" t="str">
        <f>IFERROR(__xludf.DUMMYFUNCTION("GOOGLETRANSLATE(A4438, ""ar"", ""bn"")"),"মার্কসবাদীরা")</f>
        <v>মার্কসবাদীরা</v>
      </c>
    </row>
    <row r="4439">
      <c r="A4439" s="2" t="s">
        <v>6437</v>
      </c>
      <c r="B4439" s="3" t="str">
        <f>IFERROR(__xludf.DUMMYFUNCTION("GOOGLETRANSLATE(A4439, ""ar"", ""bn"")"),"মেরি")</f>
        <v>মেরি</v>
      </c>
    </row>
    <row r="4440">
      <c r="A4440" s="2" t="s">
        <v>6438</v>
      </c>
      <c r="B4440" s="3" t="str">
        <f>IFERROR(__xludf.DUMMYFUNCTION("GOOGLETRANSLATE(A4440, ""ar"", ""bn"")"),"marzipan")</f>
        <v>marzipan</v>
      </c>
    </row>
    <row r="4441">
      <c r="A4441" s="2" t="s">
        <v>6343</v>
      </c>
      <c r="B4441" s="3" t="str">
        <f>IFERROR(__xludf.DUMMYFUNCTION("GOOGLETRANSLATE(A4441, ""ar"", ""bn"")"),"প্রান্তীয়")</f>
        <v>প্রান্তীয়</v>
      </c>
    </row>
    <row r="4442">
      <c r="A4442" s="2" t="s">
        <v>6344</v>
      </c>
      <c r="B4442" s="3" t="str">
        <f>IFERROR(__xludf.DUMMYFUNCTION("GOOGLETRANSLATE(A4442, ""ar"", ""bn"")"),"Theloahat")</f>
        <v>Theloahat</v>
      </c>
    </row>
    <row r="4443">
      <c r="A4443" s="2" t="s">
        <v>6345</v>
      </c>
      <c r="B4443" s="3" t="str">
        <f>IFERROR(__xludf.DUMMYFUNCTION("GOOGLETRANSLATE(A4443, ""ar"", ""bn"")"),"প্রান্তিকীকরণ")</f>
        <v>প্রান্তিকীকরণ</v>
      </c>
    </row>
    <row r="4444">
      <c r="A4444" s="2" t="s">
        <v>6346</v>
      </c>
      <c r="B4444" s="3" t="str">
        <f>IFERROR(__xludf.DUMMYFUNCTION("GOOGLETRANSLATE(A4444, ""ar"", ""bn"")"),"প্রান্তিকীকরণ")</f>
        <v>প্রান্তিকীকরণ</v>
      </c>
    </row>
    <row r="4445">
      <c r="A4445" s="2" t="s">
        <v>6347</v>
      </c>
      <c r="B4445" s="3" t="str">
        <f>IFERROR(__xludf.DUMMYFUNCTION("GOOGLETRANSLATE(A4445, ""ar"", ""bn"")"),"প্রান্তিক")</f>
        <v>প্রান্তিক</v>
      </c>
    </row>
    <row r="4446">
      <c r="A4446" s="2" t="s">
        <v>6346</v>
      </c>
      <c r="B4446" s="3" t="str">
        <f>IFERROR(__xludf.DUMMYFUNCTION("GOOGLETRANSLATE(A4446, ""ar"", ""bn"")"),"প্রান্তিকীকরণ")</f>
        <v>প্রান্তিকীকরণ</v>
      </c>
    </row>
    <row r="4447">
      <c r="A4447" s="2" t="s">
        <v>6346</v>
      </c>
      <c r="B4447" s="3" t="str">
        <f>IFERROR(__xludf.DUMMYFUNCTION("GOOGLETRANSLATE(A4447, ""ar"", ""bn"")"),"প্রান্তিকীকরণ")</f>
        <v>প্রান্তিকীকরণ</v>
      </c>
    </row>
    <row r="4448">
      <c r="A4448" s="2" t="s">
        <v>6345</v>
      </c>
      <c r="B4448" s="3" t="str">
        <f>IFERROR(__xludf.DUMMYFUNCTION("GOOGLETRANSLATE(A4448, ""ar"", ""bn"")"),"প্রান্তিকীকরণ")</f>
        <v>প্রান্তিকীকরণ</v>
      </c>
    </row>
    <row r="4449">
      <c r="A4449" s="2" t="s">
        <v>6343</v>
      </c>
      <c r="B4449" s="3" t="str">
        <f>IFERROR(__xludf.DUMMYFUNCTION("GOOGLETRANSLATE(A4449, ""ar"", ""bn"")"),"প্রান্তীয়")</f>
        <v>প্রান্তীয়</v>
      </c>
    </row>
    <row r="4450">
      <c r="A4450" s="2" t="s">
        <v>6348</v>
      </c>
      <c r="B4450" s="3" t="str">
        <f>IFERROR(__xludf.DUMMYFUNCTION("GOOGLETRANSLATE(A4450, ""ar"", ""bn"")"),"সরল মুনাফা")</f>
        <v>সরল মুনাফা</v>
      </c>
    </row>
    <row r="4451">
      <c r="A4451" s="2" t="s">
        <v>6426</v>
      </c>
      <c r="B4451" s="3" t="str">
        <f>IFERROR(__xludf.DUMMYFUNCTION("GOOGLETRANSLATE(A4451, ""ar"", ""bn"")"),"শহীদ")</f>
        <v>শহীদ</v>
      </c>
    </row>
    <row r="4452">
      <c r="A4452" s="2" t="s">
        <v>1430</v>
      </c>
      <c r="B4452" s="3" t="str">
        <f>IFERROR(__xludf.DUMMYFUNCTION("GOOGLETRANSLATE(A4452, ""ar"", ""bn"")"),"শহীদের যন্ত্রণা")</f>
        <v>শহীদের যন্ত্রণা</v>
      </c>
    </row>
    <row r="4453">
      <c r="A4453" s="2" t="s">
        <v>6427</v>
      </c>
      <c r="B4453" s="3" t="str">
        <f>IFERROR(__xludf.DUMMYFUNCTION("GOOGLETRANSLATE(A4453, ""ar"", ""bn"")"),"উদ্ধৃতি")</f>
        <v>উদ্ধৃতি</v>
      </c>
    </row>
    <row r="4454">
      <c r="A4454" s="2" t="s">
        <v>6428</v>
      </c>
      <c r="B4454" s="3" t="str">
        <f>IFERROR(__xludf.DUMMYFUNCTION("GOOGLETRANSLATE(A4454, ""ar"", ""bn"")"),"শহীদ")</f>
        <v>শহীদ</v>
      </c>
    </row>
    <row r="4455">
      <c r="A4455" s="2" t="s">
        <v>6439</v>
      </c>
      <c r="B4455" s="3" t="str">
        <f>IFERROR(__xludf.DUMMYFUNCTION("GOOGLETRANSLATE(A4455, ""ar"", ""bn"")"),"মর্ষকাম")</f>
        <v>মর্ষকাম</v>
      </c>
    </row>
    <row r="4456">
      <c r="A4456" s="2" t="s">
        <v>6440</v>
      </c>
      <c r="B4456" s="3" t="str">
        <f>IFERROR(__xludf.DUMMYFUNCTION("GOOGLETRANSLATE(A4456, ""ar"", ""bn"")"),"মর্ষকামী")</f>
        <v>মর্ষকামী</v>
      </c>
    </row>
    <row r="4457">
      <c r="A4457" s="2" t="s">
        <v>6441</v>
      </c>
      <c r="B4457" s="3" t="str">
        <f>IFERROR(__xludf.DUMMYFUNCTION("GOOGLETRANSLATE(A4457, ""ar"", ""bn"")"),"মর্ষকামী")</f>
        <v>মর্ষকামী</v>
      </c>
    </row>
    <row r="4458">
      <c r="A4458" s="2" t="s">
        <v>6442</v>
      </c>
      <c r="B4458" s="3" t="str">
        <f>IFERROR(__xludf.DUMMYFUNCTION("GOOGLETRANSLATE(A4458, ""ar"", ""bn"")"),"Masochists")</f>
        <v>Masochists</v>
      </c>
    </row>
    <row r="4459">
      <c r="A4459" s="2" t="s">
        <v>6443</v>
      </c>
      <c r="B4459" s="3" t="str">
        <f>IFERROR(__xludf.DUMMYFUNCTION("GOOGLETRANSLATE(A4459, ""ar"", ""bn"")"),"হত্যাকাণ্ড")</f>
        <v>হত্যাকাণ্ড</v>
      </c>
    </row>
    <row r="4460">
      <c r="A4460" s="2" t="s">
        <v>3592</v>
      </c>
      <c r="B4460" s="3" t="str">
        <f>IFERROR(__xludf.DUMMYFUNCTION("GOOGLETRANSLATE(A4460, ""ar"", ""bn"")"),"বধ")</f>
        <v>বধ</v>
      </c>
    </row>
    <row r="4461">
      <c r="A4461" s="2" t="s">
        <v>6444</v>
      </c>
      <c r="B4461" s="3" t="str">
        <f>IFERROR(__xludf.DUMMYFUNCTION("GOOGLETRANSLATE(A4461, ""ar"", ""bn"")"),"গণহত্যার")</f>
        <v>গণহত্যার</v>
      </c>
    </row>
    <row r="4462">
      <c r="A4462" s="2" t="s">
        <v>6445</v>
      </c>
      <c r="B4462" s="3" t="str">
        <f>IFERROR(__xludf.DUMMYFUNCTION("GOOGLETRANSLATE(A4462, ""ar"", ""bn"")"),"লোভী ব্যক্তি")</f>
        <v>লোভী ব্যক্তি</v>
      </c>
    </row>
    <row r="4463">
      <c r="A4463" s="2" t="s">
        <v>6446</v>
      </c>
      <c r="B4463" s="3" t="str">
        <f>IFERROR(__xludf.DUMMYFUNCTION("GOOGLETRANSLATE(A4463, ""ar"", ""bn"")"),"এটার কোন মানে নাই")</f>
        <v>এটার কোন মানে নাই</v>
      </c>
    </row>
    <row r="4464">
      <c r="A4464" s="2" t="s">
        <v>6447</v>
      </c>
      <c r="B4464" s="3" t="str">
        <f>IFERROR(__xludf.DUMMYFUNCTION("GOOGLETRANSLATE(A4464, ""ar"", ""bn"")"),"অর্থহীনতা আর")</f>
        <v>অর্থহীনতা আর</v>
      </c>
    </row>
    <row r="4465">
      <c r="A4465" s="2" t="s">
        <v>6081</v>
      </c>
      <c r="B4465" s="3" t="str">
        <f>IFERROR(__xludf.DUMMYFUNCTION("GOOGLETRANSLATE(A4465, ""ar"", ""bn"")"),"অনধিকারপ্রবেশ")</f>
        <v>অনধিকারপ্রবেশ</v>
      </c>
    </row>
    <row r="4466">
      <c r="A4466" s="2" t="s">
        <v>6448</v>
      </c>
      <c r="B4466" s="3" t="str">
        <f>IFERROR(__xludf.DUMMYFUNCTION("GOOGLETRANSLATE(A4466, ""ar"", ""bn"")"),"হস্তক্ষেপ")</f>
        <v>হস্তক্ষেপ</v>
      </c>
    </row>
    <row r="4467">
      <c r="A4467" s="2" t="s">
        <v>6083</v>
      </c>
      <c r="B4467" s="3" t="str">
        <f>IFERROR(__xludf.DUMMYFUNCTION("GOOGLETRANSLATE(A4467, ""ar"", ""bn"")"),"প্রার্থনারত")</f>
        <v>প্রার্থনারত</v>
      </c>
    </row>
    <row r="4468">
      <c r="A4468" s="2" t="s">
        <v>6449</v>
      </c>
      <c r="B4468" s="3" t="str">
        <f>IFERROR(__xludf.DUMMYFUNCTION("GOOGLETRANSLATE(A4468, ""ar"", ""bn"")"),"Interveners")</f>
        <v>Interveners</v>
      </c>
    </row>
    <row r="4469">
      <c r="A4469" s="2" t="s">
        <v>6450</v>
      </c>
      <c r="B4469" s="3" t="str">
        <f>IFERROR(__xludf.DUMMYFUNCTION("GOOGLETRANSLATE(A4469, ""ar"", ""bn"")"),"হস্তক্ষেপ")</f>
        <v>হস্তক্ষেপ</v>
      </c>
    </row>
    <row r="4470">
      <c r="A4470" s="2" t="s">
        <v>3893</v>
      </c>
      <c r="B4470" s="3" t="str">
        <f>IFERROR(__xludf.DUMMYFUNCTION("GOOGLETRANSLATE(A4470, ""ar"", ""bn"")"),"দীর্ঘনাসা")</f>
        <v>দীর্ঘনাসা</v>
      </c>
    </row>
    <row r="4471">
      <c r="A4471" s="2" t="s">
        <v>6451</v>
      </c>
      <c r="B4471" s="3" t="str">
        <f>IFERROR(__xludf.DUMMYFUNCTION("GOOGLETRANSLATE(A4471, ""ar"", ""bn"")"),"গড়")</f>
        <v>গড়</v>
      </c>
    </row>
    <row r="4472">
      <c r="A4472" s="2" t="s">
        <v>6452</v>
      </c>
      <c r="B4472" s="3" t="str">
        <f>IFERROR(__xludf.DUMMYFUNCTION("GOOGLETRANSLATE(A4472, ""ar"", ""bn"")"),"মধ্যস্থতা করা")</f>
        <v>মধ্যস্থতা করা</v>
      </c>
    </row>
    <row r="4473">
      <c r="A4473" s="2" t="s">
        <v>6453</v>
      </c>
      <c r="B4473" s="3" t="str">
        <f>IFERROR(__xludf.DUMMYFUNCTION("GOOGLETRANSLATE(A4473, ""ar"", ""bn"")"),"বিনম্র")</f>
        <v>বিনম্র</v>
      </c>
    </row>
    <row r="4474">
      <c r="A4474" s="2" t="s">
        <v>6454</v>
      </c>
      <c r="B4474" s="3" t="str">
        <f>IFERROR(__xludf.DUMMYFUNCTION("GOOGLETRANSLATE(A4474, ""ar"", ""bn"")"),"Meeker,")</f>
        <v>Meeker,</v>
      </c>
    </row>
    <row r="4475">
      <c r="A4475" s="2" t="s">
        <v>6455</v>
      </c>
      <c r="B4475" s="3" t="str">
        <f>IFERROR(__xludf.DUMMYFUNCTION("GOOGLETRANSLATE(A4475, ""ar"", ""bn"")"),"Slavishly")</f>
        <v>Slavishly</v>
      </c>
    </row>
    <row r="4476">
      <c r="A4476" s="2" t="s">
        <v>6456</v>
      </c>
      <c r="B4476" s="3" t="str">
        <f>IFERROR(__xludf.DUMMYFUNCTION("GOOGLETRANSLATE(A4476, ""ar"", ""bn"")"),"নম্রতা")</f>
        <v>নম্রতা</v>
      </c>
    </row>
    <row r="4477">
      <c r="A4477" s="2" t="s">
        <v>6457</v>
      </c>
      <c r="B4477" s="3" t="str">
        <f>IFERROR(__xludf.DUMMYFUNCTION("GOOGLETRANSLATE(A4477, ""ar"", ""bn"")"),"কালো")</f>
        <v>কালো</v>
      </c>
    </row>
    <row r="4478">
      <c r="A4478" s="2" t="s">
        <v>3673</v>
      </c>
      <c r="B4478" s="3" t="str">
        <f>IFERROR(__xludf.DUMMYFUNCTION("GOOGLETRANSLATE(A4478, ""ar"", ""bn"")"),"নিরানন্দ")</f>
        <v>নিরানন্দ</v>
      </c>
    </row>
    <row r="4479">
      <c r="A4479" s="2" t="s">
        <v>5606</v>
      </c>
      <c r="B4479" s="3" t="str">
        <f>IFERROR(__xludf.DUMMYFUNCTION("GOOGLETRANSLATE(A4479, ""ar"", ""bn"")"),"Sadnes")</f>
        <v>Sadnes</v>
      </c>
    </row>
    <row r="4480">
      <c r="A4480" s="2" t="s">
        <v>6458</v>
      </c>
      <c r="B4480" s="3" t="str">
        <f>IFERROR(__xludf.DUMMYFUNCTION("GOOGLETRANSLATE(A4480, ""ar"", ""bn"")"),"অতিনাটকীয়")</f>
        <v>অতিনাটকীয়</v>
      </c>
    </row>
    <row r="4481">
      <c r="A4481" s="2" t="s">
        <v>6459</v>
      </c>
      <c r="B4481" s="3" t="str">
        <f>IFERROR(__xludf.DUMMYFUNCTION("GOOGLETRANSLATE(A4481, ""ar"", ""bn"")"),"হুমকি")</f>
        <v>হুমকি</v>
      </c>
    </row>
    <row r="4482">
      <c r="A4482" s="2" t="s">
        <v>6460</v>
      </c>
      <c r="B4482" s="3" t="str">
        <f>IFERROR(__xludf.DUMMYFUNCTION("GOOGLETRANSLATE(A4482, ""ar"", ""bn"")"),"হুমকি")</f>
        <v>হুমকি</v>
      </c>
    </row>
    <row r="4483">
      <c r="A4483" s="2" t="s">
        <v>4411</v>
      </c>
      <c r="B4483" s="3" t="str">
        <f>IFERROR(__xludf.DUMMYFUNCTION("GOOGLETRANSLATE(A4483, ""ar"", ""bn"")"),"হ্যাজার্ডস")</f>
        <v>হ্যাজার্ডস</v>
      </c>
    </row>
    <row r="4484">
      <c r="A4484" s="2" t="s">
        <v>6266</v>
      </c>
      <c r="B4484" s="3" t="str">
        <f>IFERROR(__xludf.DUMMYFUNCTION("GOOGLETRANSLATE(A4484, ""ar"", ""bn"")"),"অপরিচ্ছন্ন")</f>
        <v>অপরিচ্ছন্ন</v>
      </c>
    </row>
    <row r="4485">
      <c r="A4485" s="2" t="s">
        <v>6461</v>
      </c>
      <c r="B4485" s="3" t="str">
        <f>IFERROR(__xludf.DUMMYFUNCTION("GOOGLETRANSLATE(A4485, ""ar"", ""bn"")"),"অনিবার্য")</f>
        <v>অনিবার্য</v>
      </c>
    </row>
    <row r="4486">
      <c r="A4486" s="2" t="s">
        <v>6462</v>
      </c>
      <c r="B4486" s="3" t="str">
        <f>IFERROR(__xludf.DUMMYFUNCTION("GOOGLETRANSLATE(A4486, ""ar"", ""bn"")"),"ক্ষমাহীনভাবে")</f>
        <v>ক্ষমাহীনভাবে</v>
      </c>
    </row>
    <row r="4487">
      <c r="A4487" s="2" t="s">
        <v>239</v>
      </c>
      <c r="B4487" s="3" t="str">
        <f>IFERROR(__xludf.DUMMYFUNCTION("GOOGLETRANSLATE(A4487, ""ar"", ""bn"")"),"বিশৃঙ্খলা")</f>
        <v>বিশৃঙ্খলা</v>
      </c>
    </row>
    <row r="4488">
      <c r="A4488" s="2" t="s">
        <v>6463</v>
      </c>
      <c r="B4488" s="3" t="str">
        <f>IFERROR(__xludf.DUMMYFUNCTION("GOOGLETRANSLATE(A4488, ""ar"", ""bn"")"),"বার্তা")</f>
        <v>বার্তা</v>
      </c>
    </row>
    <row r="4489">
      <c r="A4489" s="2" t="s">
        <v>6464</v>
      </c>
      <c r="B4489" s="3" t="str">
        <f>IFERROR(__xludf.DUMMYFUNCTION("GOOGLETRANSLATE(A4489, ""ar"", ""bn"")"),"বার্তা")</f>
        <v>বার্তা</v>
      </c>
    </row>
    <row r="4490">
      <c r="A4490" s="2" t="s">
        <v>6465</v>
      </c>
      <c r="B4490" s="3" t="str">
        <f>IFERROR(__xludf.DUMMYFUNCTION("GOOGLETRANSLATE(A4490, ""ar"", ""bn"")"),"বার্তা")</f>
        <v>বার্তা</v>
      </c>
    </row>
    <row r="4491">
      <c r="A4491" s="2" t="s">
        <v>6466</v>
      </c>
      <c r="B4491" s="3" t="str">
        <f>IFERROR(__xludf.DUMMYFUNCTION("GOOGLETRANSLATE(A4491, ""ar"", ""bn"")"),"পিক্সি")</f>
        <v>পিক্সি</v>
      </c>
    </row>
    <row r="4492">
      <c r="A4492" s="2" t="s">
        <v>6467</v>
      </c>
      <c r="B4492" s="3" t="str">
        <f>IFERROR(__xludf.DUMMYFUNCTION("GOOGLETRANSLATE(A4492, ""ar"", ""bn"")"),"বার্তাবহ")</f>
        <v>বার্তাবহ</v>
      </c>
    </row>
    <row r="4493">
      <c r="A4493" s="2" t="s">
        <v>6468</v>
      </c>
      <c r="B4493" s="3" t="str">
        <f>IFERROR(__xludf.DUMMYFUNCTION("GOOGLETRANSLATE(A4493, ""ar"", ""bn"")"),"রাসেল")</f>
        <v>রাসেল</v>
      </c>
    </row>
    <row r="4494">
      <c r="A4494" s="2" t="s">
        <v>5510</v>
      </c>
      <c r="B4494" s="3" t="str">
        <f>IFERROR(__xludf.DUMMYFUNCTION("GOOGLETRANSLATE(A4494, ""ar"", ""bn"")"),"নিরর্থকতা")</f>
        <v>নিরর্থকতা</v>
      </c>
    </row>
    <row r="4495">
      <c r="A4495" s="2" t="s">
        <v>6469</v>
      </c>
      <c r="B4495" s="3" t="str">
        <f>IFERROR(__xludf.DUMMYFUNCTION("GOOGLETRANSLATE(A4495, ""ar"", ""bn"")"),"যীশুখ্রীষ্ট")</f>
        <v>যীশুখ্রীষ্ট</v>
      </c>
    </row>
    <row r="4496">
      <c r="A4496" s="2" t="s">
        <v>6470</v>
      </c>
      <c r="B4496" s="3" t="str">
        <f>IFERROR(__xludf.DUMMYFUNCTION("GOOGLETRANSLATE(A4496, ""ar"", ""bn"")"),"Messier")</f>
        <v>Messier</v>
      </c>
    </row>
    <row r="4497">
      <c r="A4497" s="2" t="s">
        <v>6471</v>
      </c>
      <c r="B4497" s="3" t="str">
        <f>IFERROR(__xludf.DUMMYFUNCTION("GOOGLETRANSLATE(A4497, ""ar"", ""bn"")"),"ঘাই")</f>
        <v>ঘাই</v>
      </c>
    </row>
    <row r="4498">
      <c r="A4498" s="2" t="s">
        <v>4804</v>
      </c>
      <c r="B4498" s="3" t="str">
        <f>IFERROR(__xludf.DUMMYFUNCTION("GOOGLETRANSLATE(A4498, ""ar"", ""bn"")"),"অগোছালভাবে")</f>
        <v>অগোছালভাবে</v>
      </c>
    </row>
    <row r="4499">
      <c r="A4499" s="2" t="s">
        <v>6472</v>
      </c>
      <c r="B4499" s="3" t="str">
        <f>IFERROR(__xludf.DUMMYFUNCTION("GOOGLETRANSLATE(A4499, ""ar"", ""bn"")"),"বিশৃঙ্খলা")</f>
        <v>বিশৃঙ্খলা</v>
      </c>
    </row>
    <row r="4500">
      <c r="A4500" s="2" t="s">
        <v>6473</v>
      </c>
      <c r="B4500" s="3" t="str">
        <f>IFERROR(__xludf.DUMMYFUNCTION("GOOGLETRANSLATE(A4500, ""ar"", ""bn"")"),"গরমিল")</f>
        <v>গরমিল</v>
      </c>
    </row>
    <row r="4501">
      <c r="A4501" s="2" t="s">
        <v>237</v>
      </c>
      <c r="B4501" s="3" t="str">
        <f>IFERROR(__xludf.DUMMYFUNCTION("GOOGLETRANSLATE(A4501, ""ar"", ""bn"")"),"বিশৃঙ্খল")</f>
        <v>বিশৃঙ্খল</v>
      </c>
    </row>
    <row r="4502">
      <c r="A4502" s="2" t="s">
        <v>237</v>
      </c>
      <c r="B4502" s="3" t="str">
        <f>IFERROR(__xludf.DUMMYFUNCTION("GOOGLETRANSLATE(A4502, ""ar"", ""bn"")"),"বিশৃঙ্খল")</f>
        <v>বিশৃঙ্খল</v>
      </c>
    </row>
    <row r="4503">
      <c r="A4503" s="2" t="s">
        <v>6474</v>
      </c>
      <c r="B4503" s="3" t="str">
        <f>IFERROR(__xludf.DUMMYFUNCTION("GOOGLETRANSLATE(A4503, ""ar"", ""bn"")"),"অসদাচরণ")</f>
        <v>অসদাচরণ</v>
      </c>
    </row>
    <row r="4504">
      <c r="A4504" s="2" t="s">
        <v>6475</v>
      </c>
      <c r="B4504" s="3" t="str">
        <f>IFERROR(__xludf.DUMMYFUNCTION("GOOGLETRANSLATE(A4504, ""ar"", ""bn"")"),"অভদ্র আচরণ")</f>
        <v>অভদ্র আচরণ</v>
      </c>
    </row>
    <row r="4505">
      <c r="A4505" s="2" t="s">
        <v>6476</v>
      </c>
      <c r="B4505" s="3" t="str">
        <f>IFERROR(__xludf.DUMMYFUNCTION("GOOGLETRANSLATE(A4505, ""ar"", ""bn"")"),"খারাপ")</f>
        <v>খারাপ</v>
      </c>
    </row>
    <row r="4506">
      <c r="A4506" s="2" t="s">
        <v>6477</v>
      </c>
      <c r="B4506" s="3" t="str">
        <f>IFERROR(__xludf.DUMMYFUNCTION("GOOGLETRANSLATE(A4506, ""ar"", ""bn"")"),"ক্ষতি")</f>
        <v>ক্ষতি</v>
      </c>
    </row>
    <row r="4507">
      <c r="A4507" s="2" t="s">
        <v>5845</v>
      </c>
      <c r="B4507" s="3" t="str">
        <f>IFERROR(__xludf.DUMMYFUNCTION("GOOGLETRANSLATE(A4507, ""ar"", ""bn"")"),"ক্ষতিকর")</f>
        <v>ক্ষতিকর</v>
      </c>
    </row>
    <row r="4508">
      <c r="A4508" s="2" t="s">
        <v>6478</v>
      </c>
      <c r="B4508" s="3" t="str">
        <f>IFERROR(__xludf.DUMMYFUNCTION("GOOGLETRANSLATE(A4508, ""ar"", ""bn"")"),"কদর্যভাবে")</f>
        <v>কদর্যভাবে</v>
      </c>
    </row>
    <row r="4509">
      <c r="A4509" s="2" t="s">
        <v>6479</v>
      </c>
      <c r="B4509" s="3" t="str">
        <f>IFERROR(__xludf.DUMMYFUNCTION("GOOGLETRANSLATE(A4509, ""ar"", ""bn"")"),"কৃপণ")</f>
        <v>কৃপণ</v>
      </c>
    </row>
    <row r="4510">
      <c r="A4510" s="2" t="s">
        <v>4595</v>
      </c>
      <c r="B4510" s="3" t="str">
        <f>IFERROR(__xludf.DUMMYFUNCTION("GOOGLETRANSLATE(A4510, ""ar"", ""bn"")"),"দু: স্থ")</f>
        <v>দু: স্থ</v>
      </c>
    </row>
    <row r="4511">
      <c r="A4511" s="2" t="s">
        <v>6480</v>
      </c>
      <c r="B4511" s="3" t="str">
        <f>IFERROR(__xludf.DUMMYFUNCTION("GOOGLETRANSLATE(A4511, ""ar"", ""bn"")"),"শোচনীয়ভাবে")</f>
        <v>শোচনীয়ভাবে</v>
      </c>
    </row>
    <row r="4512">
      <c r="A4512" s="2" t="s">
        <v>6481</v>
      </c>
      <c r="B4512" s="3" t="str">
        <f>IFERROR(__xludf.DUMMYFUNCTION("GOOGLETRANSLATE(A4512, ""ar"", ""bn"")"),"বিয়োগান্তক")</f>
        <v>বিয়োগান্তক</v>
      </c>
    </row>
    <row r="4513">
      <c r="A4513" s="2" t="s">
        <v>6482</v>
      </c>
      <c r="B4513" s="3" t="str">
        <f>IFERROR(__xludf.DUMMYFUNCTION("GOOGLETRANSLATE(A4513, ""ar"", ""bn"")"),"কৃপণতা করা")</f>
        <v>কৃপণতা করা</v>
      </c>
    </row>
    <row r="4514">
      <c r="A4514" s="2" t="s">
        <v>6483</v>
      </c>
      <c r="B4514" s="3" t="str">
        <f>IFERROR(__xludf.DUMMYFUNCTION("GOOGLETRANSLATE(A4514, ""ar"", ""bn"")"),"বখিল")</f>
        <v>বখিল</v>
      </c>
    </row>
    <row r="4515">
      <c r="A4515" s="2" t="s">
        <v>6484</v>
      </c>
      <c r="B4515" s="3" t="str">
        <f>IFERROR(__xludf.DUMMYFUNCTION("GOOGLETRANSLATE(A4515, ""ar"", ""bn"")"),"ফকিরের দল")</f>
        <v>ফকিরের দল</v>
      </c>
    </row>
    <row r="4516">
      <c r="A4516" s="2" t="s">
        <v>6485</v>
      </c>
      <c r="B4516" s="3" t="str">
        <f>IFERROR(__xludf.DUMMYFUNCTION("GOOGLETRANSLATE(A4516, ""ar"", ""bn"")"),"দুর্দশা")</f>
        <v>দুর্দশা</v>
      </c>
    </row>
    <row r="4517">
      <c r="A4517" s="2" t="s">
        <v>3283</v>
      </c>
      <c r="B4517" s="3" t="str">
        <f>IFERROR(__xludf.DUMMYFUNCTION("GOOGLETRANSLATE(A4517, ""ar"", ""bn"")"),"ক্লেশ")</f>
        <v>ক্লেশ</v>
      </c>
    </row>
    <row r="4518">
      <c r="A4518" s="2" t="s">
        <v>6486</v>
      </c>
      <c r="B4518" s="3" t="str">
        <f>IFERROR(__xludf.DUMMYFUNCTION("GOOGLETRANSLATE(A4518, ""ar"", ""bn"")"),"woes")</f>
        <v>woes</v>
      </c>
    </row>
    <row r="4519">
      <c r="A4519" s="2" t="s">
        <v>6487</v>
      </c>
      <c r="B4519" s="3" t="str">
        <f>IFERROR(__xludf.DUMMYFUNCTION("GOOGLETRANSLATE(A4519, ""ar"", ""bn"")"),"রুঢ় আচরণ করা")</f>
        <v>রুঢ় আচরণ করা</v>
      </c>
    </row>
    <row r="4520">
      <c r="A4520" s="2" t="s">
        <v>6488</v>
      </c>
      <c r="B4520" s="3" t="str">
        <f>IFERROR(__xludf.DUMMYFUNCTION("GOOGLETRANSLATE(A4520, ""ar"", ""bn"")"),"করেছেন সেটি সংরক্ষণ")</f>
        <v>করেছেন সেটি সংরক্ষণ</v>
      </c>
    </row>
    <row r="4521">
      <c r="A4521" s="2" t="s">
        <v>6489</v>
      </c>
      <c r="B4521" s="3" t="str">
        <f>IFERROR(__xludf.DUMMYFUNCTION("GOOGLETRANSLATE(A4521, ""ar"", ""bn"")"),"অপমানকর")</f>
        <v>অপমানকর</v>
      </c>
    </row>
    <row r="4522">
      <c r="A4522" s="2" t="s">
        <v>3229</v>
      </c>
      <c r="B4522" s="3" t="str">
        <f>IFERROR(__xludf.DUMMYFUNCTION("GOOGLETRANSLATE(A4522, ""ar"", ""bn"")"),"দুর্ঘটনা")</f>
        <v>দুর্ঘটনা</v>
      </c>
    </row>
    <row r="4523">
      <c r="A4523" s="2" t="s">
        <v>3232</v>
      </c>
      <c r="B4523" s="3" t="str">
        <f>IFERROR(__xludf.DUMMYFUNCTION("GOOGLETRANSLATE(A4523, ""ar"", ""bn"")"),"দুর্ঘটনা")</f>
        <v>দুর্ঘটনা</v>
      </c>
    </row>
    <row r="4524">
      <c r="A4524" s="2" t="s">
        <v>6490</v>
      </c>
      <c r="B4524" s="3" t="str">
        <f>IFERROR(__xludf.DUMMYFUNCTION("GOOGLETRANSLATE(A4524, ""ar"", ""bn"")"),"প্রতারণা")</f>
        <v>প্রতারণা</v>
      </c>
    </row>
    <row r="4525">
      <c r="A4525" s="2" t="s">
        <v>6491</v>
      </c>
      <c r="B4525" s="3" t="str">
        <f>IFERROR(__xludf.DUMMYFUNCTION("GOOGLETRANSLATE(A4525, ""ar"", ""bn"")"),"ভুল তথ্য")</f>
        <v>ভুল তথ্য</v>
      </c>
    </row>
    <row r="4526">
      <c r="A4526" s="2" t="s">
        <v>6492</v>
      </c>
      <c r="B4526" s="3" t="str">
        <f>IFERROR(__xludf.DUMMYFUNCTION("GOOGLETRANSLATE(A4526, ""ar"", ""bn"")"),"ভুল তথ্য")</f>
        <v>ভুল তথ্য</v>
      </c>
    </row>
    <row r="4527">
      <c r="A4527" s="2" t="s">
        <v>6490</v>
      </c>
      <c r="B4527" s="3" t="str">
        <f>IFERROR(__xludf.DUMMYFUNCTION("GOOGLETRANSLATE(A4527, ""ar"", ""bn"")"),"প্রতারণা")</f>
        <v>প্রতারণা</v>
      </c>
    </row>
    <row r="4528">
      <c r="A4528" s="2" t="s">
        <v>6493</v>
      </c>
      <c r="B4528" s="3" t="str">
        <f>IFERROR(__xludf.DUMMYFUNCTION("GOOGLETRANSLATE(A4528, ""ar"", ""bn"")"),"বিভ্রান্তিকর")</f>
        <v>বিভ্রান্তিকর</v>
      </c>
    </row>
    <row r="4529">
      <c r="A4529" s="2" t="s">
        <v>6493</v>
      </c>
      <c r="B4529" s="3" t="str">
        <f>IFERROR(__xludf.DUMMYFUNCTION("GOOGLETRANSLATE(A4529, ""ar"", ""bn"")"),"বিভ্রান্তিকর")</f>
        <v>বিভ্রান্তিকর</v>
      </c>
    </row>
    <row r="4530">
      <c r="A4530" s="2" t="s">
        <v>6494</v>
      </c>
      <c r="B4530" s="3" t="str">
        <f>IFERROR(__xludf.DUMMYFUNCTION("GOOGLETRANSLATE(A4530, ""ar"", ""bn"")"),"ভুল পথে চালিত")</f>
        <v>ভুল পথে চালিত</v>
      </c>
    </row>
    <row r="4531">
      <c r="A4531" s="2" t="s">
        <v>4940</v>
      </c>
      <c r="B4531" s="3" t="str">
        <f>IFERROR(__xludf.DUMMYFUNCTION("GOOGLETRANSLATE(A4531, ""ar"", ""bn"")"),"বিকৃত")</f>
        <v>বিকৃত</v>
      </c>
    </row>
    <row r="4532">
      <c r="A4532" s="2" t="s">
        <v>6495</v>
      </c>
      <c r="B4532" s="3" t="str">
        <f>IFERROR(__xludf.DUMMYFUNCTION("GOOGLETRANSLATE(A4532, ""ar"", ""bn"")"),"সুতা")</f>
        <v>সুতা</v>
      </c>
    </row>
    <row r="4533">
      <c r="A4533" s="2" t="s">
        <v>6496</v>
      </c>
      <c r="B4533" s="3" t="str">
        <f>IFERROR(__xludf.DUMMYFUNCTION("GOOGLETRANSLATE(A4533, ""ar"", ""bn"")"),"Travesties")</f>
        <v>Travesties</v>
      </c>
    </row>
    <row r="4534">
      <c r="A4534" s="2" t="s">
        <v>6497</v>
      </c>
      <c r="B4534" s="3" t="str">
        <f>IFERROR(__xludf.DUMMYFUNCTION("GOOGLETRANSLATE(A4534, ""ar"", ""bn"")"),"পাকান")</f>
        <v>পাকান</v>
      </c>
    </row>
    <row r="4535">
      <c r="A4535" s="2" t="s">
        <v>4943</v>
      </c>
      <c r="B4535" s="3" t="str">
        <f>IFERROR(__xludf.DUMMYFUNCTION("GOOGLETRANSLATE(A4535, ""ar"", ""bn"")"),"নড়ন")</f>
        <v>নড়ন</v>
      </c>
    </row>
    <row r="4536">
      <c r="A4536" s="2" t="s">
        <v>6498</v>
      </c>
      <c r="B4536" s="3" t="str">
        <f>IFERROR(__xludf.DUMMYFUNCTION("GOOGLETRANSLATE(A4536, ""ar"", ""bn"")"),"মিথ্যা")</f>
        <v>মিথ্যা</v>
      </c>
    </row>
    <row r="4537">
      <c r="A4537" s="2" t="s">
        <v>6499</v>
      </c>
      <c r="B4537" s="3" t="str">
        <f>IFERROR(__xludf.DUMMYFUNCTION("GOOGLETRANSLATE(A4537, ""ar"", ""bn"")"),"হারানো")</f>
        <v>হারানো</v>
      </c>
    </row>
    <row r="4538">
      <c r="A4538" s="2" t="s">
        <v>6500</v>
      </c>
      <c r="B4538" s="3" t="str">
        <f>IFERROR(__xludf.DUMMYFUNCTION("GOOGLETRANSLATE(A4538, ""ar"", ""bn"")"),"মিসাল")</f>
        <v>মিসাল</v>
      </c>
    </row>
    <row r="4539">
      <c r="A4539" s="2" t="s">
        <v>6501</v>
      </c>
      <c r="B4539" s="3" t="str">
        <f>IFERROR(__xludf.DUMMYFUNCTION("GOOGLETRANSLATE(A4539, ""ar"", ""bn"")"),"মিসড")</f>
        <v>মিসড</v>
      </c>
    </row>
    <row r="4540">
      <c r="A4540" s="2" t="s">
        <v>5174</v>
      </c>
      <c r="B4540" s="3" t="str">
        <f>IFERROR(__xludf.DUMMYFUNCTION("GOOGLETRANSLATE(A4540, ""ar"", ""bn"")"),"ভুল করা")</f>
        <v>ভুল করা</v>
      </c>
    </row>
    <row r="4541">
      <c r="A4541" s="2" t="s">
        <v>4941</v>
      </c>
      <c r="B4541" s="3" t="str">
        <f>IFERROR(__xludf.DUMMYFUNCTION("GOOGLETRANSLATE(A4541, ""ar"", ""bn"")"),"বিকৃত")</f>
        <v>বিকৃত</v>
      </c>
    </row>
    <row r="4542">
      <c r="A4542" s="2" t="s">
        <v>2210</v>
      </c>
      <c r="B4542" s="3" t="str">
        <f>IFERROR(__xludf.DUMMYFUNCTION("GOOGLETRANSLATE(A4542, ""ar"", ""bn"")"),"রকেট")</f>
        <v>রকেট</v>
      </c>
    </row>
    <row r="4543">
      <c r="A4543" s="2" t="s">
        <v>6502</v>
      </c>
      <c r="B4543" s="3" t="str">
        <f>IFERROR(__xludf.DUMMYFUNCTION("GOOGLETRANSLATE(A4543, ""ar"", ""bn"")"),"মিসাইল")</f>
        <v>মিসাইল</v>
      </c>
    </row>
    <row r="4544">
      <c r="A4544" s="2" t="s">
        <v>6256</v>
      </c>
      <c r="B4544" s="3" t="str">
        <f>IFERROR(__xludf.DUMMYFUNCTION("GOOGLETRANSLATE(A4544, ""ar"", ""bn"")"),"নিখোঁজ")</f>
        <v>নিখোঁজ</v>
      </c>
    </row>
    <row r="4545">
      <c r="A4545" s="2" t="s">
        <v>6503</v>
      </c>
      <c r="B4545" s="3" t="str">
        <f>IFERROR(__xludf.DUMMYFUNCTION("GOOGLETRANSLATE(A4545, ""ar"", ""bn"")"),"কার্য")</f>
        <v>কার্য</v>
      </c>
    </row>
    <row r="4546">
      <c r="A4546" s="2" t="s">
        <v>6504</v>
      </c>
      <c r="B4546" s="3" t="str">
        <f>IFERROR(__xludf.DUMMYFUNCTION("GOOGLETRANSLATE(A4546, ""ar"", ""bn"")"),"মিশনারিজ")</f>
        <v>মিশনারিজ</v>
      </c>
    </row>
    <row r="4547">
      <c r="A4547" s="2" t="s">
        <v>6505</v>
      </c>
      <c r="B4547" s="3" t="str">
        <f>IFERROR(__xludf.DUMMYFUNCTION("GOOGLETRANSLATE(A4547, ""ar"", ""bn"")"),"ধর্মপ্রচারক")</f>
        <v>ধর্মপ্রচারক</v>
      </c>
    </row>
    <row r="4548">
      <c r="A4548" s="2" t="s">
        <v>6506</v>
      </c>
      <c r="B4548" s="3" t="str">
        <f>IFERROR(__xludf.DUMMYFUNCTION("GOOGLETRANSLATE(A4548, ""ar"", ""bn"")"),"মিশন")</f>
        <v>মিশন</v>
      </c>
    </row>
    <row r="4549">
      <c r="A4549" s="2" t="s">
        <v>6507</v>
      </c>
      <c r="B4549" s="3" t="str">
        <f>IFERROR(__xludf.DUMMYFUNCTION("GOOGLETRANSLATE(A4549, ""ar"", ""bn"")"),"আনুষ্ঠানিক চিঠি")</f>
        <v>আনুষ্ঠানিক চিঠি</v>
      </c>
    </row>
    <row r="4550">
      <c r="A4550" s="2" t="s">
        <v>6508</v>
      </c>
      <c r="B4550" s="3" t="str">
        <f>IFERROR(__xludf.DUMMYFUNCTION("GOOGLETRANSLATE(A4550, ""ar"", ""bn"")"),"চিঠিপত্র")</f>
        <v>চিঠিপত্র</v>
      </c>
    </row>
    <row r="4551">
      <c r="A4551" s="2" t="s">
        <v>6509</v>
      </c>
      <c r="B4551" s="3" t="str">
        <f>IFERROR(__xludf.DUMMYFUNCTION("GOOGLETRANSLATE(A4551, ""ar"", ""bn"")"),"মিসৌরি")</f>
        <v>মিসৌরি</v>
      </c>
    </row>
    <row r="4552">
      <c r="A4552" s="2" t="s">
        <v>6510</v>
      </c>
      <c r="B4552" s="3" t="str">
        <f>IFERROR(__xludf.DUMMYFUNCTION("GOOGLETRANSLATE(A4552, ""ar"", ""bn"")"),"বানান ভুল")</f>
        <v>বানান ভুল</v>
      </c>
    </row>
    <row r="4553">
      <c r="A4553" s="2" t="s">
        <v>6511</v>
      </c>
      <c r="B4553" s="3" t="str">
        <f>IFERROR(__xludf.DUMMYFUNCTION("GOOGLETRANSLATE(A4553, ""ar"", ""bn"")"),"ভুল বানান")</f>
        <v>ভুল বানান</v>
      </c>
    </row>
    <row r="4554">
      <c r="A4554" s="2" t="s">
        <v>6512</v>
      </c>
      <c r="B4554" s="3" t="str">
        <f>IFERROR(__xludf.DUMMYFUNCTION("GOOGLETRANSLATE(A4554, ""ar"", ""bn"")"),"বর্ণাশুদ্ধি")</f>
        <v>বর্ণাশুদ্ধি</v>
      </c>
    </row>
    <row r="4555">
      <c r="A4555" s="2" t="s">
        <v>6511</v>
      </c>
      <c r="B4555" s="3" t="str">
        <f>IFERROR(__xludf.DUMMYFUNCTION("GOOGLETRANSLATE(A4555, ""ar"", ""bn"")"),"ভুল বানান")</f>
        <v>ভুল বানান</v>
      </c>
    </row>
    <row r="4556">
      <c r="A4556" s="2" t="s">
        <v>6513</v>
      </c>
      <c r="B4556" s="3" t="str">
        <f>IFERROR(__xludf.DUMMYFUNCTION("GOOGLETRANSLATE(A4556, ""ar"", ""bn"")"),"বানান ভুল")</f>
        <v>বানান ভুল</v>
      </c>
    </row>
    <row r="4557">
      <c r="A4557" s="2" t="s">
        <v>5165</v>
      </c>
      <c r="B4557" s="3" t="str">
        <f>IFERROR(__xludf.DUMMYFUNCTION("GOOGLETRANSLATE(A4557, ""ar"", ""bn"")"),"ভুল")</f>
        <v>ভুল</v>
      </c>
    </row>
    <row r="4558">
      <c r="A4558" s="2" t="s">
        <v>6514</v>
      </c>
      <c r="B4558" s="3" t="str">
        <f>IFERROR(__xludf.DUMMYFUNCTION("GOOGLETRANSLATE(A4558, ""ar"", ""bn"")"),"অপব্যয়ী")</f>
        <v>অপব্যয়ী</v>
      </c>
    </row>
    <row r="4559">
      <c r="A4559" s="2" t="s">
        <v>5173</v>
      </c>
      <c r="B4559" s="3" t="str">
        <f>IFERROR(__xludf.DUMMYFUNCTION("GOOGLETRANSLATE(A4559, ""ar"", ""bn"")"),"ত্রুটি")</f>
        <v>ত্রুটি</v>
      </c>
    </row>
    <row r="4560">
      <c r="A4560" s="2" t="s">
        <v>3707</v>
      </c>
      <c r="B4560" s="3" t="str">
        <f>IFERROR(__xludf.DUMMYFUNCTION("GOOGLETRANSLATE(A4560, ""ar"", ""bn"")"),"Missteps")</f>
        <v>Missteps</v>
      </c>
    </row>
    <row r="4561">
      <c r="A4561" s="2" t="s">
        <v>6515</v>
      </c>
      <c r="B4561" s="3" t="str">
        <f>IFERROR(__xludf.DUMMYFUNCTION("GOOGLETRANSLATE(A4561, ""ar"", ""bn"")"),"মেসি")</f>
        <v>মেসি</v>
      </c>
    </row>
    <row r="4562">
      <c r="A4562" s="2" t="s">
        <v>6501</v>
      </c>
      <c r="B4562" s="3" t="str">
        <f>IFERROR(__xludf.DUMMYFUNCTION("GOOGLETRANSLATE(A4562, ""ar"", ""bn"")"),"মিসড")</f>
        <v>মিসড</v>
      </c>
    </row>
    <row r="4563">
      <c r="A4563" s="2" t="s">
        <v>5174</v>
      </c>
      <c r="B4563" s="3" t="str">
        <f>IFERROR(__xludf.DUMMYFUNCTION("GOOGLETRANSLATE(A4563, ""ar"", ""bn"")"),"ভুল করা")</f>
        <v>ভুল করা</v>
      </c>
    </row>
    <row r="4564">
      <c r="A4564" s="2" t="s">
        <v>5172</v>
      </c>
      <c r="B4564" s="3" t="str">
        <f>IFERROR(__xludf.DUMMYFUNCTION("GOOGLETRANSLATE(A4564, ""ar"", ""bn"")"),"ত্রুটি")</f>
        <v>ত্রুটি</v>
      </c>
    </row>
    <row r="4565">
      <c r="A4565" s="2" t="s">
        <v>6516</v>
      </c>
      <c r="B4565" s="3" t="str">
        <f>IFERROR(__xludf.DUMMYFUNCTION("GOOGLETRANSLATE(A4565, ""ar"", ""bn"")"),"ভুল")</f>
        <v>ভুল</v>
      </c>
    </row>
    <row r="4566">
      <c r="A4566" s="2" t="s">
        <v>6517</v>
      </c>
      <c r="B4566" s="3" t="str">
        <f>IFERROR(__xludf.DUMMYFUNCTION("GOOGLETRANSLATE(A4566, ""ar"", ""bn"")"),"ভুল বশত")</f>
        <v>ভুল বশত</v>
      </c>
    </row>
    <row r="4567">
      <c r="A4567" s="2" t="s">
        <v>5173</v>
      </c>
      <c r="B4567" s="3" t="str">
        <f>IFERROR(__xludf.DUMMYFUNCTION("GOOGLETRANSLATE(A4567, ""ar"", ""bn"")"),"ত্রুটি")</f>
        <v>ত্রুটি</v>
      </c>
    </row>
    <row r="4568">
      <c r="A4568" s="2" t="s">
        <v>6518</v>
      </c>
      <c r="B4568" s="3" t="str">
        <f>IFERROR(__xludf.DUMMYFUNCTION("GOOGLETRANSLATE(A4568, ""ar"", ""bn"")"),"ধারণা মিক্সিং")</f>
        <v>ধারণা মিক্সিং</v>
      </c>
    </row>
    <row r="4569">
      <c r="A4569" s="2" t="s">
        <v>4954</v>
      </c>
      <c r="B4569" s="3" t="str">
        <f>IFERROR(__xludf.DUMMYFUNCTION("GOOGLETRANSLATE(A4569, ""ar"", ""bn"")"),"অবিশ্বাস")</f>
        <v>অবিশ্বাস</v>
      </c>
    </row>
    <row r="4570">
      <c r="A4570" s="2" t="s">
        <v>4955</v>
      </c>
      <c r="B4570" s="3" t="str">
        <f>IFERROR(__xludf.DUMMYFUNCTION("GOOGLETRANSLATE(A4570, ""ar"", ""bn"")"),"আস্থা")</f>
        <v>আস্থা</v>
      </c>
    </row>
    <row r="4571">
      <c r="A4571" s="2" t="s">
        <v>4956</v>
      </c>
      <c r="B4571" s="3" t="str">
        <f>IFERROR(__xludf.DUMMYFUNCTION("GOOGLETRANSLATE(A4571, ""ar"", ""bn"")"),"সন্দেহ")</f>
        <v>সন্দেহ</v>
      </c>
    </row>
    <row r="4572">
      <c r="A4572" s="2" t="s">
        <v>6519</v>
      </c>
      <c r="B4572" s="3" t="str">
        <f>IFERROR(__xludf.DUMMYFUNCTION("GOOGLETRANSLATE(A4572, ""ar"", ""bn"")"),"অবিশ্বাস")</f>
        <v>অবিশ্বাস</v>
      </c>
    </row>
    <row r="4573">
      <c r="A4573" s="2" t="s">
        <v>6520</v>
      </c>
      <c r="B4573" s="3" t="str">
        <f>IFERROR(__xludf.DUMMYFUNCTION("GOOGLETRANSLATE(A4573, ""ar"", ""bn"")"),"আত্মবিশ্বাস হারানো")</f>
        <v>আত্মবিশ্বাস হারানো</v>
      </c>
    </row>
    <row r="4574">
      <c r="A4574" s="2" t="s">
        <v>6521</v>
      </c>
      <c r="B4574" s="3" t="str">
        <f>IFERROR(__xludf.DUMMYFUNCTION("GOOGLETRANSLATE(A4574, ""ar"", ""bn"")"),"Distrusts")</f>
        <v>Distrusts</v>
      </c>
    </row>
    <row r="4575">
      <c r="A4575" s="2" t="s">
        <v>6522</v>
      </c>
      <c r="B4575" s="3" t="str">
        <f>IFERROR(__xludf.DUMMYFUNCTION("GOOGLETRANSLATE(A4575, ""ar"", ""bn"")"),"missunderstood")</f>
        <v>missunderstood</v>
      </c>
    </row>
    <row r="4576">
      <c r="A4576" s="2" t="s">
        <v>6523</v>
      </c>
      <c r="B4576" s="3" t="str">
        <f>IFERROR(__xludf.DUMMYFUNCTION("GOOGLETRANSLATE(A4576, ""ar"", ""bn"")"),"ভুল বুঝা")</f>
        <v>ভুল বুঝা</v>
      </c>
    </row>
    <row r="4577">
      <c r="A4577" s="2" t="s">
        <v>6523</v>
      </c>
      <c r="B4577" s="3" t="str">
        <f>IFERROR(__xludf.DUMMYFUNCTION("GOOGLETRANSLATE(A4577, ""ar"", ""bn"")"),"ভুল বুঝা")</f>
        <v>ভুল বুঝা</v>
      </c>
    </row>
    <row r="4578">
      <c r="A4578" s="2" t="s">
        <v>6524</v>
      </c>
      <c r="B4578" s="3" t="str">
        <f>IFERROR(__xludf.DUMMYFUNCTION("GOOGLETRANSLATE(A4578, ""ar"", ""bn"")"),"ভুল বুঝা")</f>
        <v>ভুল বুঝা</v>
      </c>
    </row>
    <row r="4579">
      <c r="A4579" s="2" t="s">
        <v>6525</v>
      </c>
      <c r="B4579" s="3" t="str">
        <f>IFERROR(__xludf.DUMMYFUNCTION("GOOGLETRANSLATE(A4579, ""ar"", ""bn"")"),"অনেকেই ভুল বুঝে ভাবেন")</f>
        <v>অনেকেই ভুল বুঝে ভাবেন</v>
      </c>
    </row>
    <row r="4580">
      <c r="A4580" s="2" t="s">
        <v>6526</v>
      </c>
      <c r="B4580" s="3" t="str">
        <f>IFERROR(__xludf.DUMMYFUNCTION("GOOGLETRANSLATE(A4580, ""ar"", ""bn"")"),"অপব্যবহার")</f>
        <v>অপব্যবহার</v>
      </c>
    </row>
    <row r="4581">
      <c r="A4581" s="2" t="s">
        <v>6527</v>
      </c>
      <c r="B4581" s="3" t="str">
        <f>IFERROR(__xludf.DUMMYFUNCTION("GOOGLETRANSLATE(A4581, ""ar"", ""bn"")"),"মিস ব্যবহার")</f>
        <v>মিস ব্যবহার</v>
      </c>
    </row>
    <row r="4582">
      <c r="A4582" s="2" t="s">
        <v>6526</v>
      </c>
      <c r="B4582" s="3" t="str">
        <f>IFERROR(__xludf.DUMMYFUNCTION("GOOGLETRANSLATE(A4582, ""ar"", ""bn"")"),"অপব্যবহার")</f>
        <v>অপব্যবহার</v>
      </c>
    </row>
    <row r="4583">
      <c r="A4583" s="2" t="s">
        <v>6528</v>
      </c>
      <c r="B4583" s="3" t="str">
        <f>IFERROR(__xludf.DUMMYFUNCTION("GOOGLETRANSLATE(A4583, ""ar"", ""bn"")"),"ঘেনঘেন")</f>
        <v>ঘেনঘেন</v>
      </c>
    </row>
    <row r="4584">
      <c r="A4584" s="2" t="s">
        <v>6529</v>
      </c>
      <c r="B4584" s="3" t="str">
        <f>IFERROR(__xludf.DUMMYFUNCTION("GOOGLETRANSLATE(A4584, ""ar"", ""bn"")"),"moaned")</f>
        <v>moaned</v>
      </c>
    </row>
    <row r="4585">
      <c r="A4585" s="2" t="s">
        <v>6530</v>
      </c>
      <c r="B4585" s="3" t="str">
        <f>IFERROR(__xludf.DUMMYFUNCTION("GOOGLETRANSLATE(A4585, ""ar"", ""bn"")"),"Moaners")</f>
        <v>Moaners</v>
      </c>
    </row>
    <row r="4586">
      <c r="A4586" s="2" t="s">
        <v>6531</v>
      </c>
      <c r="B4586" s="3" t="str">
        <f>IFERROR(__xludf.DUMMYFUNCTION("GOOGLETRANSLATE(A4586, ""ar"", ""bn"")"),"ক্রঁদ")</f>
        <v>ক্রঁদ</v>
      </c>
    </row>
    <row r="4587">
      <c r="A4587" s="2" t="s">
        <v>6532</v>
      </c>
      <c r="B4587" s="3" t="str">
        <f>IFERROR(__xludf.DUMMYFUNCTION("GOOGLETRANSLATE(A4587, ""ar"", ""bn"")"),"নালিশ করা")</f>
        <v>নালিশ করা</v>
      </c>
    </row>
    <row r="4588">
      <c r="A4588" s="2" t="s">
        <v>5288</v>
      </c>
      <c r="B4588" s="3" t="str">
        <f>IFERROR(__xludf.DUMMYFUNCTION("GOOGLETRANSLATE(A4588, ""ar"", ""bn"")"),"মিথ্যা")</f>
        <v>মিথ্যা</v>
      </c>
    </row>
    <row r="4589">
      <c r="A4589" s="2" t="s">
        <v>4617</v>
      </c>
      <c r="B4589" s="3" t="str">
        <f>IFERROR(__xludf.DUMMYFUNCTION("GOOGLETRANSLATE(A4589, ""ar"", ""bn"")"),"অবহসিত")</f>
        <v>অবহসিত</v>
      </c>
    </row>
    <row r="4590">
      <c r="A4590" s="2" t="s">
        <v>6533</v>
      </c>
      <c r="B4590" s="3" t="str">
        <f>IFERROR(__xludf.DUMMYFUNCTION("GOOGLETRANSLATE(A4590, ""ar"", ""bn"")"),"ব্যঙ্গকারী")</f>
        <v>ব্যঙ্গকারী</v>
      </c>
    </row>
    <row r="4591">
      <c r="A4591" s="2" t="s">
        <v>4619</v>
      </c>
      <c r="B4591" s="3" t="str">
        <f>IFERROR(__xludf.DUMMYFUNCTION("GOOGLETRANSLATE(A4591, ""ar"", ""bn"")"),"উপহাস")</f>
        <v>উপহাস</v>
      </c>
    </row>
    <row r="4592">
      <c r="A4592" s="2" t="s">
        <v>6534</v>
      </c>
      <c r="B4592" s="3" t="str">
        <f>IFERROR(__xludf.DUMMYFUNCTION("GOOGLETRANSLATE(A4592, ""ar"", ""bn"")"),"ঠাট্টা-বিদ্রুপকারীদের")</f>
        <v>ঠাট্টা-বিদ্রুপকারীদের</v>
      </c>
    </row>
    <row r="4593">
      <c r="A4593" s="2" t="s">
        <v>4619</v>
      </c>
      <c r="B4593" s="3" t="str">
        <f>IFERROR(__xludf.DUMMYFUNCTION("GOOGLETRANSLATE(A4593, ""ar"", ""bn"")"),"উপহাস")</f>
        <v>উপহাস</v>
      </c>
    </row>
    <row r="4594">
      <c r="A4594" s="2" t="s">
        <v>6535</v>
      </c>
      <c r="B4594" s="3" t="str">
        <f>IFERROR(__xludf.DUMMYFUNCTION("GOOGLETRANSLATE(A4594, ""ar"", ""bn"")"),"বিদ্রূপকারী")</f>
        <v>বিদ্রূপকারী</v>
      </c>
    </row>
    <row r="4595">
      <c r="A4595" s="2" t="s">
        <v>6536</v>
      </c>
      <c r="B4595" s="3" t="str">
        <f>IFERROR(__xludf.DUMMYFUNCTION("GOOGLETRANSLATE(A4595, ""ar"", ""bn"")"),"বিদ্রূপকারী বার্ড")</f>
        <v>বিদ্রূপকারী বার্ড</v>
      </c>
    </row>
    <row r="4596">
      <c r="A4596" s="2" t="s">
        <v>6535</v>
      </c>
      <c r="B4596" s="3" t="str">
        <f>IFERROR(__xludf.DUMMYFUNCTION("GOOGLETRANSLATE(A4596, ""ar"", ""bn"")"),"বিদ্রূপকারী")</f>
        <v>বিদ্রূপকারী</v>
      </c>
    </row>
    <row r="4597">
      <c r="A4597" s="2" t="s">
        <v>4618</v>
      </c>
      <c r="B4597" s="3" t="str">
        <f>IFERROR(__xludf.DUMMYFUNCTION("GOOGLETRANSLATE(A4597, ""ar"", ""bn"")"),"ঠাট্টা")</f>
        <v>ঠাট্টা</v>
      </c>
    </row>
    <row r="4598">
      <c r="A4598" s="2" t="s">
        <v>6537</v>
      </c>
      <c r="B4598" s="3" t="str">
        <f>IFERROR(__xludf.DUMMYFUNCTION("GOOGLETRANSLATE(A4598, ""ar"", ""bn"")"),"উপহাস")</f>
        <v>উপহাস</v>
      </c>
    </row>
    <row r="4599">
      <c r="A4599" s="2" t="s">
        <v>6538</v>
      </c>
      <c r="B4599" s="3" t="str">
        <f>IFERROR(__xludf.DUMMYFUNCTION("GOOGLETRANSLATE(A4599, ""ar"", ""bn"")"),"রূপ")</f>
        <v>রূপ</v>
      </c>
    </row>
    <row r="4600">
      <c r="A4600" s="2" t="s">
        <v>4617</v>
      </c>
      <c r="B4600" s="3" t="str">
        <f>IFERROR(__xludf.DUMMYFUNCTION("GOOGLETRANSLATE(A4600, ""ar"", ""bn"")"),"অবহসিত")</f>
        <v>অবহসিত</v>
      </c>
    </row>
    <row r="4601">
      <c r="A4601" s="2" t="s">
        <v>6533</v>
      </c>
      <c r="B4601" s="3" t="str">
        <f>IFERROR(__xludf.DUMMYFUNCTION("GOOGLETRANSLATE(A4601, ""ar"", ""bn"")"),"ব্যঙ্গকারী")</f>
        <v>ব্যঙ্গকারী</v>
      </c>
    </row>
    <row r="4602">
      <c r="A4602" s="2" t="s">
        <v>4619</v>
      </c>
      <c r="B4602" s="3" t="str">
        <f>IFERROR(__xludf.DUMMYFUNCTION("GOOGLETRANSLATE(A4602, ""ar"", ""bn"")"),"উপহাস")</f>
        <v>উপহাস</v>
      </c>
    </row>
    <row r="4603">
      <c r="A4603" s="2" t="s">
        <v>6534</v>
      </c>
      <c r="B4603" s="3" t="str">
        <f>IFERROR(__xludf.DUMMYFUNCTION("GOOGLETRANSLATE(A4603, ""ar"", ""bn"")"),"ঠাট্টা-বিদ্রুপকারীদের")</f>
        <v>ঠাট্টা-বিদ্রুপকারীদের</v>
      </c>
    </row>
    <row r="4604">
      <c r="A4604" s="2" t="s">
        <v>4619</v>
      </c>
      <c r="B4604" s="3" t="str">
        <f>IFERROR(__xludf.DUMMYFUNCTION("GOOGLETRANSLATE(A4604, ""ar"", ""bn"")"),"উপহাস")</f>
        <v>উপহাস</v>
      </c>
    </row>
    <row r="4605">
      <c r="A4605" s="2" t="s">
        <v>6535</v>
      </c>
      <c r="B4605" s="3" t="str">
        <f>IFERROR(__xludf.DUMMYFUNCTION("GOOGLETRANSLATE(A4605, ""ar"", ""bn"")"),"বিদ্রূপকারী")</f>
        <v>বিদ্রূপকারী</v>
      </c>
    </row>
    <row r="4606">
      <c r="A4606" s="2" t="s">
        <v>6536</v>
      </c>
      <c r="B4606" s="3" t="str">
        <f>IFERROR(__xludf.DUMMYFUNCTION("GOOGLETRANSLATE(A4606, ""ar"", ""bn"")"),"বিদ্রূপকারী বার্ড")</f>
        <v>বিদ্রূপকারী বার্ড</v>
      </c>
    </row>
    <row r="4607">
      <c r="A4607" s="2" t="s">
        <v>6535</v>
      </c>
      <c r="B4607" s="3" t="str">
        <f>IFERROR(__xludf.DUMMYFUNCTION("GOOGLETRANSLATE(A4607, ""ar"", ""bn"")"),"বিদ্রূপকারী")</f>
        <v>বিদ্রূপকারী</v>
      </c>
    </row>
    <row r="4608">
      <c r="A4608" s="2" t="s">
        <v>4618</v>
      </c>
      <c r="B4608" s="3" t="str">
        <f>IFERROR(__xludf.DUMMYFUNCTION("GOOGLETRANSLATE(A4608, ""ar"", ""bn"")"),"ঠাট্টা")</f>
        <v>ঠাট্টা</v>
      </c>
    </row>
    <row r="4609">
      <c r="A4609" s="2" t="s">
        <v>6102</v>
      </c>
      <c r="B4609" s="3" t="str">
        <f>IFERROR(__xludf.DUMMYFUNCTION("GOOGLETRANSLATE(A4609, ""ar"", ""bn"")"),"টাট্টু ঘোড়া")</f>
        <v>টাট্টু ঘোড়া</v>
      </c>
    </row>
    <row r="4610">
      <c r="A4610" s="2" t="s">
        <v>3766</v>
      </c>
      <c r="B4610" s="3" t="str">
        <f>IFERROR(__xludf.DUMMYFUNCTION("GOOGLETRANSLATE(A4610, ""ar"", ""bn"")"),"হয়রানি")</f>
        <v>হয়রানি</v>
      </c>
    </row>
    <row r="4611">
      <c r="A4611" s="2" t="s">
        <v>4837</v>
      </c>
      <c r="B4611" s="3" t="str">
        <f>IFERROR(__xludf.DUMMYFUNCTION("GOOGLETRANSLATE(A4611, ""ar"", ""bn"")"),"হয়রানি")</f>
        <v>হয়রানি</v>
      </c>
    </row>
    <row r="4612">
      <c r="A4612" s="2" t="s">
        <v>5714</v>
      </c>
      <c r="B4612" s="3" t="str">
        <f>IFERROR(__xludf.DUMMYFUNCTION("GOOGLETRANSLATE(A4612, ""ar"", ""bn"")"),"জ্বালাতন করা")</f>
        <v>জ্বালাতন করা</v>
      </c>
    </row>
    <row r="4613">
      <c r="A4613" s="2" t="s">
        <v>6539</v>
      </c>
      <c r="B4613" s="3" t="str">
        <f>IFERROR(__xludf.DUMMYFUNCTION("GOOGLETRANSLATE(A4613, ""ar"", ""bn"")"),"মত")</f>
        <v>মত</v>
      </c>
    </row>
    <row r="4614">
      <c r="A4614" s="2" t="s">
        <v>6540</v>
      </c>
      <c r="B4614" s="3" t="str">
        <f>IFERROR(__xludf.DUMMYFUNCTION("GOOGLETRANSLATE(A4614, ""ar"", ""bn"")"),"হামলার অপরাধ")</f>
        <v>হামলার অপরাধ</v>
      </c>
    </row>
    <row r="4615">
      <c r="A4615" s="2" t="s">
        <v>6541</v>
      </c>
      <c r="B4615" s="3" t="str">
        <f>IFERROR(__xludf.DUMMYFUNCTION("GOOGLETRANSLATE(A4615, ""ar"", ""bn"")"),"হয়রানি")</f>
        <v>হয়রানি</v>
      </c>
    </row>
    <row r="4616">
      <c r="A4616" s="2" t="s">
        <v>6542</v>
      </c>
      <c r="B4616" s="3" t="str">
        <f>IFERROR(__xludf.DUMMYFUNCTION("GOOGLETRANSLATE(A4616, ""ar"", ""bn"")"),"Molests")</f>
        <v>Molests</v>
      </c>
    </row>
    <row r="4617">
      <c r="A4617" s="2" t="s">
        <v>6543</v>
      </c>
      <c r="B4617" s="3" t="str">
        <f>IFERROR(__xludf.DUMMYFUNCTION("GOOGLETRANSLATE(A4617, ""ar"", ""bn"")"),"কল করা হচ্ছে")</f>
        <v>কল করা হচ্ছে</v>
      </c>
    </row>
    <row r="4618">
      <c r="A4618" s="2" t="s">
        <v>6544</v>
      </c>
      <c r="B4618" s="3" t="str">
        <f>IFERROR(__xludf.DUMMYFUNCTION("GOOGLETRANSLATE(A4618, ""ar"", ""bn"")"),"প্রবর্তকদের")</f>
        <v>প্রবর্তকদের</v>
      </c>
    </row>
    <row r="4619">
      <c r="A4619" s="2" t="s">
        <v>6545</v>
      </c>
      <c r="B4619" s="3" t="str">
        <f>IFERROR(__xludf.DUMMYFUNCTION("GOOGLETRANSLATE(A4619, ""ar"", ""bn"")"),"মোঙ্গল")</f>
        <v>মোঙ্গল</v>
      </c>
    </row>
    <row r="4620">
      <c r="A4620" s="2" t="s">
        <v>6545</v>
      </c>
      <c r="B4620" s="3" t="str">
        <f>IFERROR(__xludf.DUMMYFUNCTION("GOOGLETRANSLATE(A4620, ""ar"", ""bn"")"),"মোঙ্গল")</f>
        <v>মোঙ্গল</v>
      </c>
    </row>
    <row r="4621">
      <c r="A4621" s="2" t="s">
        <v>6546</v>
      </c>
      <c r="B4621" s="3" t="str">
        <f>IFERROR(__xludf.DUMMYFUNCTION("GOOGLETRANSLATE(A4621, ""ar"", ""bn"")"),"নকুল")</f>
        <v>নকুল</v>
      </c>
    </row>
    <row r="4622">
      <c r="A4622" s="2" t="s">
        <v>6547</v>
      </c>
      <c r="B4622" s="3" t="str">
        <f>IFERROR(__xludf.DUMMYFUNCTION("GOOGLETRANSLATE(A4622, ""ar"", ""bn"")"),"অকুলীন")</f>
        <v>অকুলীন</v>
      </c>
    </row>
    <row r="4623">
      <c r="A4623" s="2" t="s">
        <v>6548</v>
      </c>
      <c r="B4623" s="3" t="str">
        <f>IFERROR(__xludf.DUMMYFUNCTION("GOOGLETRANSLATE(A4623, ""ar"", ""bn"")"),"Mongrels")</f>
        <v>Mongrels</v>
      </c>
    </row>
    <row r="4624">
      <c r="A4624" s="2" t="s">
        <v>6549</v>
      </c>
      <c r="B4624" s="3" t="str">
        <f>IFERROR(__xludf.DUMMYFUNCTION("GOOGLETRANSLATE(A4624, ""ar"", ""bn"")"),"একঘেয়ে")</f>
        <v>একঘেয়ে</v>
      </c>
    </row>
    <row r="4625">
      <c r="A4625" s="2" t="s">
        <v>6549</v>
      </c>
      <c r="B4625" s="3" t="str">
        <f>IFERROR(__xludf.DUMMYFUNCTION("GOOGLETRANSLATE(A4625, ""ar"", ""bn"")"),"একঘেয়ে")</f>
        <v>একঘেয়ে</v>
      </c>
    </row>
    <row r="4626">
      <c r="A4626" s="2" t="s">
        <v>6550</v>
      </c>
      <c r="B4626" s="3" t="str">
        <f>IFERROR(__xludf.DUMMYFUNCTION("GOOGLETRANSLATE(A4626, ""ar"", ""bn"")"),"গতানুগতিকতা")</f>
        <v>গতানুগতিকতা</v>
      </c>
    </row>
    <row r="4627">
      <c r="A4627" s="2" t="s">
        <v>6551</v>
      </c>
      <c r="B4627" s="3" t="str">
        <f>IFERROR(__xludf.DUMMYFUNCTION("GOOGLETRANSLATE(A4627, ""ar"", ""bn"")"),"দৈত্য")</f>
        <v>দৈত্য</v>
      </c>
    </row>
    <row r="4628">
      <c r="A4628" s="2" t="s">
        <v>6552</v>
      </c>
      <c r="B4628" s="3" t="str">
        <f>IFERROR(__xludf.DUMMYFUNCTION("GOOGLETRANSLATE(A4628, ""ar"", ""bn"")"),"দানব")</f>
        <v>দানব</v>
      </c>
    </row>
    <row r="4629">
      <c r="A4629" s="2" t="s">
        <v>3443</v>
      </c>
      <c r="B4629" s="3" t="str">
        <f>IFERROR(__xludf.DUMMYFUNCTION("GOOGLETRANSLATE(A4629, ""ar"", ""bn"")"),"ভয়ঙ্কর")</f>
        <v>ভয়ঙ্কর</v>
      </c>
    </row>
    <row r="4630">
      <c r="A4630" s="2" t="s">
        <v>6553</v>
      </c>
      <c r="B4630" s="3" t="str">
        <f>IFERROR(__xludf.DUMMYFUNCTION("GOOGLETRANSLATE(A4630, ""ar"", ""bn"")"),"প্রচন্ড")</f>
        <v>প্রচন্ড</v>
      </c>
    </row>
    <row r="4631">
      <c r="A4631" s="2" t="s">
        <v>6554</v>
      </c>
      <c r="B4631" s="3" t="str">
        <f>IFERROR(__xludf.DUMMYFUNCTION("GOOGLETRANSLATE(A4631, ""ar"", ""bn"")"),"মেজাজী")</f>
        <v>মেজাজী</v>
      </c>
    </row>
    <row r="4632">
      <c r="A4632" s="2" t="s">
        <v>6555</v>
      </c>
      <c r="B4632" s="3" t="str">
        <f>IFERROR(__xludf.DUMMYFUNCTION("GOOGLETRANSLATE(A4632, ""ar"", ""bn"")"),"moodiness")</f>
        <v>moodiness</v>
      </c>
    </row>
    <row r="4633">
      <c r="A4633" s="2" t="s">
        <v>6556</v>
      </c>
      <c r="B4633" s="3" t="str">
        <f>IFERROR(__xludf.DUMMYFUNCTION("GOOGLETRANSLATE(A4633, ""ar"", ""bn"")"),"মনমরা")</f>
        <v>মনমরা</v>
      </c>
    </row>
    <row r="4634">
      <c r="A4634" s="2" t="s">
        <v>5049</v>
      </c>
      <c r="B4634" s="3" t="str">
        <f>IFERROR(__xludf.DUMMYFUNCTION("GOOGLETRANSLATE(A4634, ""ar"", ""bn"")"),"গাড়ল")</f>
        <v>গাড়ল</v>
      </c>
    </row>
    <row r="4635">
      <c r="A4635" s="2" t="s">
        <v>6557</v>
      </c>
      <c r="B4635" s="3" t="str">
        <f>IFERROR(__xludf.DUMMYFUNCTION("GOOGLETRANSLATE(A4635, ""ar"", ""bn"")"),"মূঢ়")</f>
        <v>মূঢ়</v>
      </c>
    </row>
    <row r="4636">
      <c r="A4636" s="2" t="s">
        <v>5050</v>
      </c>
      <c r="B4636" s="3" t="str">
        <f>IFERROR(__xludf.DUMMYFUNCTION("GOOGLETRANSLATE(A4636, ""ar"", ""bn"")"),"morons")</f>
        <v>morons</v>
      </c>
    </row>
    <row r="4637">
      <c r="A4637" s="2" t="s">
        <v>6056</v>
      </c>
      <c r="B4637" s="3" t="str">
        <f>IFERROR(__xludf.DUMMYFUNCTION("GOOGLETRANSLATE(A4637, ""ar"", ""bn"")"),"অপমান")</f>
        <v>অপমান</v>
      </c>
    </row>
    <row r="4638">
      <c r="A4638" s="2" t="s">
        <v>6558</v>
      </c>
      <c r="B4638" s="3" t="str">
        <f>IFERROR(__xludf.DUMMYFUNCTION("GOOGLETRANSLATE(A4638, ""ar"", ""bn"")"),"ক্ষুব্ধ")</f>
        <v>ক্ষুব্ধ</v>
      </c>
    </row>
    <row r="4639">
      <c r="A4639" s="2" t="s">
        <v>6559</v>
      </c>
      <c r="B4639" s="3" t="str">
        <f>IFERROR(__xludf.DUMMYFUNCTION("GOOGLETRANSLATE(A4639, ""ar"", ""bn"")"),"বিকল করা")</f>
        <v>বিকল করা</v>
      </c>
    </row>
    <row r="4640">
      <c r="A4640" s="2" t="s">
        <v>4552</v>
      </c>
      <c r="B4640" s="3" t="str">
        <f>IFERROR(__xludf.DUMMYFUNCTION("GOOGLETRANSLATE(A4640, ""ar"", ""bn"")"),"অধ: পতিত")</f>
        <v>অধ: পতিত</v>
      </c>
    </row>
    <row r="4641">
      <c r="A4641" s="2" t="s">
        <v>6560</v>
      </c>
      <c r="B4641" s="3" t="str">
        <f>IFERROR(__xludf.DUMMYFUNCTION("GOOGLETRANSLATE(A4641, ""ar"", ""bn"")"),"গতিহীন")</f>
        <v>গতিহীন</v>
      </c>
    </row>
    <row r="4642">
      <c r="A4642" s="2" t="s">
        <v>6561</v>
      </c>
      <c r="B4642" s="3" t="str">
        <f>IFERROR(__xludf.DUMMYFUNCTION("GOOGLETRANSLATE(A4642, ""ar"", ""bn"")"),"বহু-রং")</f>
        <v>বহু-রং</v>
      </c>
    </row>
    <row r="4643">
      <c r="A4643" s="2" t="s">
        <v>6562</v>
      </c>
      <c r="B4643" s="3" t="str">
        <f>IFERROR(__xludf.DUMMYFUNCTION("GOOGLETRANSLATE(A4643, ""ar"", ""bn"")"),"খুঁত")</f>
        <v>খুঁত</v>
      </c>
    </row>
    <row r="4644">
      <c r="A4644" s="2" t="s">
        <v>6563</v>
      </c>
      <c r="B4644" s="3" t="str">
        <f>IFERROR(__xludf.DUMMYFUNCTION("GOOGLETRANSLATE(A4644, ""ar"", ""bn"")"),"কাঁদতে ও শোক")</f>
        <v>কাঁদতে ও শোক</v>
      </c>
    </row>
    <row r="4645">
      <c r="A4645" s="2" t="s">
        <v>6564</v>
      </c>
      <c r="B4645" s="3" t="str">
        <f>IFERROR(__xludf.DUMMYFUNCTION("GOOGLETRANSLATE(A4645, ""ar"", ""bn"")"),"শোককারী")</f>
        <v>শোককারী</v>
      </c>
    </row>
    <row r="4646">
      <c r="A4646" s="2" t="s">
        <v>6565</v>
      </c>
      <c r="B4646" s="3" t="str">
        <f>IFERROR(__xludf.DUMMYFUNCTION("GOOGLETRANSLATE(A4646, ""ar"", ""bn"")"),"শোকার্ত")</f>
        <v>শোকার্ত</v>
      </c>
    </row>
    <row r="4647">
      <c r="A4647" s="2" t="s">
        <v>5609</v>
      </c>
      <c r="B4647" s="3" t="str">
        <f>IFERROR(__xludf.DUMMYFUNCTION("GOOGLETRANSLATE(A4647, ""ar"", ""bn"")"),"দু: খিত")</f>
        <v>দু: খিত</v>
      </c>
    </row>
    <row r="4648">
      <c r="A4648" s="2" t="s">
        <v>6566</v>
      </c>
      <c r="B4648" s="3" t="str">
        <f>IFERROR(__xludf.DUMMYFUNCTION("GOOGLETRANSLATE(A4648, ""ar"", ""bn"")"),"শোকার্তভাবে")</f>
        <v>শোকার্তভাবে</v>
      </c>
    </row>
    <row r="4649">
      <c r="A4649" s="2" t="s">
        <v>6567</v>
      </c>
      <c r="B4649" s="3" t="str">
        <f>IFERROR(__xludf.DUMMYFUNCTION("GOOGLETRANSLATE(A4649, ""ar"", ""bn"")"),"কামার")</f>
        <v>কামার</v>
      </c>
    </row>
    <row r="4650">
      <c r="A4650" s="2" t="s">
        <v>6568</v>
      </c>
      <c r="B4650" s="3" t="str">
        <f>IFERROR(__xludf.DUMMYFUNCTION("GOOGLETRANSLATE(A4650, ""ar"", ""bn"")"),"শোক")</f>
        <v>শোক</v>
      </c>
    </row>
    <row r="4651">
      <c r="A4651" s="2" t="s">
        <v>239</v>
      </c>
      <c r="B4651" s="3" t="str">
        <f>IFERROR(__xludf.DUMMYFUNCTION("GOOGLETRANSLATE(A4651, ""ar"", ""bn"")"),"বিশৃঙ্খলা")</f>
        <v>বিশৃঙ্খলা</v>
      </c>
    </row>
    <row r="4652">
      <c r="A4652" s="2" t="s">
        <v>4156</v>
      </c>
      <c r="B4652" s="3" t="str">
        <f>IFERROR(__xludf.DUMMYFUNCTION("GOOGLETRANSLATE(A4652, ""ar"", ""bn"")"),"বিভ্রান্ত")</f>
        <v>বিভ্রান্ত</v>
      </c>
    </row>
    <row r="4653">
      <c r="A4653" s="2" t="s">
        <v>6569</v>
      </c>
      <c r="B4653" s="3" t="str">
        <f>IFERROR(__xludf.DUMMYFUNCTION("GOOGLETRANSLATE(A4653, ""ar"", ""bn"")"),"Snafu")</f>
        <v>Snafu</v>
      </c>
    </row>
    <row r="4654">
      <c r="A4654" s="2" t="s">
        <v>6570</v>
      </c>
      <c r="B4654" s="3" t="str">
        <f>IFERROR(__xludf.DUMMYFUNCTION("GOOGLETRANSLATE(A4654, ""ar"", ""bn"")"),"কর্দমাক্ত")</f>
        <v>কর্দমাক্ত</v>
      </c>
    </row>
    <row r="4655">
      <c r="A4655" s="2" t="s">
        <v>6571</v>
      </c>
      <c r="B4655" s="3" t="str">
        <f>IFERROR(__xludf.DUMMYFUNCTION("GOOGLETRANSLATE(A4655, ""ar"", ""bn"")"),"Muddying")</f>
        <v>Muddying</v>
      </c>
    </row>
    <row r="4656">
      <c r="A4656" s="2" t="s">
        <v>6572</v>
      </c>
      <c r="B4656" s="3" t="str">
        <f>IFERROR(__xludf.DUMMYFUNCTION("GOOGLETRANSLATE(A4656, ""ar"", ""bn"")"),"অস্পষ্ট")</f>
        <v>অস্পষ্ট</v>
      </c>
    </row>
    <row r="4657">
      <c r="A4657" s="2" t="s">
        <v>6573</v>
      </c>
      <c r="B4657" s="3" t="str">
        <f>IFERROR(__xludf.DUMMYFUNCTION("GOOGLETRANSLATE(A4657, ""ar"", ""bn"")"),"অস্ফুট স্বরে কিছু বললো")</f>
        <v>অস্ফুট স্বরে কিছু বললো</v>
      </c>
    </row>
    <row r="4658">
      <c r="A4658" s="2" t="s">
        <v>6574</v>
      </c>
      <c r="B4658" s="3" t="str">
        <f>IFERROR(__xludf.DUMMYFUNCTION("GOOGLETRANSLATE(A4658, ""ar"", ""bn"")"),"Almtemtem")</f>
        <v>Almtemtem</v>
      </c>
    </row>
    <row r="4659">
      <c r="A4659" s="2" t="s">
        <v>6575</v>
      </c>
      <c r="B4659" s="3" t="str">
        <f>IFERROR(__xludf.DUMMYFUNCTION("GOOGLETRANSLATE(A4659, ""ar"", ""bn"")"),"কয়েকটা")</f>
        <v>কয়েকটা</v>
      </c>
    </row>
    <row r="4660">
      <c r="A4660" s="2" t="s">
        <v>6576</v>
      </c>
      <c r="B4660" s="3" t="str">
        <f>IFERROR(__xludf.DUMMYFUNCTION("GOOGLETRANSLATE(A4660, ""ar"", ""bn"")"),"পার্থিব")</f>
        <v>পার্থিব</v>
      </c>
    </row>
    <row r="4661">
      <c r="A4661" s="2" t="s">
        <v>3437</v>
      </c>
      <c r="B4661" s="3" t="str">
        <f>IFERROR(__xludf.DUMMYFUNCTION("GOOGLETRANSLATE(A4661, ""ar"", ""bn"")"),"হত্যা")</f>
        <v>হত্যা</v>
      </c>
    </row>
    <row r="4662">
      <c r="A4662" s="2" t="s">
        <v>3437</v>
      </c>
      <c r="B4662" s="3" t="str">
        <f>IFERROR(__xludf.DUMMYFUNCTION("GOOGLETRANSLATE(A4662, ""ar"", ""bn"")"),"হত্যা")</f>
        <v>হত্যা</v>
      </c>
    </row>
    <row r="4663">
      <c r="A4663" s="2" t="s">
        <v>3434</v>
      </c>
      <c r="B4663" s="3" t="str">
        <f>IFERROR(__xludf.DUMMYFUNCTION("GOOGLETRANSLATE(A4663, ""ar"", ""bn"")"),"হত্যাকারী")</f>
        <v>হত্যাকারী</v>
      </c>
    </row>
    <row r="4664">
      <c r="A4664" s="2" t="s">
        <v>3439</v>
      </c>
      <c r="B4664" s="3" t="str">
        <f>IFERROR(__xludf.DUMMYFUNCTION("GOOGLETRANSLATE(A4664, ""ar"", ""bn"")"),"হত্যাকারি")</f>
        <v>হত্যাকারি</v>
      </c>
    </row>
    <row r="4665">
      <c r="A4665" s="2" t="s">
        <v>6577</v>
      </c>
      <c r="B4665" s="3" t="str">
        <f>IFERROR(__xludf.DUMMYFUNCTION("GOOGLETRANSLATE(A4665, ""ar"", ""bn"")"),"মারাত্মক")</f>
        <v>মারাত্মক</v>
      </c>
    </row>
    <row r="4666">
      <c r="A4666" s="2" t="s">
        <v>3435</v>
      </c>
      <c r="B4666" s="3" t="str">
        <f>IFERROR(__xludf.DUMMYFUNCTION("GOOGLETRANSLATE(A4666, ""ar"", ""bn"")"),"গুপ্তহত্যা")</f>
        <v>গুপ্তহত্যা</v>
      </c>
    </row>
    <row r="4667">
      <c r="A4667" s="2" t="s">
        <v>3434</v>
      </c>
      <c r="B4667" s="3" t="str">
        <f>IFERROR(__xludf.DUMMYFUNCTION("GOOGLETRANSLATE(A4667, ""ar"", ""bn"")"),"হত্যাকারী")</f>
        <v>হত্যাকারী</v>
      </c>
    </row>
    <row r="4668">
      <c r="A4668" s="2" t="s">
        <v>6578</v>
      </c>
      <c r="B4668" s="3" t="str">
        <f>IFERROR(__xludf.DUMMYFUNCTION("GOOGLETRANSLATE(A4668, ""ar"", ""bn"")"),"মারাত্মক")</f>
        <v>মারাত্মক</v>
      </c>
    </row>
    <row r="4669">
      <c r="A4669" s="2" t="s">
        <v>6171</v>
      </c>
      <c r="B4669" s="3" t="str">
        <f>IFERROR(__xludf.DUMMYFUNCTION("GOOGLETRANSLATE(A4669, ""ar"", ""bn"")"),"হত্যা টি")</f>
        <v>হত্যা টি</v>
      </c>
    </row>
    <row r="4670">
      <c r="A4670" s="2" t="s">
        <v>4412</v>
      </c>
      <c r="B4670" s="3" t="str">
        <f>IFERROR(__xludf.DUMMYFUNCTION("GOOGLETRANSLATE(A4670, ""ar"", ""bn"")"),"অন্ধকার")</f>
        <v>অন্ধকার</v>
      </c>
    </row>
    <row r="4671">
      <c r="A4671" s="2" t="s">
        <v>6579</v>
      </c>
      <c r="B4671" s="3" t="str">
        <f>IFERROR(__xludf.DUMMYFUNCTION("GOOGLETRANSLATE(A4671, ""ar"", ""bn"")"),"বিড়বিড় করা")</f>
        <v>বিড়বিড় করা</v>
      </c>
    </row>
    <row r="4672">
      <c r="A4672" s="2" t="s">
        <v>6579</v>
      </c>
      <c r="B4672" s="3" t="str">
        <f>IFERROR(__xludf.DUMMYFUNCTION("GOOGLETRANSLATE(A4672, ""ar"", ""bn"")"),"বিড়বিড় করা")</f>
        <v>বিড়বিড় করা</v>
      </c>
    </row>
    <row r="4673">
      <c r="A4673" s="2" t="s">
        <v>6574</v>
      </c>
      <c r="B4673" s="3" t="str">
        <f>IFERROR(__xludf.DUMMYFUNCTION("GOOGLETRANSLATE(A4673, ""ar"", ""bn"")"),"Almtemtem")</f>
        <v>Almtemtem</v>
      </c>
    </row>
    <row r="4674">
      <c r="A4674" s="2" t="s">
        <v>6580</v>
      </c>
      <c r="B4674" s="3" t="str">
        <f>IFERROR(__xludf.DUMMYFUNCTION("GOOGLETRANSLATE(A4674, ""ar"", ""bn"")"),"Almtemtemon")</f>
        <v>Almtemtemon</v>
      </c>
    </row>
    <row r="4675">
      <c r="A4675" s="2" t="s">
        <v>6581</v>
      </c>
      <c r="B4675" s="3" t="str">
        <f>IFERROR(__xludf.DUMMYFUNCTION("GOOGLETRANSLATE(A4675, ""ar"", ""bn"")"),"গুঁজন")</f>
        <v>গুঁজন</v>
      </c>
    </row>
    <row r="4676">
      <c r="A4676" s="2" t="s">
        <v>6582</v>
      </c>
      <c r="B4676" s="3" t="str">
        <f>IFERROR(__xludf.DUMMYFUNCTION("GOOGLETRANSLATE(A4676, ""ar"", ""bn"")"),"আধ-আধ")</f>
        <v>আধ-আধ</v>
      </c>
    </row>
    <row r="4677">
      <c r="A4677" s="2" t="s">
        <v>6573</v>
      </c>
      <c r="B4677" s="3" t="str">
        <f>IFERROR(__xludf.DUMMYFUNCTION("GOOGLETRANSLATE(A4677, ""ar"", ""bn"")"),"অস্ফুট স্বরে কিছু বললো")</f>
        <v>অস্ফুট স্বরে কিছু বললো</v>
      </c>
    </row>
    <row r="4678">
      <c r="A4678" s="2" t="s">
        <v>5629</v>
      </c>
      <c r="B4678" s="3" t="str">
        <f>IFERROR(__xludf.DUMMYFUNCTION("GOOGLETRANSLATE(A4678, ""ar"", ""bn"")"),"টাট্টু ঘোড়া")</f>
        <v>টাট্টু ঘোড়া</v>
      </c>
    </row>
    <row r="4679">
      <c r="A4679" s="2" t="s">
        <v>6583</v>
      </c>
      <c r="B4679" s="3" t="str">
        <f>IFERROR(__xludf.DUMMYFUNCTION("GOOGLETRANSLATE(A4679, ""ar"", ""bn"")"),"নাগাসাকি")</f>
        <v>নাগাসাকি</v>
      </c>
    </row>
    <row r="4680">
      <c r="A4680" s="2" t="s">
        <v>6584</v>
      </c>
      <c r="B4680" s="3" t="str">
        <f>IFERROR(__xludf.DUMMYFUNCTION("GOOGLETRANSLATE(A4680, ""ar"", ""bn"")"),"বিরক্তিজনক")</f>
        <v>বিরক্তিজনক</v>
      </c>
    </row>
    <row r="4681">
      <c r="A4681" s="2" t="s">
        <v>4090</v>
      </c>
      <c r="B4681" s="3" t="str">
        <f>IFERROR(__xludf.DUMMYFUNCTION("GOOGLETRANSLATE(A4681, ""ar"", ""bn"")"),"Whiner")</f>
        <v>Whiner</v>
      </c>
    </row>
    <row r="4682">
      <c r="A4682" s="2" t="s">
        <v>5632</v>
      </c>
      <c r="B4682" s="3" t="str">
        <f>IFERROR(__xludf.DUMMYFUNCTION("GOOGLETRANSLATE(A4682, ""ar"", ""bn"")"),"দাঁড়কাক")</f>
        <v>দাঁড়কাক</v>
      </c>
    </row>
    <row r="4683">
      <c r="A4683" s="2" t="s">
        <v>6339</v>
      </c>
      <c r="B4683" s="3" t="str">
        <f>IFERROR(__xludf.DUMMYFUNCTION("GOOGLETRANSLATE(A4683, ""ar"", ""bn"")"),"Clickers")</f>
        <v>Clickers</v>
      </c>
    </row>
    <row r="4684">
      <c r="A4684" s="2" t="s">
        <v>4269</v>
      </c>
      <c r="B4684" s="3" t="str">
        <f>IFERROR(__xludf.DUMMYFUNCTION("GOOGLETRANSLATE(A4684, ""ar"", ""bn"")"),"সাদাসিধা")</f>
        <v>সাদাসিধা</v>
      </c>
    </row>
    <row r="4685">
      <c r="A4685" s="2" t="s">
        <v>6585</v>
      </c>
      <c r="B4685" s="3" t="str">
        <f>IFERROR(__xludf.DUMMYFUNCTION("GOOGLETRANSLATE(A4685, ""ar"", ""bn"")"),"naively")</f>
        <v>naively</v>
      </c>
    </row>
    <row r="4686">
      <c r="A4686" s="2" t="s">
        <v>5408</v>
      </c>
      <c r="B4686" s="3" t="str">
        <f>IFERROR(__xludf.DUMMYFUNCTION("GOOGLETRANSLATE(A4686, ""ar"", ""bn"")"),"নবযুবক")</f>
        <v>নবযুবক</v>
      </c>
    </row>
    <row r="4687">
      <c r="A4687" s="2" t="s">
        <v>6586</v>
      </c>
      <c r="B4687" s="3" t="str">
        <f>IFERROR(__xludf.DUMMYFUNCTION("GOOGLETRANSLATE(A4687, ""ar"", ""bn"")"),"বিশ্বাসপ্রবণতা")</f>
        <v>বিশ্বাসপ্রবণতা</v>
      </c>
    </row>
    <row r="4688">
      <c r="A4688" s="2" t="s">
        <v>6587</v>
      </c>
      <c r="B4688" s="3" t="str">
        <f>IFERROR(__xludf.DUMMYFUNCTION("GOOGLETRANSLATE(A4688, ""ar"", ""bn"")"),"আরো মন্দ")</f>
        <v>আরো মন্দ</v>
      </c>
    </row>
    <row r="4689">
      <c r="A4689" s="2" t="s">
        <v>6587</v>
      </c>
      <c r="B4689" s="3" t="str">
        <f>IFERROR(__xludf.DUMMYFUNCTION("GOOGLETRANSLATE(A4689, ""ar"", ""bn"")"),"আরো মন্দ")</f>
        <v>আরো মন্দ</v>
      </c>
    </row>
    <row r="4690">
      <c r="A4690" s="2" t="s">
        <v>6478</v>
      </c>
      <c r="B4690" s="3" t="str">
        <f>IFERROR(__xludf.DUMMYFUNCTION("GOOGLETRANSLATE(A4690, ""ar"", ""bn"")"),"কদর্যভাবে")</f>
        <v>কদর্যভাবে</v>
      </c>
    </row>
    <row r="4691">
      <c r="A4691" s="2" t="s">
        <v>6588</v>
      </c>
      <c r="B4691" s="3" t="str">
        <f>IFERROR(__xludf.DUMMYFUNCTION("GOOGLETRANSLATE(A4691, ""ar"", ""bn"")"),"কদর্যতা")</f>
        <v>কদর্যতা</v>
      </c>
    </row>
    <row r="4692">
      <c r="A4692" s="2" t="s">
        <v>6589</v>
      </c>
      <c r="B4692" s="3" t="str">
        <f>IFERROR(__xludf.DUMMYFUNCTION("GOOGLETRANSLATE(A4692, ""ar"", ""bn"")"),"ন্যাসটারটিয়াম")</f>
        <v>ন্যাসটারটিয়াম</v>
      </c>
    </row>
    <row r="4693">
      <c r="A4693" s="2" t="s">
        <v>4866</v>
      </c>
      <c r="B4693" s="3" t="str">
        <f>IFERROR(__xludf.DUMMYFUNCTION("GOOGLETRANSLATE(A4693, ""ar"", ""bn"")"),"কদর্য")</f>
        <v>কদর্য</v>
      </c>
    </row>
    <row r="4694">
      <c r="A4694" s="2" t="s">
        <v>6590</v>
      </c>
      <c r="B4694" s="3" t="str">
        <f>IFERROR(__xludf.DUMMYFUNCTION("GOOGLETRANSLATE(A4694, ""ar"", ""bn"")"),"দুষ্টু")</f>
        <v>দুষ্টু</v>
      </c>
    </row>
    <row r="4695">
      <c r="A4695" s="2" t="s">
        <v>6591</v>
      </c>
      <c r="B4695" s="3" t="str">
        <f>IFERROR(__xludf.DUMMYFUNCTION("GOOGLETRANSLATE(A4695, ""ar"", ""bn"")"),"নাত্সি")</f>
        <v>নাত্সি</v>
      </c>
    </row>
    <row r="4696">
      <c r="A4696" s="2" t="s">
        <v>6592</v>
      </c>
      <c r="B4696" s="3" t="str">
        <f>IFERROR(__xludf.DUMMYFUNCTION("GOOGLETRANSLATE(A4696, ""ar"", ""bn"")"),"নাত্সিবাদ")</f>
        <v>নাত্সিবাদ</v>
      </c>
    </row>
    <row r="4697">
      <c r="A4697" s="2" t="s">
        <v>6593</v>
      </c>
      <c r="B4697" s="3" t="str">
        <f>IFERROR(__xludf.DUMMYFUNCTION("GOOGLETRANSLATE(A4697, ""ar"", ""bn"")"),"নাৎসিদের")</f>
        <v>নাৎসিদের</v>
      </c>
    </row>
    <row r="4698">
      <c r="A4698" s="2" t="s">
        <v>6592</v>
      </c>
      <c r="B4698" s="3" t="str">
        <f>IFERROR(__xludf.DUMMYFUNCTION("GOOGLETRANSLATE(A4698, ""ar"", ""bn"")"),"নাত্সিবাদ")</f>
        <v>নাত্সিবাদ</v>
      </c>
    </row>
    <row r="4699">
      <c r="A4699" s="2" t="s">
        <v>3354</v>
      </c>
      <c r="B4699" s="3" t="str">
        <f>IFERROR(__xludf.DUMMYFUNCTION("GOOGLETRANSLATE(A4699, ""ar"", ""bn"")"),"রহস্যময়")</f>
        <v>রহস্যময়</v>
      </c>
    </row>
    <row r="4700">
      <c r="A4700" s="2" t="s">
        <v>6594</v>
      </c>
      <c r="B4700" s="3" t="str">
        <f>IFERROR(__xludf.DUMMYFUNCTION("GOOGLETRANSLATE(A4700, ""ar"", ""bn"")"),"অতি দরিদ্র")</f>
        <v>অতি দরিদ্র</v>
      </c>
    </row>
    <row r="4701">
      <c r="A4701" s="2" t="s">
        <v>6595</v>
      </c>
      <c r="B4701" s="3" t="str">
        <f>IFERROR(__xludf.DUMMYFUNCTION("GOOGLETRANSLATE(A4701, ""ar"", ""bn"")"),"নেতিবাচক")</f>
        <v>নেতিবাচক</v>
      </c>
    </row>
    <row r="4702">
      <c r="A4702" s="2" t="s">
        <v>3276</v>
      </c>
      <c r="B4702" s="3" t="str">
        <f>IFERROR(__xludf.DUMMYFUNCTION("GOOGLETRANSLATE(A4702, ""ar"", ""bn"")"),"নেতিবাচকভাবে")</f>
        <v>নেতিবাচকভাবে</v>
      </c>
    </row>
    <row r="4703">
      <c r="A4703" s="2" t="s">
        <v>6596</v>
      </c>
      <c r="B4703" s="3" t="str">
        <f>IFERROR(__xludf.DUMMYFUNCTION("GOOGLETRANSLATE(A4703, ""ar"", ""bn"")"),"ঋণাত্মক")</f>
        <v>ঋণাত্মক</v>
      </c>
    </row>
    <row r="4704">
      <c r="A4704" s="2" t="s">
        <v>6597</v>
      </c>
      <c r="B4704" s="3" t="str">
        <f>IFERROR(__xludf.DUMMYFUNCTION("GOOGLETRANSLATE(A4704, ""ar"", ""bn"")"),"অস্বীকৃতি")</f>
        <v>অস্বীকৃতি</v>
      </c>
    </row>
    <row r="4705">
      <c r="A4705" s="2" t="s">
        <v>6597</v>
      </c>
      <c r="B4705" s="3" t="str">
        <f>IFERROR(__xludf.DUMMYFUNCTION("GOOGLETRANSLATE(A4705, ""ar"", ""bn"")"),"অস্বীকৃতি")</f>
        <v>অস্বীকৃতি</v>
      </c>
    </row>
    <row r="4706">
      <c r="A4706" s="2" t="s">
        <v>4542</v>
      </c>
      <c r="B4706" s="3" t="str">
        <f>IFERROR(__xludf.DUMMYFUNCTION("GOOGLETRANSLATE(A4706, ""ar"", ""bn"")"),"অমর্যাদাপূর্ণ")</f>
        <v>অমর্যাদাপূর্ণ</v>
      </c>
    </row>
    <row r="4707">
      <c r="A4707" s="2" t="s">
        <v>3930</v>
      </c>
      <c r="B4707" s="3" t="str">
        <f>IFERROR(__xludf.DUMMYFUNCTION("GOOGLETRANSLATE(A4707, ""ar"", ""bn"")"),"উদ্বেগহীন")</f>
        <v>উদ্বেগহীন</v>
      </c>
    </row>
    <row r="4708">
      <c r="A4708" s="2" t="s">
        <v>3930</v>
      </c>
      <c r="B4708" s="3" t="str">
        <f>IFERROR(__xludf.DUMMYFUNCTION("GOOGLETRANSLATE(A4708, ""ar"", ""bn"")"),"উদ্বেগহীন")</f>
        <v>উদ্বেগহীন</v>
      </c>
    </row>
    <row r="4709">
      <c r="A4709" s="2" t="s">
        <v>4542</v>
      </c>
      <c r="B4709" s="3" t="str">
        <f>IFERROR(__xludf.DUMMYFUNCTION("GOOGLETRANSLATE(A4709, ""ar"", ""bn"")"),"অমর্যাদাপূর্ণ")</f>
        <v>অমর্যাদাপূর্ণ</v>
      </c>
    </row>
    <row r="4710">
      <c r="A4710" s="2" t="s">
        <v>6598</v>
      </c>
      <c r="B4710" s="3" t="str">
        <f>IFERROR(__xludf.DUMMYFUNCTION("GOOGLETRANSLATE(A4710, ""ar"", ""bn"")"),"উপেক্ষা করে")</f>
        <v>উপেক্ষা করে</v>
      </c>
    </row>
    <row r="4711">
      <c r="A4711" s="2" t="s">
        <v>4542</v>
      </c>
      <c r="B4711" s="3" t="str">
        <f>IFERROR(__xludf.DUMMYFUNCTION("GOOGLETRANSLATE(A4711, ""ar"", ""bn"")"),"অমর্যাদাপূর্ণ")</f>
        <v>অমর্যাদাপূর্ণ</v>
      </c>
    </row>
    <row r="4712">
      <c r="A4712" s="2" t="s">
        <v>6599</v>
      </c>
      <c r="B4712" s="3" t="str">
        <f>IFERROR(__xludf.DUMMYFUNCTION("GOOGLETRANSLATE(A4712, ""ar"", ""bn"")"),"অবহেলাকারী")</f>
        <v>অবহেলাকারী</v>
      </c>
    </row>
    <row r="4713">
      <c r="A4713" s="2" t="s">
        <v>3931</v>
      </c>
      <c r="B4713" s="3" t="str">
        <f>IFERROR(__xludf.DUMMYFUNCTION("GOOGLETRANSLATE(A4713, ""ar"", ""bn"")"),"অগোছালভাবে")</f>
        <v>অগোছালভাবে</v>
      </c>
    </row>
    <row r="4714">
      <c r="A4714" s="2" t="s">
        <v>6600</v>
      </c>
      <c r="B4714" s="3" t="str">
        <f>IFERROR(__xludf.DUMMYFUNCTION("GOOGLETRANSLATE(A4714, ""ar"", ""bn"")"),"কঠোর পরিশ্রম ছাত্র")</f>
        <v>কঠোর পরিশ্রম ছাত্র</v>
      </c>
    </row>
    <row r="4715">
      <c r="A4715" s="2" t="s">
        <v>6601</v>
      </c>
      <c r="B4715" s="3" t="str">
        <f>IFERROR(__xludf.DUMMYFUNCTION("GOOGLETRANSLATE(A4715, ""ar"", ""bn"")"),"একরোখা প্রযুক্তিবিদের")</f>
        <v>একরোখা প্রযুক্তিবিদের</v>
      </c>
    </row>
    <row r="4716">
      <c r="A4716" s="2" t="s">
        <v>5384</v>
      </c>
      <c r="B4716" s="3" t="str">
        <f>IFERROR(__xludf.DUMMYFUNCTION("GOOGLETRANSLATE(A4716, ""ar"", ""bn"")"),"নার্ভীয়")</f>
        <v>নার্ভীয়</v>
      </c>
    </row>
    <row r="4717">
      <c r="A4717" s="2" t="s">
        <v>6602</v>
      </c>
      <c r="B4717" s="3" t="str">
        <f>IFERROR(__xludf.DUMMYFUNCTION("GOOGLETRANSLATE(A4717, ""ar"", ""bn"")"),"nervously")</f>
        <v>nervously</v>
      </c>
    </row>
    <row r="4718">
      <c r="A4718" s="2" t="s">
        <v>6603</v>
      </c>
      <c r="B4718" s="3" t="str">
        <f>IFERROR(__xludf.DUMMYFUNCTION("GOOGLETRANSLATE(A4718, ""ar"", ""bn"")"),"আতঙ্ক")</f>
        <v>আতঙ্ক</v>
      </c>
    </row>
    <row r="4719">
      <c r="A4719" s="2" t="s">
        <v>6604</v>
      </c>
      <c r="B4719" s="3" t="str">
        <f>IFERROR(__xludf.DUMMYFUNCTION("GOOGLETRANSLATE(A4719, ""ar"", ""bn"")"),"বায়ুগ্রস্ত")</f>
        <v>বায়ুগ্রস্ত</v>
      </c>
    </row>
    <row r="4720">
      <c r="A4720" s="2" t="s">
        <v>6604</v>
      </c>
      <c r="B4720" s="3" t="str">
        <f>IFERROR(__xludf.DUMMYFUNCTION("GOOGLETRANSLATE(A4720, ""ar"", ""bn"")"),"বায়ুগ্রস্ত")</f>
        <v>বায়ুগ্রস্ত</v>
      </c>
    </row>
    <row r="4721">
      <c r="A4721" s="2" t="s">
        <v>6605</v>
      </c>
      <c r="B4721" s="3" t="str">
        <f>IFERROR(__xludf.DUMMYFUNCTION("GOOGLETRANSLATE(A4721, ""ar"", ""bn"")"),"Neurotics")</f>
        <v>Neurotics</v>
      </c>
    </row>
    <row r="4722">
      <c r="A4722" s="2" t="s">
        <v>6606</v>
      </c>
      <c r="B4722" s="3" t="str">
        <f>IFERROR(__xludf.DUMMYFUNCTION("GOOGLETRANSLATE(A4722, ""ar"", ""bn"")"),"দুঃস্বপ্ন")</f>
        <v>দুঃস্বপ্ন</v>
      </c>
    </row>
    <row r="4723">
      <c r="A4723" s="2" t="s">
        <v>6607</v>
      </c>
      <c r="B4723" s="3" t="str">
        <f>IFERROR(__xludf.DUMMYFUNCTION("GOOGLETRANSLATE(A4723, ""ar"", ""bn"")"),"দুঃস্বপ্ন")</f>
        <v>দুঃস্বপ্ন</v>
      </c>
    </row>
    <row r="4724">
      <c r="A4724" s="2" t="s">
        <v>6557</v>
      </c>
      <c r="B4724" s="3" t="str">
        <f>IFERROR(__xludf.DUMMYFUNCTION("GOOGLETRANSLATE(A4724, ""ar"", ""bn"")"),"মূঢ়")</f>
        <v>মূঢ়</v>
      </c>
    </row>
    <row r="4725">
      <c r="A4725" s="2" t="s">
        <v>6557</v>
      </c>
      <c r="B4725" s="3" t="str">
        <f>IFERROR(__xludf.DUMMYFUNCTION("GOOGLETRANSLATE(A4725, ""ar"", ""bn"")"),"মূঢ়")</f>
        <v>মূঢ়</v>
      </c>
    </row>
    <row r="4726">
      <c r="A4726" s="2" t="s">
        <v>6608</v>
      </c>
      <c r="B4726" s="3" t="str">
        <f>IFERROR(__xludf.DUMMYFUNCTION("GOOGLETRANSLATE(A4726, ""ar"", ""bn"")"),"নিক্সন")</f>
        <v>নিক্সন</v>
      </c>
    </row>
    <row r="4727">
      <c r="A4727" s="2" t="s">
        <v>5501</v>
      </c>
      <c r="B4727" s="3" t="str">
        <f>IFERROR(__xludf.DUMMYFUNCTION("GOOGLETRANSLATE(A4727, ""ar"", ""bn"")"),"গোলমাল")</f>
        <v>গোলমাল</v>
      </c>
    </row>
    <row r="4728">
      <c r="A4728" s="2" t="s">
        <v>6609</v>
      </c>
      <c r="B4728" s="3" t="str">
        <f>IFERROR(__xludf.DUMMYFUNCTION("GOOGLETRANSLATE(A4728, ""ar"", ""bn"")"),"চুপচাপ")</f>
        <v>চুপচাপ</v>
      </c>
    </row>
    <row r="4729">
      <c r="A4729" s="2" t="s">
        <v>6610</v>
      </c>
      <c r="B4729" s="3" t="str">
        <f>IFERROR(__xludf.DUMMYFUNCTION("GOOGLETRANSLATE(A4729, ""ar"", ""bn"")"),"ছুরি")</f>
        <v>ছুরি</v>
      </c>
    </row>
    <row r="4730">
      <c r="A4730" s="2" t="s">
        <v>6611</v>
      </c>
      <c r="B4730" s="3" t="str">
        <f>IFERROR(__xludf.DUMMYFUNCTION("GOOGLETRANSLATE(A4730, ""ar"", ""bn"")"),"গোলমাল")</f>
        <v>গোলমাল</v>
      </c>
    </row>
    <row r="4731">
      <c r="A4731" s="2" t="s">
        <v>6612</v>
      </c>
      <c r="B4731" s="3" t="str">
        <f>IFERROR(__xludf.DUMMYFUNCTION("GOOGLETRANSLATE(A4731, ""ar"", ""bn"")"),"আমি পরোয়া করি না")</f>
        <v>আমি পরোয়া করি না</v>
      </c>
    </row>
    <row r="4732">
      <c r="A4732" s="2" t="s">
        <v>6613</v>
      </c>
      <c r="B4732" s="3" t="str">
        <f>IFERROR(__xludf.DUMMYFUNCTION("GOOGLETRANSLATE(A4732, ""ar"", ""bn"")"),"অগোছালভাবে")</f>
        <v>অগোছালভাবে</v>
      </c>
    </row>
    <row r="4733">
      <c r="A4733" s="2" t="s">
        <v>3514</v>
      </c>
      <c r="B4733" s="3" t="str">
        <f>IFERROR(__xludf.DUMMYFUNCTION("GOOGLETRANSLATE(A4733, ""ar"", ""bn"")"),"বাজে কথা")</f>
        <v>বাজে কথা</v>
      </c>
    </row>
    <row r="4734">
      <c r="A4734" s="2" t="s">
        <v>5434</v>
      </c>
      <c r="B4734" s="3" t="str">
        <f>IFERROR(__xludf.DUMMYFUNCTION("GOOGLETRANSLATE(A4734, ""ar"", ""bn"")"),"নির্বোধ")</f>
        <v>নির্বোধ</v>
      </c>
    </row>
    <row r="4735">
      <c r="A4735" s="2" t="s">
        <v>3893</v>
      </c>
      <c r="B4735" s="3" t="str">
        <f>IFERROR(__xludf.DUMMYFUNCTION("GOOGLETRANSLATE(A4735, ""ar"", ""bn"")"),"দীর্ঘনাসা")</f>
        <v>দীর্ঘনাসা</v>
      </c>
    </row>
    <row r="4736">
      <c r="A4736" s="2" t="s">
        <v>6614</v>
      </c>
      <c r="B4736" s="3" t="str">
        <f>IFERROR(__xludf.DUMMYFUNCTION("GOOGLETRANSLATE(A4736, ""ar"", ""bn"")"),"বিখ্যাত")</f>
        <v>বিখ্যাত</v>
      </c>
    </row>
    <row r="4737">
      <c r="A4737" s="2" t="s">
        <v>6615</v>
      </c>
      <c r="B4737" s="3" t="str">
        <f>IFERROR(__xludf.DUMMYFUNCTION("GOOGLETRANSLATE(A4737, ""ar"", ""bn"")"),"জ্ঞাত")</f>
        <v>জ্ঞাত</v>
      </c>
    </row>
    <row r="4738">
      <c r="A4738" s="2" t="s">
        <v>3572</v>
      </c>
      <c r="B4738" s="3" t="str">
        <f>IFERROR(__xludf.DUMMYFUNCTION("GOOGLETRANSLATE(A4738, ""ar"", ""bn"")"),"ছোট")</f>
        <v>ছোট</v>
      </c>
    </row>
    <row r="4739">
      <c r="A4739" s="2" t="s">
        <v>6616</v>
      </c>
      <c r="B4739" s="3" t="str">
        <f>IFERROR(__xludf.DUMMYFUNCTION("GOOGLETRANSLATE(A4739, ""ar"", ""bn"")"),"নতুনদের")</f>
        <v>নতুনদের</v>
      </c>
    </row>
    <row r="4740">
      <c r="A4740" s="2" t="s">
        <v>4689</v>
      </c>
      <c r="B4740" s="3" t="str">
        <f>IFERROR(__xludf.DUMMYFUNCTION("GOOGLETRANSLATE(A4740, ""ar"", ""bn"")"),"ক্ষতিকর")</f>
        <v>ক্ষতিকর</v>
      </c>
    </row>
    <row r="4741">
      <c r="A4741" s="2" t="s">
        <v>6617</v>
      </c>
      <c r="B4741" s="3" t="str">
        <f>IFERROR(__xludf.DUMMYFUNCTION("GOOGLETRANSLATE(A4741, ""ar"", ""bn"")"),"অপব্যবহার")</f>
        <v>অপব্যবহার</v>
      </c>
    </row>
    <row r="4742">
      <c r="A4742" s="2" t="s">
        <v>3382</v>
      </c>
      <c r="B4742" s="3" t="str">
        <f>IFERROR(__xludf.DUMMYFUNCTION("GOOGLETRANSLATE(A4742, ""ar"", ""bn"")"),"ঝগড়া")</f>
        <v>ঝগড়া</v>
      </c>
    </row>
    <row r="4743">
      <c r="A4743" s="2" t="s">
        <v>4837</v>
      </c>
      <c r="B4743" s="3" t="str">
        <f>IFERROR(__xludf.DUMMYFUNCTION("GOOGLETRANSLATE(A4743, ""ar"", ""bn"")"),"হয়রানি")</f>
        <v>হয়রানি</v>
      </c>
    </row>
    <row r="4744">
      <c r="A4744" s="2" t="s">
        <v>3182</v>
      </c>
      <c r="B4744" s="3" t="str">
        <f>IFERROR(__xludf.DUMMYFUNCTION("GOOGLETRANSLATE(A4744, ""ar"", ""bn"")"),"বাতিল")</f>
        <v>বাতিল</v>
      </c>
    </row>
    <row r="4745">
      <c r="A4745" s="2" t="s">
        <v>6618</v>
      </c>
      <c r="B4745" s="3" t="str">
        <f>IFERROR(__xludf.DUMMYFUNCTION("GOOGLETRANSLATE(A4745, ""ar"", ""bn"")"),"বাতিল")</f>
        <v>বাতিল</v>
      </c>
    </row>
    <row r="4746">
      <c r="A4746" s="2" t="s">
        <v>6098</v>
      </c>
      <c r="B4746" s="3" t="str">
        <f>IFERROR(__xludf.DUMMYFUNCTION("GOOGLETRANSLATE(A4746, ""ar"", ""bn"")"),"চ্যাম্পিয়ন্স")</f>
        <v>চ্যাম্পিয়ন্স</v>
      </c>
    </row>
    <row r="4747">
      <c r="A4747" s="2" t="s">
        <v>6619</v>
      </c>
      <c r="B4747" s="3" t="str">
        <f>IFERROR(__xludf.DUMMYFUNCTION("GOOGLETRANSLATE(A4747, ""ar"", ""bn"")"),"অসাড় অবস্থা")</f>
        <v>অসাড় অবস্থা</v>
      </c>
    </row>
    <row r="4748">
      <c r="A4748" s="2" t="s">
        <v>4985</v>
      </c>
      <c r="B4748" s="3" t="str">
        <f>IFERROR(__xludf.DUMMYFUNCTION("GOOGLETRANSLATE(A4748, ""ar"", ""bn"")"),"অবেদনিক")</f>
        <v>অবেদনিক</v>
      </c>
    </row>
    <row r="4749">
      <c r="A4749" s="2" t="s">
        <v>6620</v>
      </c>
      <c r="B4749" s="3" t="str">
        <f>IFERROR(__xludf.DUMMYFUNCTION("GOOGLETRANSLATE(A4749, ""ar"", ""bn"")"),"সংখ্যা")</f>
        <v>সংখ্যা</v>
      </c>
    </row>
    <row r="4750">
      <c r="A4750" s="2" t="s">
        <v>6621</v>
      </c>
      <c r="B4750" s="3" t="str">
        <f>IFERROR(__xludf.DUMMYFUNCTION("GOOGLETRANSLATE(A4750, ""ar"", ""bn"")"),"নম্বরযুক্ত")</f>
        <v>নম্বরযুক্ত</v>
      </c>
    </row>
    <row r="4751">
      <c r="A4751" s="2" t="s">
        <v>6622</v>
      </c>
      <c r="B4751" s="3" t="str">
        <f>IFERROR(__xludf.DUMMYFUNCTION("GOOGLETRANSLATE(A4751, ""ar"", ""bn"")"),"যতিচিহ্নসিন্নিবেশ")</f>
        <v>যতিচিহ্নসিন্নিবেশ</v>
      </c>
    </row>
    <row r="4752">
      <c r="A4752" s="2" t="s">
        <v>6623</v>
      </c>
      <c r="B4752" s="3" t="str">
        <f>IFERROR(__xludf.DUMMYFUNCTION("GOOGLETRANSLATE(A4752, ""ar"", ""bn"")"),"আর নেই")</f>
        <v>আর নেই</v>
      </c>
    </row>
    <row r="4753">
      <c r="A4753" s="2" t="s">
        <v>6624</v>
      </c>
      <c r="B4753" s="3" t="str">
        <f>IFERROR(__xludf.DUMMYFUNCTION("GOOGLETRANSLATE(A4753, ""ar"", ""bn"")"),"সংখ্যার")</f>
        <v>সংখ্যার</v>
      </c>
    </row>
    <row r="4754">
      <c r="A4754" s="2" t="s">
        <v>3211</v>
      </c>
      <c r="B4754" s="3" t="str">
        <f>IFERROR(__xludf.DUMMYFUNCTION("GOOGLETRANSLATE(A4754, ""ar"", ""bn"")"),"বিস্ময়কর")</f>
        <v>বিস্ময়কর</v>
      </c>
    </row>
    <row r="4755">
      <c r="A4755" s="2" t="s">
        <v>6625</v>
      </c>
      <c r="B4755" s="3" t="str">
        <f>IFERROR(__xludf.DUMMYFUNCTION("GOOGLETRANSLATE(A4755, ""ar"", ""bn"")"),"Numbingly")</f>
        <v>Numbingly</v>
      </c>
    </row>
    <row r="4756">
      <c r="A4756" s="2" t="s">
        <v>6619</v>
      </c>
      <c r="B4756" s="3" t="str">
        <f>IFERROR(__xludf.DUMMYFUNCTION("GOOGLETRANSLATE(A4756, ""ar"", ""bn"")"),"অসাড় অবস্থা")</f>
        <v>অসাড় অবস্থা</v>
      </c>
    </row>
    <row r="4757">
      <c r="A4757" s="2" t="s">
        <v>6626</v>
      </c>
      <c r="B4757" s="3" t="str">
        <f>IFERROR(__xludf.DUMMYFUNCTION("GOOGLETRANSLATE(A4757, ""ar"", ""bn"")"),"Numbs")</f>
        <v>Numbs</v>
      </c>
    </row>
    <row r="4758">
      <c r="A4758" s="2" t="s">
        <v>6627</v>
      </c>
      <c r="B4758" s="3" t="str">
        <f>IFERROR(__xludf.DUMMYFUNCTION("GOOGLETRANSLATE(A4758, ""ar"", ""bn"")"),"দরিদ্র")</f>
        <v>দরিদ্র</v>
      </c>
    </row>
    <row r="4759">
      <c r="A4759" s="2" t="s">
        <v>6628</v>
      </c>
      <c r="B4759" s="3" t="str">
        <f>IFERROR(__xludf.DUMMYFUNCTION("GOOGLETRANSLATE(A4759, ""ar"", ""bn"")"),"গণ্ডমূর্খ")</f>
        <v>গণ্ডমূর্খ</v>
      </c>
    </row>
    <row r="4760">
      <c r="A4760" s="2" t="s">
        <v>4269</v>
      </c>
      <c r="B4760" s="3" t="str">
        <f>IFERROR(__xludf.DUMMYFUNCTION("GOOGLETRANSLATE(A4760, ""ar"", ""bn"")"),"সাদাসিধা")</f>
        <v>সাদাসিধা</v>
      </c>
    </row>
    <row r="4761">
      <c r="A4761" s="2" t="s">
        <v>5437</v>
      </c>
      <c r="B4761" s="3" t="str">
        <f>IFERROR(__xludf.DUMMYFUNCTION("GOOGLETRANSLATE(A4761, ""ar"", ""bn"")"),"ফুল")</f>
        <v>ফুল</v>
      </c>
    </row>
    <row r="4762">
      <c r="A4762" s="2" t="s">
        <v>6629</v>
      </c>
      <c r="B4762" s="3" t="str">
        <f>IFERROR(__xludf.DUMMYFUNCTION("GOOGLETRANSLATE(A4762, ""ar"", ""bn"")"),"স্থূলকায়")</f>
        <v>স্থূলকায়</v>
      </c>
    </row>
    <row r="4763">
      <c r="A4763" s="2" t="s">
        <v>5336</v>
      </c>
      <c r="B4763" s="3" t="str">
        <f>IFERROR(__xludf.DUMMYFUNCTION("GOOGLETRANSLATE(A4763, ""ar"", ""bn"")"),"স্থূলতা")</f>
        <v>স্থূলতা</v>
      </c>
    </row>
    <row r="4764">
      <c r="A4764" s="2" t="s">
        <v>1636</v>
      </c>
      <c r="B4764" s="3" t="str">
        <f>IFERROR(__xludf.DUMMYFUNCTION("GOOGLETRANSLATE(A4764, ""ar"", ""bn"")"),"আপত্তি")</f>
        <v>আপত্তি</v>
      </c>
    </row>
    <row r="4765">
      <c r="A4765" s="2" t="s">
        <v>3184</v>
      </c>
      <c r="B4765" s="3" t="str">
        <f>IFERROR(__xludf.DUMMYFUNCTION("GOOGLETRANSLATE(A4765, ""ar"", ""bn"")"),"ঘৃণ্য")</f>
        <v>ঘৃণ্য</v>
      </c>
    </row>
    <row r="4766">
      <c r="A4766" s="2" t="s">
        <v>6630</v>
      </c>
      <c r="B4766" s="3" t="str">
        <f>IFERROR(__xludf.DUMMYFUNCTION("GOOGLETRANSLATE(A4766, ""ar"", ""bn"")"),"Objectionably")</f>
        <v>Objectionably</v>
      </c>
    </row>
    <row r="4767">
      <c r="A4767" s="2" t="s">
        <v>6631</v>
      </c>
      <c r="B4767" s="3" t="str">
        <f>IFERROR(__xludf.DUMMYFUNCTION("GOOGLETRANSLATE(A4767, ""ar"", ""bn"")"),"আপত্তি")</f>
        <v>আপত্তি</v>
      </c>
    </row>
    <row r="4768">
      <c r="A4768" s="2" t="s">
        <v>6632</v>
      </c>
      <c r="B4768" s="3" t="str">
        <f>IFERROR(__xludf.DUMMYFUNCTION("GOOGLETRANSLATE(A4768, ""ar"", ""bn"")"),"তেরছা")</f>
        <v>তেরছা</v>
      </c>
    </row>
    <row r="4769">
      <c r="A4769" s="2" t="s">
        <v>6633</v>
      </c>
      <c r="B4769" s="3" t="str">
        <f>IFERROR(__xludf.DUMMYFUNCTION("GOOGLETRANSLATE(A4769, ""ar"", ""bn"")"),"পরোক্ষভাবে")</f>
        <v>পরোক্ষভাবে</v>
      </c>
    </row>
    <row r="4770">
      <c r="A4770" s="2" t="s">
        <v>6634</v>
      </c>
      <c r="B4770" s="3" t="str">
        <f>IFERROR(__xludf.DUMMYFUNCTION("GOOGLETRANSLATE(A4770, ""ar"", ""bn"")"),"ব্যাবর্ত")</f>
        <v>ব্যাবর্ত</v>
      </c>
    </row>
    <row r="4771">
      <c r="A4771" s="2" t="s">
        <v>6635</v>
      </c>
      <c r="B4771" s="3" t="str">
        <f>IFERROR(__xludf.DUMMYFUNCTION("GOOGLETRANSLATE(A4771, ""ar"", ""bn"")"),"ধ্বংস করা")</f>
        <v>ধ্বংস করা</v>
      </c>
    </row>
    <row r="4772">
      <c r="A4772" s="2" t="s">
        <v>6635</v>
      </c>
      <c r="B4772" s="3" t="str">
        <f>IFERROR(__xludf.DUMMYFUNCTION("GOOGLETRANSLATE(A4772, ""ar"", ""bn"")"),"ধ্বংস করা")</f>
        <v>ধ্বংস করা</v>
      </c>
    </row>
    <row r="4773">
      <c r="A4773" s="2" t="s">
        <v>3721</v>
      </c>
      <c r="B4773" s="3" t="str">
        <f>IFERROR(__xludf.DUMMYFUNCTION("GOOGLETRANSLATE(A4773, ""ar"", ""bn"")"),"Obliterates")</f>
        <v>Obliterates</v>
      </c>
    </row>
    <row r="4774">
      <c r="A4774" s="2" t="s">
        <v>3184</v>
      </c>
      <c r="B4774" s="3" t="str">
        <f>IFERROR(__xludf.DUMMYFUNCTION("GOOGLETRANSLATE(A4774, ""ar"", ""bn"")"),"ঘৃণ্য")</f>
        <v>ঘৃণ্য</v>
      </c>
    </row>
    <row r="4775">
      <c r="A4775" s="2" t="s">
        <v>3184</v>
      </c>
      <c r="B4775" s="3" t="str">
        <f>IFERROR(__xludf.DUMMYFUNCTION("GOOGLETRANSLATE(A4775, ""ar"", ""bn"")"),"ঘৃণ্য")</f>
        <v>ঘৃণ্য</v>
      </c>
    </row>
    <row r="4776">
      <c r="A4776" s="2" t="s">
        <v>3354</v>
      </c>
      <c r="B4776" s="3" t="str">
        <f>IFERROR(__xludf.DUMMYFUNCTION("GOOGLETRANSLATE(A4776, ""ar"", ""bn"")"),"রহস্যময়")</f>
        <v>রহস্যময়</v>
      </c>
    </row>
    <row r="4777">
      <c r="A4777" s="2" t="s">
        <v>3699</v>
      </c>
      <c r="B4777" s="3" t="str">
        <f>IFERROR(__xludf.DUMMYFUNCTION("GOOGLETRANSLATE(A4777, ""ar"", ""bn"")"),"রোধক")</f>
        <v>রোধক</v>
      </c>
    </row>
    <row r="4778">
      <c r="A4778" s="2" t="s">
        <v>4358</v>
      </c>
      <c r="B4778" s="3" t="str">
        <f>IFERROR(__xludf.DUMMYFUNCTION("GOOGLETRANSLATE(A4778, ""ar"", ""bn"")"),"cryptically")</f>
        <v>cryptically</v>
      </c>
    </row>
    <row r="4779">
      <c r="A4779" s="2" t="s">
        <v>6636</v>
      </c>
      <c r="B4779" s="3" t="str">
        <f>IFERROR(__xludf.DUMMYFUNCTION("GOOGLETRANSLATE(A4779, ""ar"", ""bn"")"),"রহস্যময়")</f>
        <v>রহস্যময়</v>
      </c>
    </row>
    <row r="4780">
      <c r="A4780" s="2" t="s">
        <v>6637</v>
      </c>
      <c r="B4780" s="3" t="str">
        <f>IFERROR(__xludf.DUMMYFUNCTION("GOOGLETRANSLATE(A4780, ""ar"", ""bn"")"),"গ্রস্ত")</f>
        <v>গ্রস্ত</v>
      </c>
    </row>
    <row r="4781">
      <c r="A4781" s="2" t="s">
        <v>6638</v>
      </c>
      <c r="B4781" s="3" t="str">
        <f>IFERROR(__xludf.DUMMYFUNCTION("GOOGLETRANSLATE(A4781, ""ar"", ""bn"")"),"চিন্তা করবেন না")</f>
        <v>চিন্তা করবেন না</v>
      </c>
    </row>
    <row r="4782">
      <c r="A4782" s="2" t="s">
        <v>6316</v>
      </c>
      <c r="B4782" s="3" t="str">
        <f>IFERROR(__xludf.DUMMYFUNCTION("GOOGLETRANSLATE(A4782, ""ar"", ""bn"")"),"অন্ধকারাচ্ছন্ন")</f>
        <v>অন্ধকারাচ্ছন্ন</v>
      </c>
    </row>
    <row r="4783">
      <c r="A4783" s="2" t="s">
        <v>6639</v>
      </c>
      <c r="B4783" s="3" t="str">
        <f>IFERROR(__xludf.DUMMYFUNCTION("GOOGLETRANSLATE(A4783, ""ar"", ""bn"")"),"লক্ষ্য করা")</f>
        <v>লক্ষ্য করা</v>
      </c>
    </row>
    <row r="4784">
      <c r="A4784" s="2" t="s">
        <v>6640</v>
      </c>
      <c r="B4784" s="3" t="str">
        <f>IFERROR(__xludf.DUMMYFUNCTION("GOOGLETRANSLATE(A4784, ""ar"", ""bn"")"),"ভাববে")</f>
        <v>ভাববে</v>
      </c>
    </row>
    <row r="4785">
      <c r="A4785" s="2" t="s">
        <v>6641</v>
      </c>
      <c r="B4785" s="3" t="str">
        <f>IFERROR(__xludf.DUMMYFUNCTION("GOOGLETRANSLATE(A4785, ""ar"", ""bn"")"),"ঘোর")</f>
        <v>ঘোর</v>
      </c>
    </row>
    <row r="4786">
      <c r="A4786" s="2" t="s">
        <v>6642</v>
      </c>
      <c r="B4786" s="3" t="str">
        <f>IFERROR(__xludf.DUMMYFUNCTION("GOOGLETRANSLATE(A4786, ""ar"", ""bn"")"),"বিষণ্ণপ্রকৃতি")</f>
        <v>বিষণ্ণপ্রকৃতি</v>
      </c>
    </row>
    <row r="4787">
      <c r="A4787" s="2" t="s">
        <v>6643</v>
      </c>
      <c r="B4787" s="3" t="str">
        <f>IFERROR(__xludf.DUMMYFUNCTION("GOOGLETRANSLATE(A4787, ""ar"", ""bn"")"),"Obsessions")</f>
        <v>Obsessions</v>
      </c>
    </row>
    <row r="4788">
      <c r="A4788" s="2" t="s">
        <v>6644</v>
      </c>
      <c r="B4788" s="3" t="str">
        <f>IFERROR(__xludf.DUMMYFUNCTION("GOOGLETRANSLATE(A4788, ""ar"", ""bn"")"),"অত্যধিক")</f>
        <v>অত্যধিক</v>
      </c>
    </row>
    <row r="4789">
      <c r="A4789" s="2" t="s">
        <v>6641</v>
      </c>
      <c r="B4789" s="3" t="str">
        <f>IFERROR(__xludf.DUMMYFUNCTION("GOOGLETRANSLATE(A4789, ""ar"", ""bn"")"),"ঘোর")</f>
        <v>ঘোর</v>
      </c>
    </row>
    <row r="4790">
      <c r="A4790" s="2" t="s">
        <v>6645</v>
      </c>
      <c r="B4790" s="3" t="str">
        <f>IFERROR(__xludf.DUMMYFUNCTION("GOOGLETRANSLATE(A4790, ""ar"", ""bn"")"),"Obsessiveness")</f>
        <v>Obsessiveness</v>
      </c>
    </row>
    <row r="4791">
      <c r="A4791" s="2" t="s">
        <v>3930</v>
      </c>
      <c r="B4791" s="3" t="str">
        <f>IFERROR(__xludf.DUMMYFUNCTION("GOOGLETRANSLATE(A4791, ""ar"", ""bn"")"),"উদ্বেগহীন")</f>
        <v>উদ্বেগহীন</v>
      </c>
    </row>
    <row r="4792">
      <c r="A4792" s="2" t="s">
        <v>6646</v>
      </c>
      <c r="B4792" s="3" t="str">
        <f>IFERROR(__xludf.DUMMYFUNCTION("GOOGLETRANSLATE(A4792, ""ar"", ""bn"")"),"বাধা")</f>
        <v>বাধা</v>
      </c>
    </row>
    <row r="4793">
      <c r="A4793" s="2" t="s">
        <v>6647</v>
      </c>
      <c r="B4793" s="3" t="str">
        <f>IFERROR(__xludf.DUMMYFUNCTION("GOOGLETRANSLATE(A4793, ""ar"", ""bn"")"),"অবমুক্ত")</f>
        <v>অবমুক্ত</v>
      </c>
    </row>
    <row r="4794">
      <c r="A4794" s="2" t="s">
        <v>6648</v>
      </c>
      <c r="B4794" s="3" t="str">
        <f>IFERROR(__xludf.DUMMYFUNCTION("GOOGLETRANSLATE(A4794, ""ar"", ""bn"")"),"একগুঁয়ে")</f>
        <v>একগুঁয়ে</v>
      </c>
    </row>
    <row r="4795">
      <c r="A4795" s="2" t="s">
        <v>6649</v>
      </c>
      <c r="B4795" s="3" t="str">
        <f>IFERROR(__xludf.DUMMYFUNCTION("GOOGLETRANSLATE(A4795, ""ar"", ""bn"")"),"নাছোড়বান্দা হইয়া")</f>
        <v>নাছোড়বান্দা হইয়া</v>
      </c>
    </row>
    <row r="4796">
      <c r="A4796" s="2" t="s">
        <v>5207</v>
      </c>
      <c r="B4796" s="3" t="str">
        <f>IFERROR(__xludf.DUMMYFUNCTION("GOOGLETRANSLATE(A4796, ""ar"", ""bn"")"),"বাধা")</f>
        <v>বাধা</v>
      </c>
    </row>
    <row r="4797">
      <c r="A4797" s="2" t="s">
        <v>6650</v>
      </c>
      <c r="B4797" s="3" t="str">
        <f>IFERROR(__xludf.DUMMYFUNCTION("GOOGLETRANSLATE(A4797, ""ar"", ""bn"")"),"বাধিত")</f>
        <v>বাধিত</v>
      </c>
    </row>
    <row r="4798">
      <c r="A4798" s="2" t="s">
        <v>6651</v>
      </c>
      <c r="B4798" s="3" t="str">
        <f>IFERROR(__xludf.DUMMYFUNCTION("GOOGLETRANSLATE(A4798, ""ar"", ""bn"")"),"অক্রিয়াশীল")</f>
        <v>অক্রিয়াশীল</v>
      </c>
    </row>
    <row r="4799">
      <c r="A4799" s="2" t="s">
        <v>5783</v>
      </c>
      <c r="B4799" s="3" t="str">
        <f>IFERROR(__xludf.DUMMYFUNCTION("GOOGLETRANSLATE(A4799, ""ar"", ""bn"")"),"বিঘ্ন")</f>
        <v>বিঘ্ন</v>
      </c>
    </row>
    <row r="4800">
      <c r="A4800" s="2" t="s">
        <v>6652</v>
      </c>
      <c r="B4800" s="3" t="str">
        <f>IFERROR(__xludf.DUMMYFUNCTION("GOOGLETRANSLATE(A4800, ""ar"", ""bn"")"),"obstructionism")</f>
        <v>obstructionism</v>
      </c>
    </row>
    <row r="4801">
      <c r="A4801" s="2" t="s">
        <v>5921</v>
      </c>
      <c r="B4801" s="3" t="str">
        <f>IFERROR(__xludf.DUMMYFUNCTION("GOOGLETRANSLATE(A4801, ""ar"", ""bn"")"),"অবমুক্ত")</f>
        <v>অবমুক্ত</v>
      </c>
    </row>
    <row r="4802">
      <c r="A4802" s="2" t="s">
        <v>6653</v>
      </c>
      <c r="B4802" s="3" t="str">
        <f>IFERROR(__xludf.DUMMYFUNCTION("GOOGLETRANSLATE(A4802, ""ar"", ""bn"")"),"বাধা")</f>
        <v>বাধা</v>
      </c>
    </row>
    <row r="4803">
      <c r="A4803" s="2" t="s">
        <v>6654</v>
      </c>
      <c r="B4803" s="3" t="str">
        <f>IFERROR(__xludf.DUMMYFUNCTION("GOOGLETRANSLATE(A4803, ""ar"", ""bn"")"),"বিঘ্ন")</f>
        <v>বিঘ্ন</v>
      </c>
    </row>
    <row r="4804">
      <c r="A4804" s="2" t="s">
        <v>6655</v>
      </c>
      <c r="B4804" s="3" t="str">
        <f>IFERROR(__xludf.DUMMYFUNCTION("GOOGLETRANSLATE(A4804, ""ar"", ""bn"")"),"আটকান অবস্থার")</f>
        <v>আটকান অবস্থার</v>
      </c>
    </row>
    <row r="4805">
      <c r="A4805" s="2" t="s">
        <v>5783</v>
      </c>
      <c r="B4805" s="3" t="str">
        <f>IFERROR(__xludf.DUMMYFUNCTION("GOOGLETRANSLATE(A4805, ""ar"", ""bn"")"),"বিঘ্ন")</f>
        <v>বিঘ্ন</v>
      </c>
    </row>
    <row r="4806">
      <c r="A4806" s="2" t="s">
        <v>6652</v>
      </c>
      <c r="B4806" s="3" t="str">
        <f>IFERROR(__xludf.DUMMYFUNCTION("GOOGLETRANSLATE(A4806, ""ar"", ""bn"")"),"obstructionism")</f>
        <v>obstructionism</v>
      </c>
    </row>
    <row r="4807">
      <c r="A4807" s="2" t="s">
        <v>5921</v>
      </c>
      <c r="B4807" s="3" t="str">
        <f>IFERROR(__xludf.DUMMYFUNCTION("GOOGLETRANSLATE(A4807, ""ar"", ""bn"")"),"অবমুক্ত")</f>
        <v>অবমুক্ত</v>
      </c>
    </row>
    <row r="4808">
      <c r="A4808" s="2" t="s">
        <v>3654</v>
      </c>
      <c r="B4808" s="3" t="str">
        <f>IFERROR(__xludf.DUMMYFUNCTION("GOOGLETRANSLATE(A4808, ""ar"", ""bn"")"),"একজন আগুন্তুক")</f>
        <v>একজন আগুন্তুক</v>
      </c>
    </row>
    <row r="4809">
      <c r="A4809" s="2" t="s">
        <v>6656</v>
      </c>
      <c r="B4809" s="3" t="str">
        <f>IFERROR(__xludf.DUMMYFUNCTION("GOOGLETRANSLATE(A4809, ""ar"", ""bn"")"),"Odder")</f>
        <v>Odder</v>
      </c>
    </row>
    <row r="4810">
      <c r="A4810" s="2" t="s">
        <v>3388</v>
      </c>
      <c r="B4810" s="3" t="str">
        <f>IFERROR(__xludf.DUMMYFUNCTION("GOOGLETRANSLATE(A4810, ""ar"", ""bn"")"),"অস্বাভাবিকরকমে")</f>
        <v>অস্বাভাবিকরকমে</v>
      </c>
    </row>
    <row r="4811">
      <c r="A4811" s="2" t="s">
        <v>6657</v>
      </c>
      <c r="B4811" s="3" t="str">
        <f>IFERROR(__xludf.DUMMYFUNCTION("GOOGLETRANSLATE(A4811, ""ar"", ""bn"")"),"সমকামিতা")</f>
        <v>সমকামিতা</v>
      </c>
    </row>
    <row r="4812">
      <c r="A4812" s="2" t="s">
        <v>3181</v>
      </c>
      <c r="B4812" s="3" t="str">
        <f>IFERROR(__xludf.DUMMYFUNCTION("GOOGLETRANSLATE(A4812, ""ar"", ""bn"")"),"অস্বাভাবিকতা")</f>
        <v>অস্বাভাবিকতা</v>
      </c>
    </row>
    <row r="4813">
      <c r="A4813" s="2" t="s">
        <v>6658</v>
      </c>
      <c r="B4813" s="3" t="str">
        <f>IFERROR(__xludf.DUMMYFUNCTION("GOOGLETRANSLATE(A4813, ""ar"", ""bn"")"),"বেশ ভাল")</f>
        <v>বেশ ভাল</v>
      </c>
    </row>
    <row r="4814">
      <c r="A4814" s="2" t="s">
        <v>6659</v>
      </c>
      <c r="B4814" s="3" t="str">
        <f>IFERROR(__xludf.DUMMYFUNCTION("GOOGLETRANSLATE(A4814, ""ar"", ""bn"")"),"টুকরা টাকরা")</f>
        <v>টুকরা টাকরা</v>
      </c>
    </row>
    <row r="4815">
      <c r="A4815" s="2" t="s">
        <v>3655</v>
      </c>
      <c r="B4815" s="3" t="str">
        <f>IFERROR(__xludf.DUMMYFUNCTION("GOOGLETRANSLATE(A4815, ""ar"", ""bn"")"),"অদ্ভুত")</f>
        <v>অদ্ভুত</v>
      </c>
    </row>
    <row r="4816">
      <c r="A4816" s="2" t="s">
        <v>4814</v>
      </c>
      <c r="B4816" s="3" t="str">
        <f>IFERROR(__xludf.DUMMYFUNCTION("GOOGLETRANSLATE(A4816, ""ar"", ""bn"")"),"বিতর্ক")</f>
        <v>বিতর্ক</v>
      </c>
    </row>
    <row r="4817">
      <c r="A4817" s="2" t="s">
        <v>3181</v>
      </c>
      <c r="B4817" s="3" t="str">
        <f>IFERROR(__xludf.DUMMYFUNCTION("GOOGLETRANSLATE(A4817, ""ar"", ""bn"")"),"অস্বাভাবিকতা")</f>
        <v>অস্বাভাবিকতা</v>
      </c>
    </row>
    <row r="4818">
      <c r="A4818" s="2" t="s">
        <v>4272</v>
      </c>
      <c r="B4818" s="3" t="str">
        <f>IFERROR(__xludf.DUMMYFUNCTION("GOOGLETRANSLATE(A4818, ""ar"", ""bn"")"),"একটি অপরাধ")</f>
        <v>একটি অপরাধ</v>
      </c>
    </row>
    <row r="4819">
      <c r="A4819" s="2" t="s">
        <v>6660</v>
      </c>
      <c r="B4819" s="3" t="str">
        <f>IFERROR(__xludf.DUMMYFUNCTION("GOOGLETRANSLATE(A4819, ""ar"", ""bn"")"),"অপরাধ")</f>
        <v>অপরাধ</v>
      </c>
    </row>
    <row r="4820">
      <c r="A4820" s="2" t="s">
        <v>3368</v>
      </c>
      <c r="B4820" s="3" t="str">
        <f>IFERROR(__xludf.DUMMYFUNCTION("GOOGLETRANSLATE(A4820, ""ar"", ""bn"")"),"রাগ")</f>
        <v>রাগ</v>
      </c>
    </row>
    <row r="4821">
      <c r="A4821" s="2" t="s">
        <v>4912</v>
      </c>
      <c r="B4821" s="3" t="str">
        <f>IFERROR(__xludf.DUMMYFUNCTION("GOOGLETRANSLATE(A4821, ""ar"", ""bn"")"),"মর্মাহত")</f>
        <v>মর্মাহত</v>
      </c>
    </row>
    <row r="4822">
      <c r="A4822" s="2" t="s">
        <v>4375</v>
      </c>
      <c r="B4822" s="3" t="str">
        <f>IFERROR(__xludf.DUMMYFUNCTION("GOOGLETRANSLATE(A4822, ""ar"", ""bn"")"),"অপরাধী")</f>
        <v>অপরাধী</v>
      </c>
    </row>
    <row r="4823">
      <c r="A4823" s="2" t="s">
        <v>4376</v>
      </c>
      <c r="B4823" s="3" t="str">
        <f>IFERROR(__xludf.DUMMYFUNCTION("GOOGLETRANSLATE(A4823, ""ar"", ""bn"")"),"অপরাধীদের")</f>
        <v>অপরাধীদের</v>
      </c>
    </row>
    <row r="4824">
      <c r="A4824" s="2" t="s">
        <v>6661</v>
      </c>
      <c r="B4824" s="3" t="str">
        <f>IFERROR(__xludf.DUMMYFUNCTION("GOOGLETRANSLATE(A4824, ""ar"", ""bn"")"),"বলাত্কারী")</f>
        <v>বলাত্কারী</v>
      </c>
    </row>
    <row r="4825">
      <c r="A4825" s="2" t="s">
        <v>6662</v>
      </c>
      <c r="B4825" s="3" t="str">
        <f>IFERROR(__xludf.DUMMYFUNCTION("GOOGLETRANSLATE(A4825, ""ar"", ""bn"")"),"অপব্যবহার")</f>
        <v>অপব্যবহার</v>
      </c>
    </row>
    <row r="4826">
      <c r="A4826" s="2" t="s">
        <v>4375</v>
      </c>
      <c r="B4826" s="3" t="str">
        <f>IFERROR(__xludf.DUMMYFUNCTION("GOOGLETRANSLATE(A4826, ""ar"", ""bn"")"),"অপরাধী")</f>
        <v>অপরাধী</v>
      </c>
    </row>
    <row r="4827">
      <c r="A4827" s="2" t="s">
        <v>4376</v>
      </c>
      <c r="B4827" s="3" t="str">
        <f>IFERROR(__xludf.DUMMYFUNCTION("GOOGLETRANSLATE(A4827, ""ar"", ""bn"")"),"অপরাধীদের")</f>
        <v>অপরাধীদের</v>
      </c>
    </row>
    <row r="4828">
      <c r="A4828" s="2" t="s">
        <v>3446</v>
      </c>
      <c r="B4828" s="3" t="str">
        <f>IFERROR(__xludf.DUMMYFUNCTION("GOOGLETRANSLATE(A4828, ""ar"", ""bn"")"),"আক্রমণ")</f>
        <v>আক্রমণ</v>
      </c>
    </row>
    <row r="4829">
      <c r="A4829" s="2" t="s">
        <v>6663</v>
      </c>
      <c r="B4829" s="3" t="str">
        <f>IFERROR(__xludf.DUMMYFUNCTION("GOOGLETRANSLATE(A4829, ""ar"", ""bn"")"),"আক্রমনাত্মক")</f>
        <v>আক্রমনাত্মক</v>
      </c>
    </row>
    <row r="4830">
      <c r="A4830" s="2" t="s">
        <v>3496</v>
      </c>
      <c r="B4830" s="3" t="str">
        <f>IFERROR(__xludf.DUMMYFUNCTION("GOOGLETRANSLATE(A4830, ""ar"", ""bn"")"),"আক্রোশ")</f>
        <v>আক্রোশ</v>
      </c>
    </row>
    <row r="4831">
      <c r="A4831" s="2" t="s">
        <v>3449</v>
      </c>
      <c r="B4831" s="3" t="str">
        <f>IFERROR(__xludf.DUMMYFUNCTION("GOOGLETRANSLATE(A4831, ""ar"", ""bn"")"),"আক্রমন")</f>
        <v>আক্রমন</v>
      </c>
    </row>
    <row r="4832">
      <c r="A4832" s="2" t="s">
        <v>6664</v>
      </c>
      <c r="B4832" s="3" t="str">
        <f>IFERROR(__xludf.DUMMYFUNCTION("GOOGLETRANSLATE(A4832, ""ar"", ""bn"")"),"অশুভ")</f>
        <v>অশুভ</v>
      </c>
    </row>
    <row r="4833">
      <c r="A4833" s="2" t="s">
        <v>6665</v>
      </c>
      <c r="B4833" s="3" t="str">
        <f>IFERROR(__xludf.DUMMYFUNCTION("GOOGLETRANSLATE(A4833, ""ar"", ""bn"")"),"আশঙ্কাজনকভাবে")</f>
        <v>আশঙ্কাজনকভাবে</v>
      </c>
    </row>
    <row r="4834">
      <c r="A4834" s="2" t="s">
        <v>6666</v>
      </c>
      <c r="B4834" s="3" t="str">
        <f>IFERROR(__xludf.DUMMYFUNCTION("GOOGLETRANSLATE(A4834, ""ar"", ""bn"")"),"অর্থ")</f>
        <v>অর্থ</v>
      </c>
    </row>
    <row r="4835">
      <c r="A4835" s="2" t="s">
        <v>6667</v>
      </c>
      <c r="B4835" s="3" t="str">
        <f>IFERROR(__xludf.DUMMYFUNCTION("GOOGLETRANSLATE(A4835, ""ar"", ""bn"")"),"মুছে ফেলা")</f>
        <v>মুছে ফেলা</v>
      </c>
    </row>
    <row r="4836">
      <c r="A4836" s="2" t="s">
        <v>6668</v>
      </c>
      <c r="B4836" s="3" t="str">
        <f>IFERROR(__xludf.DUMMYFUNCTION("GOOGLETRANSLATE(A4836, ""ar"", ""bn"")"),"উপেক্ষিত")</f>
        <v>উপেক্ষিত</v>
      </c>
    </row>
    <row r="4837">
      <c r="A4837" s="2" t="s">
        <v>3930</v>
      </c>
      <c r="B4837" s="3" t="str">
        <f>IFERROR(__xludf.DUMMYFUNCTION("GOOGLETRANSLATE(A4837, ""ar"", ""bn"")"),"উদ্বেগহীন")</f>
        <v>উদ্বেগহীন</v>
      </c>
    </row>
    <row r="4838">
      <c r="A4838" s="2" t="s">
        <v>4542</v>
      </c>
      <c r="B4838" s="3" t="str">
        <f>IFERROR(__xludf.DUMMYFUNCTION("GOOGLETRANSLATE(A4838, ""ar"", ""bn"")"),"অমর্যাদাপূর্ণ")</f>
        <v>অমর্যাদাপূর্ণ</v>
      </c>
    </row>
    <row r="4839">
      <c r="A4839" s="2" t="s">
        <v>6648</v>
      </c>
      <c r="B4839" s="3" t="str">
        <f>IFERROR(__xludf.DUMMYFUNCTION("GOOGLETRANSLATE(A4839, ""ar"", ""bn"")"),"একগুঁয়ে")</f>
        <v>একগুঁয়ে</v>
      </c>
    </row>
    <row r="4840">
      <c r="A4840" s="2" t="s">
        <v>6669</v>
      </c>
      <c r="B4840" s="3" t="str">
        <f>IFERROR(__xludf.DUMMYFUNCTION("GOOGLETRANSLATE(A4840, ""ar"", ""bn"")"),"ডিসকাউন্ট")</f>
        <v>ডিসকাউন্ট</v>
      </c>
    </row>
    <row r="4841">
      <c r="A4841" s="2" t="s">
        <v>6670</v>
      </c>
      <c r="B4841" s="3" t="str">
        <f>IFERROR(__xludf.DUMMYFUNCTION("GOOGLETRANSLATE(A4841, ""ar"", ""bn"")"),"বিরোধীরা")</f>
        <v>বিরোধীরা</v>
      </c>
    </row>
    <row r="4842">
      <c r="A4842" s="2" t="s">
        <v>6671</v>
      </c>
      <c r="B4842" s="3" t="str">
        <f>IFERROR(__xludf.DUMMYFUNCTION("GOOGLETRANSLATE(A4842, ""ar"", ""bn"")"),"প্রদর্শক")</f>
        <v>প্রদর্শক</v>
      </c>
    </row>
    <row r="4843">
      <c r="A4843" s="2" t="s">
        <v>4939</v>
      </c>
      <c r="B4843" s="3" t="str">
        <f>IFERROR(__xludf.DUMMYFUNCTION("GOOGLETRANSLATE(A4843, ""ar"", ""bn"")"),"বিরোধী")</f>
        <v>বিরোধী</v>
      </c>
    </row>
    <row r="4844">
      <c r="A4844" s="2" t="s">
        <v>4193</v>
      </c>
      <c r="B4844" s="3" t="str">
        <f>IFERROR(__xludf.DUMMYFUNCTION("GOOGLETRANSLATE(A4844, ""ar"", ""bn"")"),"অসম্মত")</f>
        <v>অসম্মত</v>
      </c>
    </row>
    <row r="4845">
      <c r="A4845" s="2" t="s">
        <v>4936</v>
      </c>
      <c r="B4845" s="3" t="str">
        <f>IFERROR(__xludf.DUMMYFUNCTION("GOOGLETRANSLATE(A4845, ""ar"", ""bn"")"),"বিরোধী দল")</f>
        <v>বিরোধী দল</v>
      </c>
    </row>
    <row r="4846">
      <c r="A4846" s="2" t="s">
        <v>6672</v>
      </c>
      <c r="B4846" s="3" t="str">
        <f>IFERROR(__xludf.DUMMYFUNCTION("GOOGLETRANSLATE(A4846, ""ar"", ""bn"")"),"বিরোধী দল")</f>
        <v>বিরোধী দল</v>
      </c>
    </row>
    <row r="4847">
      <c r="A4847" s="2" t="s">
        <v>6673</v>
      </c>
      <c r="B4847" s="3" t="str">
        <f>IFERROR(__xludf.DUMMYFUNCTION("GOOGLETRANSLATE(A4847, ""ar"", ""bn"")"),"বিরোধীদল")</f>
        <v>বিরোধীদল</v>
      </c>
    </row>
    <row r="4848">
      <c r="A4848" s="2" t="s">
        <v>6674</v>
      </c>
      <c r="B4848" s="3" t="str">
        <f>IFERROR(__xludf.DUMMYFUNCTION("GOOGLETRANSLATE(A4848, ""ar"", ""bn"")"),"পক্ষপাতদুষ্টতা")</f>
        <v>পক্ষপাতদুষ্টতা</v>
      </c>
    </row>
    <row r="4849">
      <c r="A4849" s="2" t="s">
        <v>6675</v>
      </c>
      <c r="B4849" s="3" t="str">
        <f>IFERROR(__xludf.DUMMYFUNCTION("GOOGLETRANSLATE(A4849, ""ar"", ""bn"")"),"অত্যাচারিত")</f>
        <v>অত্যাচারিত</v>
      </c>
    </row>
    <row r="4850">
      <c r="A4850" s="2" t="s">
        <v>6676</v>
      </c>
      <c r="B4850" s="3" t="str">
        <f>IFERROR(__xludf.DUMMYFUNCTION("GOOGLETRANSLATE(A4850, ""ar"", ""bn"")"),"তাড়না")</f>
        <v>তাড়না</v>
      </c>
    </row>
    <row r="4851">
      <c r="A4851" s="2" t="s">
        <v>6677</v>
      </c>
      <c r="B4851" s="3" t="str">
        <f>IFERROR(__xludf.DUMMYFUNCTION("GOOGLETRANSLATE(A4851, ""ar"", ""bn"")"),"অন্যায়।")</f>
        <v>অন্যায়।</v>
      </c>
    </row>
    <row r="4852">
      <c r="A4852" s="2" t="s">
        <v>6678</v>
      </c>
      <c r="B4852" s="3" t="str">
        <f>IFERROR(__xludf.DUMMYFUNCTION("GOOGLETRANSLATE(A4852, ""ar"", ""bn"")"),"নিপীড়ন")</f>
        <v>নিপীড়ন</v>
      </c>
    </row>
    <row r="4853">
      <c r="A4853" s="2" t="s">
        <v>6679</v>
      </c>
      <c r="B4853" s="3" t="str">
        <f>IFERROR(__xludf.DUMMYFUNCTION("GOOGLETRANSLATE(A4853, ""ar"", ""bn"")"),"দমন")</f>
        <v>দমন</v>
      </c>
    </row>
    <row r="4854">
      <c r="A4854" s="2" t="s">
        <v>6680</v>
      </c>
      <c r="B4854" s="3" t="str">
        <f>IFERROR(__xludf.DUMMYFUNCTION("GOOGLETRANSLATE(A4854, ""ar"", ""bn"")"),"অন্যায্য")</f>
        <v>অন্যায্য</v>
      </c>
    </row>
    <row r="4855">
      <c r="A4855" s="2" t="s">
        <v>6681</v>
      </c>
      <c r="B4855" s="3" t="str">
        <f>IFERROR(__xludf.DUMMYFUNCTION("GOOGLETRANSLATE(A4855, ""ar"", ""bn"")"),"অবিচার")</f>
        <v>অবিচার</v>
      </c>
    </row>
    <row r="4856">
      <c r="A4856" s="2" t="s">
        <v>6678</v>
      </c>
      <c r="B4856" s="3" t="str">
        <f>IFERROR(__xludf.DUMMYFUNCTION("GOOGLETRANSLATE(A4856, ""ar"", ""bn"")"),"নিপীড়ন")</f>
        <v>নিপীড়ন</v>
      </c>
    </row>
    <row r="4857">
      <c r="A4857" s="2" t="s">
        <v>6682</v>
      </c>
      <c r="B4857" s="3" t="str">
        <f>IFERROR(__xludf.DUMMYFUNCTION("GOOGLETRANSLATE(A4857, ""ar"", ""bn"")"),"অত্যাচারী")</f>
        <v>অত্যাচারী</v>
      </c>
    </row>
    <row r="4858">
      <c r="A4858" s="2" t="s">
        <v>6683</v>
      </c>
      <c r="B4858" s="3" t="str">
        <f>IFERROR(__xludf.DUMMYFUNCTION("GOOGLETRANSLATE(A4858, ""ar"", ""bn"")"),"অত্যাচারী")</f>
        <v>অত্যাচারী</v>
      </c>
    </row>
    <row r="4859">
      <c r="A4859" s="2" t="s">
        <v>3278</v>
      </c>
      <c r="B4859" s="3" t="str">
        <f>IFERROR(__xludf.DUMMYFUNCTION("GOOGLETRANSLATE(A4859, ""ar"", ""bn"")"),"কঠোর পরীক্ষা")</f>
        <v>কঠোর পরীক্ষা</v>
      </c>
    </row>
    <row r="4860">
      <c r="A4860" s="2" t="s">
        <v>3277</v>
      </c>
      <c r="B4860" s="3" t="str">
        <f>IFERROR(__xludf.DUMMYFUNCTION("GOOGLETRANSLATE(A4860, ""ar"", ""bn"")"),"দুর্দশাগুলোর")</f>
        <v>দুর্দশাগুলোর</v>
      </c>
    </row>
    <row r="4861">
      <c r="A4861" s="2" t="s">
        <v>5326</v>
      </c>
      <c r="B4861" s="3" t="str">
        <f>IFERROR(__xludf.DUMMYFUNCTION("GOOGLETRANSLATE(A4861, ""ar"", ""bn"")"),"অনাথ")</f>
        <v>অনাথ</v>
      </c>
    </row>
    <row r="4862">
      <c r="A4862" s="2" t="s">
        <v>6684</v>
      </c>
      <c r="B4862" s="3" t="str">
        <f>IFERROR(__xludf.DUMMYFUNCTION("GOOGLETRANSLATE(A4862, ""ar"", ""bn"")"),"অনাথাশ্রম")</f>
        <v>অনাথাশ্রম</v>
      </c>
    </row>
    <row r="4863">
      <c r="A4863" s="2" t="s">
        <v>6685</v>
      </c>
      <c r="B4863" s="3" t="str">
        <f>IFERROR(__xludf.DUMMYFUNCTION("GOOGLETRANSLATE(A4863, ""ar"", ""bn"")"),"এতিমদের ভূমিকা")</f>
        <v>এতিমদের ভূমিকা</v>
      </c>
    </row>
    <row r="4864">
      <c r="A4864" s="2" t="s">
        <v>6686</v>
      </c>
      <c r="B4864" s="3" t="str">
        <f>IFERROR(__xludf.DUMMYFUNCTION("GOOGLETRANSLATE(A4864, ""ar"", ""bn"")"),"এতিমদের")</f>
        <v>এতিমদের</v>
      </c>
    </row>
    <row r="4865">
      <c r="A4865" s="2" t="s">
        <v>6687</v>
      </c>
      <c r="B4865" s="3" t="str">
        <f>IFERROR(__xludf.DUMMYFUNCTION("GOOGLETRANSLATE(A4865, ""ar"", ""bn"")"),"এতিমদের")</f>
        <v>এতিমদের</v>
      </c>
    </row>
    <row r="4866">
      <c r="A4866" s="2" t="s">
        <v>5185</v>
      </c>
      <c r="B4866" s="3" t="str">
        <f>IFERROR(__xludf.DUMMYFUNCTION("GOOGLETRANSLATE(A4866, ""ar"", ""bn"")"),"পদাঘাত")</f>
        <v>পদাঘাত</v>
      </c>
    </row>
    <row r="4867">
      <c r="A4867" s="2" t="s">
        <v>4600</v>
      </c>
      <c r="B4867" s="3" t="str">
        <f>IFERROR(__xludf.DUMMYFUNCTION("GOOGLETRANSLATE(A4867, ""ar"", ""bn"")"),"বেদখল")</f>
        <v>বেদখল</v>
      </c>
    </row>
    <row r="4868">
      <c r="A4868" s="2" t="s">
        <v>5185</v>
      </c>
      <c r="B4868" s="3" t="str">
        <f>IFERROR(__xludf.DUMMYFUNCTION("GOOGLETRANSLATE(A4868, ""ar"", ""bn"")"),"পদাঘাত")</f>
        <v>পদাঘাত</v>
      </c>
    </row>
    <row r="4869">
      <c r="A4869" s="2" t="s">
        <v>6688</v>
      </c>
      <c r="B4869" s="3" t="str">
        <f>IFERROR(__xludf.DUMMYFUNCTION("GOOGLETRANSLATE(A4869, ""ar"", ""bn"")"),"পরাস্ত")</f>
        <v>পরাস্ত</v>
      </c>
    </row>
    <row r="4870">
      <c r="A4870" s="2" t="s">
        <v>6689</v>
      </c>
      <c r="B4870" s="3" t="str">
        <f>IFERROR(__xludf.DUMMYFUNCTION("GOOGLETRANSLATE(A4870, ""ar"", ""bn"")"),"Ousts")</f>
        <v>Ousts</v>
      </c>
    </row>
    <row r="4871">
      <c r="A4871" s="2" t="s">
        <v>6690</v>
      </c>
      <c r="B4871" s="3" t="str">
        <f>IFERROR(__xludf.DUMMYFUNCTION("GOOGLETRANSLATE(A4871, ""ar"", ""bn"")"),"প্রাদুর্ভাব")</f>
        <v>প্রাদুর্ভাব</v>
      </c>
    </row>
    <row r="4872">
      <c r="A4872" s="2" t="s">
        <v>6691</v>
      </c>
      <c r="B4872" s="3" t="str">
        <f>IFERROR(__xludf.DUMMYFUNCTION("GOOGLETRANSLATE(A4872, ""ar"", ""bn"")"),"ছড়িয়ে পড়া")</f>
        <v>ছড়িয়ে পড়া</v>
      </c>
    </row>
    <row r="4873">
      <c r="A4873" s="2" t="s">
        <v>6692</v>
      </c>
      <c r="B4873" s="3" t="str">
        <f>IFERROR(__xludf.DUMMYFUNCTION("GOOGLETRANSLATE(A4873, ""ar"", ""bn"")"),"বিস্ফোরণ")</f>
        <v>বিস্ফোরণ</v>
      </c>
    </row>
    <row r="4874">
      <c r="A4874" s="2" t="s">
        <v>5243</v>
      </c>
      <c r="B4874" s="3" t="str">
        <f>IFERROR(__xludf.DUMMYFUNCTION("GOOGLETRANSLATE(A4874, ""ar"", ""bn"")"),"বিস্ফোরণ")</f>
        <v>বিস্ফোরণ</v>
      </c>
    </row>
    <row r="4875">
      <c r="A4875" s="2" t="s">
        <v>5453</v>
      </c>
      <c r="B4875" s="3" t="str">
        <f>IFERROR(__xludf.DUMMYFUNCTION("GOOGLETRANSLATE(A4875, ""ar"", ""bn"")"),"পরিত্যক্ত")</f>
        <v>পরিত্যক্ত</v>
      </c>
    </row>
    <row r="4876">
      <c r="A4876" s="2" t="s">
        <v>6693</v>
      </c>
      <c r="B4876" s="3" t="str">
        <f>IFERROR(__xludf.DUMMYFUNCTION("GOOGLETRANSLATE(A4876, ""ar"", ""bn"")"),"দেশত্যাগে বাধ্য")</f>
        <v>দেশত্যাগে বাধ্য</v>
      </c>
    </row>
    <row r="4877">
      <c r="A4877" s="2" t="s">
        <v>6694</v>
      </c>
      <c r="B4877" s="3" t="str">
        <f>IFERROR(__xludf.DUMMYFUNCTION("GOOGLETRANSLATE(A4877, ""ar"", ""bn"")"),"আপত্তি")</f>
        <v>আপত্তি</v>
      </c>
    </row>
    <row r="4878">
      <c r="A4878" s="2" t="s">
        <v>6695</v>
      </c>
      <c r="B4878" s="3" t="str">
        <f>IFERROR(__xludf.DUMMYFUNCTION("GOOGLETRANSLATE(A4878, ""ar"", ""bn"")"),"নিষিদ্ধ")</f>
        <v>নিষিদ্ধ</v>
      </c>
    </row>
    <row r="4879">
      <c r="A4879" s="2" t="s">
        <v>6696</v>
      </c>
      <c r="B4879" s="3" t="str">
        <f>IFERROR(__xludf.DUMMYFUNCTION("GOOGLETRANSLATE(A4879, ""ar"", ""bn"")"),"নিষিদ্ধ")</f>
        <v>নিষিদ্ধ</v>
      </c>
    </row>
    <row r="4880">
      <c r="A4880" s="2" t="s">
        <v>6697</v>
      </c>
      <c r="B4880" s="3" t="str">
        <f>IFERROR(__xludf.DUMMYFUNCTION("GOOGLETRANSLATE(A4880, ""ar"", ""bn"")"),"নিষিদ্ধ")</f>
        <v>নিষিদ্ধ</v>
      </c>
    </row>
    <row r="4881">
      <c r="A4881" s="2" t="s">
        <v>6698</v>
      </c>
      <c r="B4881" s="3" t="str">
        <f>IFERROR(__xludf.DUMMYFUNCTION("GOOGLETRANSLATE(A4881, ""ar"", ""bn"")"),"নিষেধাজ্ঞা")</f>
        <v>নিষেধাজ্ঞা</v>
      </c>
    </row>
    <row r="4882">
      <c r="A4882" s="2" t="s">
        <v>6699</v>
      </c>
      <c r="B4882" s="3" t="str">
        <f>IFERROR(__xludf.DUMMYFUNCTION("GOOGLETRANSLATE(A4882, ""ar"", ""bn"")"),"অবৈধ ঘোষণা")</f>
        <v>অবৈধ ঘোষণা</v>
      </c>
    </row>
    <row r="4883">
      <c r="A4883" s="2" t="s">
        <v>3368</v>
      </c>
      <c r="B4883" s="3" t="str">
        <f>IFERROR(__xludf.DUMMYFUNCTION("GOOGLETRANSLATE(A4883, ""ar"", ""bn"")"),"রাগ")</f>
        <v>রাগ</v>
      </c>
    </row>
    <row r="4884">
      <c r="A4884" s="2" t="s">
        <v>3368</v>
      </c>
      <c r="B4884" s="3" t="str">
        <f>IFERROR(__xludf.DUMMYFUNCTION("GOOGLETRANSLATE(A4884, ""ar"", ""bn"")"),"রাগ")</f>
        <v>রাগ</v>
      </c>
    </row>
    <row r="4885">
      <c r="A4885" s="2" t="s">
        <v>6700</v>
      </c>
      <c r="B4885" s="3" t="str">
        <f>IFERROR(__xludf.DUMMYFUNCTION("GOOGLETRANSLATE(A4885, ""ar"", ""bn"")"),"ভয়ানক")</f>
        <v>ভয়ানক</v>
      </c>
    </row>
    <row r="4886">
      <c r="A4886" s="2" t="s">
        <v>5763</v>
      </c>
      <c r="B4886" s="3" t="str">
        <f>IFERROR(__xludf.DUMMYFUNCTION("GOOGLETRANSLATE(A4886, ""ar"", ""bn"")"),"জঘন্য")</f>
        <v>জঘন্য</v>
      </c>
    </row>
    <row r="4887">
      <c r="A4887" s="2" t="s">
        <v>3217</v>
      </c>
      <c r="B4887" s="3" t="str">
        <f>IFERROR(__xludf.DUMMYFUNCTION("GOOGLETRANSLATE(A4887, ""ar"", ""bn"")"),"হামলা")</f>
        <v>হামলা</v>
      </c>
    </row>
    <row r="4888">
      <c r="A4888" s="2" t="s">
        <v>6701</v>
      </c>
      <c r="B4888" s="3" t="str">
        <f>IFERROR(__xludf.DUMMYFUNCTION("GOOGLETRANSLATE(A4888, ""ar"", ""bn"")"),"কুপিত")</f>
        <v>কুপিত</v>
      </c>
    </row>
    <row r="4889">
      <c r="A4889" s="2" t="s">
        <v>3654</v>
      </c>
      <c r="B4889" s="3" t="str">
        <f>IFERROR(__xludf.DUMMYFUNCTION("GOOGLETRANSLATE(A4889, ""ar"", ""bn"")"),"একজন আগুন্তুক")</f>
        <v>একজন আগুন্তুক</v>
      </c>
    </row>
    <row r="4890">
      <c r="A4890" s="2" t="s">
        <v>6702</v>
      </c>
      <c r="B4890" s="3" t="str">
        <f>IFERROR(__xludf.DUMMYFUNCTION("GOOGLETRANSLATE(A4890, ""ar"", ""bn"")"),"অপরিচিত")</f>
        <v>অপরিচিত</v>
      </c>
    </row>
    <row r="4891">
      <c r="A4891" s="2" t="s">
        <v>3421</v>
      </c>
      <c r="B4891" s="3" t="str">
        <f>IFERROR(__xludf.DUMMYFUNCTION("GOOGLETRANSLATE(A4891, ""ar"", ""bn"")"),"অহংকারী")</f>
        <v>অহংকারী</v>
      </c>
    </row>
    <row r="4892">
      <c r="A4892" s="2" t="s">
        <v>6703</v>
      </c>
      <c r="B4892" s="3" t="str">
        <f>IFERROR(__xludf.DUMMYFUNCTION("GOOGLETRANSLATE(A4892, ""ar"", ""bn"")"),"বন্যা")</f>
        <v>বন্যা</v>
      </c>
    </row>
    <row r="4893">
      <c r="A4893" s="2" t="s">
        <v>6704</v>
      </c>
      <c r="B4893" s="3" t="str">
        <f>IFERROR(__xludf.DUMMYFUNCTION("GOOGLETRANSLATE(A4893, ""ar"", ""bn"")"),"উদ্বেলিত")</f>
        <v>উদ্বেলিত</v>
      </c>
    </row>
    <row r="4894">
      <c r="A4894" s="2" t="s">
        <v>6705</v>
      </c>
      <c r="B4894" s="3" t="str">
        <f>IFERROR(__xludf.DUMMYFUNCTION("GOOGLETRANSLATE(A4894, ""ar"", ""bn"")"),"পরিপূর্ণ")</f>
        <v>পরিপূর্ণ</v>
      </c>
    </row>
    <row r="4895">
      <c r="A4895" s="2" t="s">
        <v>6706</v>
      </c>
      <c r="B4895" s="3" t="str">
        <f>IFERROR(__xludf.DUMMYFUNCTION("GOOGLETRANSLATE(A4895, ""ar"", ""bn"")"),"উপর দিয়ে উড়ে")</f>
        <v>উপর দিয়ে উড়ে</v>
      </c>
    </row>
    <row r="4896">
      <c r="A4896" s="2" t="s">
        <v>6707</v>
      </c>
      <c r="B4896" s="3" t="str">
        <f>IFERROR(__xludf.DUMMYFUNCTION("GOOGLETRANSLATE(A4896, ""ar"", ""bn"")"),"বাহুল্যও")</f>
        <v>বাহুল্যও</v>
      </c>
    </row>
    <row r="4897">
      <c r="A4897" s="2" t="s">
        <v>6708</v>
      </c>
      <c r="B4897" s="3" t="str">
        <f>IFERROR(__xludf.DUMMYFUNCTION("GOOGLETRANSLATE(A4897, ""ar"", ""bn"")"),"Overlook")</f>
        <v>Overlook</v>
      </c>
    </row>
    <row r="4898">
      <c r="A4898" s="2" t="s">
        <v>6709</v>
      </c>
      <c r="B4898" s="3" t="str">
        <f>IFERROR(__xludf.DUMMYFUNCTION("GOOGLETRANSLATE(A4898, ""ar"", ""bn"")"),"উপেক্ষিত")</f>
        <v>উপেক্ষিত</v>
      </c>
    </row>
    <row r="4899">
      <c r="A4899" s="2" t="s">
        <v>6710</v>
      </c>
      <c r="B4899" s="3" t="str">
        <f>IFERROR(__xludf.DUMMYFUNCTION("GOOGLETRANSLATE(A4899, ""ar"", ""bn"")"),"দেখা")</f>
        <v>দেখা</v>
      </c>
    </row>
    <row r="4900">
      <c r="A4900" s="2" t="s">
        <v>6711</v>
      </c>
      <c r="B4900" s="3" t="str">
        <f>IFERROR(__xludf.DUMMYFUNCTION("GOOGLETRANSLATE(A4900, ""ar"", ""bn"")"),"দেখা")</f>
        <v>দেখা</v>
      </c>
    </row>
    <row r="4901">
      <c r="A4901" s="2" t="s">
        <v>4498</v>
      </c>
      <c r="B4901" s="3" t="str">
        <f>IFERROR(__xludf.DUMMYFUNCTION("GOOGLETRANSLATE(A4901, ""ar"", ""bn"")"),"জয় করো")</f>
        <v>জয় করো</v>
      </c>
    </row>
    <row r="4902">
      <c r="A4902" s="2" t="s">
        <v>6712</v>
      </c>
      <c r="B4902" s="3" t="str">
        <f>IFERROR(__xludf.DUMMYFUNCTION("GOOGLETRANSLATE(A4902, ""ar"", ""bn"")"),"পরাভূত")</f>
        <v>পরাভূত</v>
      </c>
    </row>
    <row r="4903">
      <c r="A4903" s="2" t="s">
        <v>6713</v>
      </c>
      <c r="B4903" s="3" t="str">
        <f>IFERROR(__xludf.DUMMYFUNCTION("GOOGLETRANSLATE(A4903, ""ar"", ""bn"")"),"অত্যাচারী")</f>
        <v>অত্যাচারী</v>
      </c>
    </row>
    <row r="4904">
      <c r="A4904" s="2" t="s">
        <v>6714</v>
      </c>
      <c r="B4904" s="3" t="str">
        <f>IFERROR(__xludf.DUMMYFUNCTION("GOOGLETRANSLATE(A4904, ""ar"", ""bn"")"),"Jabara")</f>
        <v>Jabara</v>
      </c>
    </row>
    <row r="4905">
      <c r="A4905" s="2" t="s">
        <v>6715</v>
      </c>
      <c r="B4905" s="3" t="str">
        <f>IFERROR(__xludf.DUMMYFUNCTION("GOOGLETRANSLATE(A4905, ""ar"", ""bn"")"),"অপরাজেয়")</f>
        <v>অপরাজেয়</v>
      </c>
    </row>
    <row r="4906">
      <c r="A4906" s="2" t="s">
        <v>5111</v>
      </c>
      <c r="B4906" s="3" t="str">
        <f>IFERROR(__xludf.DUMMYFUNCTION("GOOGLETRANSLATE(A4906, ""ar"", ""bn"")"),"পদদলিত করা")</f>
        <v>পদদলিত করা</v>
      </c>
    </row>
    <row r="4907">
      <c r="A4907" s="2" t="s">
        <v>6716</v>
      </c>
      <c r="B4907" s="3" t="str">
        <f>IFERROR(__xludf.DUMMYFUNCTION("GOOGLETRANSLATE(A4907, ""ar"", ""bn"")"),"আক্রমণ")</f>
        <v>আক্রমণ</v>
      </c>
    </row>
    <row r="4908">
      <c r="A4908" s="2" t="s">
        <v>5204</v>
      </c>
      <c r="B4908" s="3" t="str">
        <f>IFERROR(__xludf.DUMMYFUNCTION("GOOGLETRANSLATE(A4908, ""ar"", ""bn"")"),"বাহুল্যও")</f>
        <v>বাহুল্যও</v>
      </c>
    </row>
    <row r="4909">
      <c r="A4909" s="2" t="s">
        <v>6717</v>
      </c>
      <c r="B4909" s="3" t="str">
        <f>IFERROR(__xludf.DUMMYFUNCTION("GOOGLETRANSLATE(A4909, ""ar"", ""bn"")"),"নিয়ন্ত্রণ")</f>
        <v>নিয়ন্ত্রণ</v>
      </c>
    </row>
    <row r="4910">
      <c r="A4910" s="2" t="s">
        <v>6666</v>
      </c>
      <c r="B4910" s="3" t="str">
        <f>IFERROR(__xludf.DUMMYFUNCTION("GOOGLETRANSLATE(A4910, ""ar"", ""bn"")"),"অর্থ")</f>
        <v>অর্থ</v>
      </c>
    </row>
    <row r="4911">
      <c r="A4911" s="2" t="s">
        <v>6718</v>
      </c>
      <c r="B4911" s="3" t="str">
        <f>IFERROR(__xludf.DUMMYFUNCTION("GOOGLETRANSLATE(A4911, ""ar"", ""bn"")"),"হৃদয়")</f>
        <v>হৃদয়</v>
      </c>
    </row>
    <row r="4912">
      <c r="A4912" s="2" t="s">
        <v>6719</v>
      </c>
      <c r="B4912" s="3" t="str">
        <f>IFERROR(__xludf.DUMMYFUNCTION("GOOGLETRANSLATE(A4912, ""ar"", ""bn"")"),"পরাস্ত")</f>
        <v>পরাস্ত</v>
      </c>
    </row>
    <row r="4913">
      <c r="A4913" s="2" t="s">
        <v>6720</v>
      </c>
      <c r="B4913" s="3" t="str">
        <f>IFERROR(__xludf.DUMMYFUNCTION("GOOGLETRANSLATE(A4913, ""ar"", ""bn"")"),"নিপাতিত")</f>
        <v>নিপাতিত</v>
      </c>
    </row>
    <row r="4914">
      <c r="A4914" s="2" t="s">
        <v>6721</v>
      </c>
      <c r="B4914" s="3" t="str">
        <f>IFERROR(__xludf.DUMMYFUNCTION("GOOGLETRANSLATE(A4914, ""ar"", ""bn"")"),"অভ্যুত্থান")</f>
        <v>অভ্যুত্থান</v>
      </c>
    </row>
    <row r="4915">
      <c r="A4915" s="2" t="s">
        <v>6718</v>
      </c>
      <c r="B4915" s="3" t="str">
        <f>IFERROR(__xludf.DUMMYFUNCTION("GOOGLETRANSLATE(A4915, ""ar"", ""bn"")"),"হৃদয়")</f>
        <v>হৃদয়</v>
      </c>
    </row>
    <row r="4916">
      <c r="A4916" s="2" t="s">
        <v>6722</v>
      </c>
      <c r="B4916" s="3" t="str">
        <f>IFERROR(__xludf.DUMMYFUNCTION("GOOGLETRANSLATE(A4916, ""ar"", ""bn"")"),"উল্টে")</f>
        <v>উল্টে</v>
      </c>
    </row>
    <row r="4917">
      <c r="A4917" s="2" t="s">
        <v>6718</v>
      </c>
      <c r="B4917" s="3" t="str">
        <f>IFERROR(__xludf.DUMMYFUNCTION("GOOGLETRANSLATE(A4917, ""ar"", ""bn"")"),"হৃদয়")</f>
        <v>হৃদয়</v>
      </c>
    </row>
    <row r="4918">
      <c r="A4918" s="2" t="s">
        <v>6723</v>
      </c>
      <c r="B4918" s="3" t="str">
        <f>IFERROR(__xludf.DUMMYFUNCTION("GOOGLETRANSLATE(A4918, ""ar"", ""bn"")"),"উপর টুসকি")</f>
        <v>উপর টুসকি</v>
      </c>
    </row>
    <row r="4919">
      <c r="A4919" s="2" t="s">
        <v>6724</v>
      </c>
      <c r="B4919" s="3" t="str">
        <f>IFERROR(__xludf.DUMMYFUNCTION("GOOGLETRANSLATE(A4919, ""ar"", ""bn"")"),"প্রয়োজনাতিরিক্ত ত্তজন")</f>
        <v>প্রয়োজনাতিরিক্ত ত্তজন</v>
      </c>
    </row>
    <row r="4920">
      <c r="A4920" s="2" t="s">
        <v>4344</v>
      </c>
      <c r="B4920" s="3" t="str">
        <f>IFERROR(__xludf.DUMMYFUNCTION("GOOGLETRANSLATE(A4920, ""ar"", ""bn"")"),"পিষা")</f>
        <v>পিষা</v>
      </c>
    </row>
    <row r="4921">
      <c r="A4921" s="2" t="s">
        <v>6725</v>
      </c>
      <c r="B4921" s="3" t="str">
        <f>IFERROR(__xludf.DUMMYFUNCTION("GOOGLETRANSLATE(A4921, ""ar"", ""bn"")"),"গরগর")</f>
        <v>গরগর</v>
      </c>
    </row>
    <row r="4922">
      <c r="A4922" s="2" t="s">
        <v>4350</v>
      </c>
      <c r="B4922" s="3" t="str">
        <f>IFERROR(__xludf.DUMMYFUNCTION("GOOGLETRANSLATE(A4922, ""ar"", ""bn"")"),"অপ্রতিরোধ্য")</f>
        <v>অপ্রতিরোধ্য</v>
      </c>
    </row>
    <row r="4923">
      <c r="A4923" s="2" t="s">
        <v>6726</v>
      </c>
      <c r="B4923" s="3" t="str">
        <f>IFERROR(__xludf.DUMMYFUNCTION("GOOGLETRANSLATE(A4923, ""ar"", ""bn"")"),"অপ্রতিরোধ্য সংখ্যাগরিষ্ঠ দ্বারা")</f>
        <v>অপ্রতিরোধ্য সংখ্যাগরিষ্ঠ দ্বারা</v>
      </c>
    </row>
    <row r="4924">
      <c r="A4924" s="2" t="s">
        <v>6727</v>
      </c>
      <c r="B4924" s="3" t="str">
        <f>IFERROR(__xludf.DUMMYFUNCTION("GOOGLETRANSLATE(A4924, ""ar"", ""bn"")"),"উপর ঝাঁকনি")</f>
        <v>উপর ঝাঁকনি</v>
      </c>
    </row>
    <row r="4925">
      <c r="A4925" s="2" t="s">
        <v>6728</v>
      </c>
      <c r="B4925" s="3" t="str">
        <f>IFERROR(__xludf.DUMMYFUNCTION("GOOGLETRANSLATE(A4925, ""ar"", ""bn"")"),"অবসাদ")</f>
        <v>অবসাদ</v>
      </c>
    </row>
    <row r="4926">
      <c r="A4926" s="2" t="s">
        <v>5225</v>
      </c>
      <c r="B4926" s="3" t="str">
        <f>IFERROR(__xludf.DUMMYFUNCTION("GOOGLETRANSLATE(A4926, ""ar"", ""bn"")"),"ক্লান্ত")</f>
        <v>ক্লান্ত</v>
      </c>
    </row>
    <row r="4927">
      <c r="A4927" s="2" t="s">
        <v>6729</v>
      </c>
      <c r="B4927" s="3" t="str">
        <f>IFERROR(__xludf.DUMMYFUNCTION("GOOGLETRANSLATE(A4927, ""ar"", ""bn"")"),"অবসাদ")</f>
        <v>অবসাদ</v>
      </c>
    </row>
    <row r="4928">
      <c r="A4928" s="2" t="s">
        <v>6730</v>
      </c>
      <c r="B4928" s="3" t="str">
        <f>IFERROR(__xludf.DUMMYFUNCTION("GOOGLETRANSLATE(A4928, ""ar"", ""bn"")"),"আমরা নিন্দা")</f>
        <v>আমরা নিন্দা</v>
      </c>
    </row>
    <row r="4929">
      <c r="A4929" s="2" t="s">
        <v>6731</v>
      </c>
      <c r="B4929" s="3" t="str">
        <f>IFERROR(__xludf.DUMMYFUNCTION("GOOGLETRANSLATE(A4929, ""ar"", ""bn"")"),"বাকি")</f>
        <v>বাকি</v>
      </c>
    </row>
    <row r="4930">
      <c r="A4930" s="2" t="s">
        <v>4460</v>
      </c>
      <c r="B4930" s="3" t="str">
        <f>IFERROR(__xludf.DUMMYFUNCTION("GOOGLETRANSLATE(A4930, ""ar"", ""bn"")"),"খাতক")</f>
        <v>খাতক</v>
      </c>
    </row>
    <row r="4931">
      <c r="A4931" s="2" t="s">
        <v>6732</v>
      </c>
      <c r="B4931" s="3" t="str">
        <f>IFERROR(__xludf.DUMMYFUNCTION("GOOGLETRANSLATE(A4931, ""ar"", ""bn"")"),"ব্যথা")</f>
        <v>ব্যথা</v>
      </c>
    </row>
    <row r="4932">
      <c r="A4932" s="2" t="s">
        <v>6733</v>
      </c>
      <c r="B4932" s="3" t="str">
        <f>IFERROR(__xludf.DUMMYFUNCTION("GOOGLETRANSLATE(A4932, ""ar"", ""bn"")"),"বেদনাগ্রস্ত")</f>
        <v>বেদনাগ্রস্ত</v>
      </c>
    </row>
    <row r="4933">
      <c r="A4933" s="2" t="s">
        <v>3252</v>
      </c>
      <c r="B4933" s="3" t="str">
        <f>IFERROR(__xludf.DUMMYFUNCTION("GOOGLETRANSLATE(A4933, ""ar"", ""bn"")"),"বেদনাদায়ক")</f>
        <v>বেদনাদায়ক</v>
      </c>
    </row>
    <row r="4934">
      <c r="A4934" s="2" t="s">
        <v>3252</v>
      </c>
      <c r="B4934" s="3" t="str">
        <f>IFERROR(__xludf.DUMMYFUNCTION("GOOGLETRANSLATE(A4934, ""ar"", ""bn"")"),"বেদনাদায়ক")</f>
        <v>বেদনাদায়ক</v>
      </c>
    </row>
    <row r="4935">
      <c r="A4935" s="2" t="s">
        <v>3284</v>
      </c>
      <c r="B4935" s="3" t="str">
        <f>IFERROR(__xludf.DUMMYFUNCTION("GOOGLETRANSLATE(A4935, ""ar"", ""bn"")"),"ব্যথা")</f>
        <v>ব্যথা</v>
      </c>
    </row>
    <row r="4936">
      <c r="A4936" s="2" t="s">
        <v>6734</v>
      </c>
      <c r="B4936" s="3" t="str">
        <f>IFERROR(__xludf.DUMMYFUNCTION("GOOGLETRANSLATE(A4936, ""ar"", ""bn"")"),"ক্ষতি")</f>
        <v>ক্ষতি</v>
      </c>
    </row>
    <row r="4937">
      <c r="A4937" s="2" t="s">
        <v>6735</v>
      </c>
      <c r="B4937" s="3" t="str">
        <f>IFERROR(__xludf.DUMMYFUNCTION("GOOGLETRANSLATE(A4937, ""ar"", ""bn"")"),"ব্যাথা কমানোর ঔষধ")</f>
        <v>ব্যাথা কমানোর ঔষধ</v>
      </c>
    </row>
    <row r="4938">
      <c r="A4938" s="2" t="s">
        <v>6736</v>
      </c>
      <c r="B4938" s="3" t="str">
        <f>IFERROR(__xludf.DUMMYFUNCTION("GOOGLETRANSLATE(A4938, ""ar"", ""bn"")"),"ব্যাথার ঔষধ")</f>
        <v>ব্যাথার ঔষধ</v>
      </c>
    </row>
    <row r="4939">
      <c r="A4939" s="2" t="s">
        <v>6737</v>
      </c>
      <c r="B4939" s="3" t="str">
        <f>IFERROR(__xludf.DUMMYFUNCTION("GOOGLETRANSLATE(A4939, ""ar"", ""bn"")"),"যন্ত্রণাহীন")</f>
        <v>যন্ত্রণাহীন</v>
      </c>
    </row>
    <row r="4940">
      <c r="A4940" s="2" t="s">
        <v>6738</v>
      </c>
      <c r="B4940" s="3" t="str">
        <f>IFERROR(__xludf.DUMMYFUNCTION("GOOGLETRANSLATE(A4940, ""ar"", ""bn"")"),"ব্যথা ছাড়া")</f>
        <v>ব্যথা ছাড়া</v>
      </c>
    </row>
    <row r="4941">
      <c r="A4941" s="2" t="s">
        <v>6739</v>
      </c>
      <c r="B4941" s="3" t="str">
        <f>IFERROR(__xludf.DUMMYFUNCTION("GOOGLETRANSLATE(A4941, ""ar"", ""bn"")"),"মা")</f>
        <v>মা</v>
      </c>
    </row>
    <row r="4942">
      <c r="A4942" s="2" t="s">
        <v>6740</v>
      </c>
      <c r="B4942" s="3" t="str">
        <f>IFERROR(__xludf.DUMMYFUNCTION("GOOGLETRANSLATE(A4942, ""ar"", ""bn"")"),"ময়দা")</f>
        <v>ময়দা</v>
      </c>
    </row>
    <row r="4943">
      <c r="A4943" s="2" t="s">
        <v>6741</v>
      </c>
      <c r="B4943" s="3" t="str">
        <f>IFERROR(__xludf.DUMMYFUNCTION("GOOGLETRANSLATE(A4943, ""ar"", ""bn"")"),"painstakingly")</f>
        <v>painstakingly</v>
      </c>
    </row>
    <row r="4944">
      <c r="A4944" s="2" t="s">
        <v>6742</v>
      </c>
      <c r="B4944" s="3" t="str">
        <f>IFERROR(__xludf.DUMMYFUNCTION("GOOGLETRANSLATE(A4944, ""ar"", ""bn"")"),"রং")</f>
        <v>রং</v>
      </c>
    </row>
    <row r="4945">
      <c r="A4945" s="2" t="s">
        <v>6743</v>
      </c>
      <c r="B4945" s="3" t="str">
        <f>IFERROR(__xludf.DUMMYFUNCTION("GOOGLETRANSLATE(A4945, ""ar"", ""bn"")"),"তুলি")</f>
        <v>তুলি</v>
      </c>
    </row>
    <row r="4946">
      <c r="A4946" s="2" t="s">
        <v>6744</v>
      </c>
      <c r="B4946" s="3" t="str">
        <f>IFERROR(__xludf.DUMMYFUNCTION("GOOGLETRANSLATE(A4946, ""ar"", ""bn"")"),"ধাতুপট্টাবৃত")</f>
        <v>ধাতুপট্টাবৃত</v>
      </c>
    </row>
    <row r="4947">
      <c r="A4947" s="2" t="s">
        <v>6745</v>
      </c>
      <c r="B4947" s="3" t="str">
        <f>IFERROR(__xludf.DUMMYFUNCTION("GOOGLETRANSLATE(A4947, ""ar"", ""bn"")"),"চিত্রশিল্পী")</f>
        <v>চিত্রশিল্পী</v>
      </c>
    </row>
    <row r="4948">
      <c r="A4948" s="2" t="s">
        <v>5906</v>
      </c>
      <c r="B4948" s="3" t="str">
        <f>IFERROR(__xludf.DUMMYFUNCTION("GOOGLETRANSLATE(A4948, ""ar"", ""bn"")"),"মিস্ত্রি")</f>
        <v>মিস্ত্রি</v>
      </c>
    </row>
    <row r="4949">
      <c r="A4949" s="2" t="s">
        <v>6746</v>
      </c>
      <c r="B4949" s="3" t="str">
        <f>IFERROR(__xludf.DUMMYFUNCTION("GOOGLETRANSLATE(A4949, ""ar"", ""bn"")"),"চিত্র")</f>
        <v>চিত্র</v>
      </c>
    </row>
    <row r="4950">
      <c r="A4950" s="2" t="s">
        <v>5791</v>
      </c>
      <c r="B4950" s="3" t="str">
        <f>IFERROR(__xludf.DUMMYFUNCTION("GOOGLETRANSLATE(A4950, ""ar"", ""bn"")"),"প্লেট")</f>
        <v>প্লেট</v>
      </c>
    </row>
    <row r="4951">
      <c r="A4951" s="2" t="s">
        <v>6747</v>
      </c>
      <c r="B4951" s="3" t="str">
        <f>IFERROR(__xludf.DUMMYFUNCTION("GOOGLETRANSLATE(A4951, ""ar"", ""bn"")"),"রঙে")</f>
        <v>রঙে</v>
      </c>
    </row>
    <row r="4952">
      <c r="A4952" s="2" t="s">
        <v>6748</v>
      </c>
      <c r="B4952" s="3" t="str">
        <f>IFERROR(__xludf.DUMMYFUNCTION("GOOGLETRANSLATE(A4952, ""ar"", ""bn"")"),"রং")</f>
        <v>রং</v>
      </c>
    </row>
    <row r="4953">
      <c r="A4953" s="2" t="s">
        <v>6733</v>
      </c>
      <c r="B4953" s="3" t="str">
        <f>IFERROR(__xludf.DUMMYFUNCTION("GOOGLETRANSLATE(A4953, ""ar"", ""bn"")"),"বেদনাগ্রস্ত")</f>
        <v>বেদনাগ্রস্ত</v>
      </c>
    </row>
    <row r="4954">
      <c r="A4954" s="2" t="s">
        <v>3252</v>
      </c>
      <c r="B4954" s="3" t="str">
        <f>IFERROR(__xludf.DUMMYFUNCTION("GOOGLETRANSLATE(A4954, ""ar"", ""bn"")"),"বেদনাদায়ক")</f>
        <v>বেদনাদায়ক</v>
      </c>
    </row>
    <row r="4955">
      <c r="A4955" s="2" t="s">
        <v>3252</v>
      </c>
      <c r="B4955" s="3" t="str">
        <f>IFERROR(__xludf.DUMMYFUNCTION("GOOGLETRANSLATE(A4955, ""ar"", ""bn"")"),"বেদনাদায়ক")</f>
        <v>বেদনাদায়ক</v>
      </c>
    </row>
    <row r="4956">
      <c r="A4956" s="2" t="s">
        <v>3284</v>
      </c>
      <c r="B4956" s="3" t="str">
        <f>IFERROR(__xludf.DUMMYFUNCTION("GOOGLETRANSLATE(A4956, ""ar"", ""bn"")"),"ব্যথা")</f>
        <v>ব্যথা</v>
      </c>
    </row>
    <row r="4957">
      <c r="A4957" s="2" t="s">
        <v>6734</v>
      </c>
      <c r="B4957" s="3" t="str">
        <f>IFERROR(__xludf.DUMMYFUNCTION("GOOGLETRANSLATE(A4957, ""ar"", ""bn"")"),"ক্ষতি")</f>
        <v>ক্ষতি</v>
      </c>
    </row>
    <row r="4958">
      <c r="A4958" s="2" t="s">
        <v>6739</v>
      </c>
      <c r="B4958" s="3" t="str">
        <f>IFERROR(__xludf.DUMMYFUNCTION("GOOGLETRANSLATE(A4958, ""ar"", ""bn"")"),"মা")</f>
        <v>মা</v>
      </c>
    </row>
    <row r="4959">
      <c r="A4959" s="2" t="s">
        <v>6740</v>
      </c>
      <c r="B4959" s="3" t="str">
        <f>IFERROR(__xludf.DUMMYFUNCTION("GOOGLETRANSLATE(A4959, ""ar"", ""bn"")"),"ময়দা")</f>
        <v>ময়দা</v>
      </c>
    </row>
    <row r="4960">
      <c r="A4960" s="2" t="s">
        <v>6741</v>
      </c>
      <c r="B4960" s="3" t="str">
        <f>IFERROR(__xludf.DUMMYFUNCTION("GOOGLETRANSLATE(A4960, ""ar"", ""bn"")"),"painstakingly")</f>
        <v>painstakingly</v>
      </c>
    </row>
    <row r="4961">
      <c r="A4961" s="2" t="s">
        <v>3515</v>
      </c>
      <c r="B4961" s="3" t="str">
        <f>IFERROR(__xludf.DUMMYFUNCTION("GOOGLETRANSLATE(A4961, ""ar"", ""bn"")"),"হেলাফেলা করা")</f>
        <v>হেলাফেলা করা</v>
      </c>
    </row>
    <row r="4962">
      <c r="A4962" s="2" t="s">
        <v>6749</v>
      </c>
      <c r="B4962" s="3" t="str">
        <f>IFERROR(__xludf.DUMMYFUNCTION("GOOGLETRANSLATE(A4962, ""ar"", ""bn"")"),"হল্লা")</f>
        <v>হল্লা</v>
      </c>
    </row>
    <row r="4963">
      <c r="A4963" s="2" t="s">
        <v>4169</v>
      </c>
      <c r="B4963" s="3" t="str">
        <f>IFERROR(__xludf.DUMMYFUNCTION("GOOGLETRANSLATE(A4963, ""ar"", ""bn"")"),"আতঙ্ক")</f>
        <v>আতঙ্ক</v>
      </c>
    </row>
    <row r="4964">
      <c r="A4964" s="2" t="s">
        <v>6750</v>
      </c>
      <c r="B4964" s="3" t="str">
        <f>IFERROR(__xludf.DUMMYFUNCTION("GOOGLETRANSLATE(A4964, ""ar"", ""bn"")"),"ত্রস্ত")</f>
        <v>ত্রস্ত</v>
      </c>
    </row>
    <row r="4965">
      <c r="A4965" s="2" t="s">
        <v>6751</v>
      </c>
      <c r="B4965" s="3" t="str">
        <f>IFERROR(__xludf.DUMMYFUNCTION("GOOGLETRANSLATE(A4965, ""ar"", ""bn"")"),"আতঙ্ক")</f>
        <v>আতঙ্ক</v>
      </c>
    </row>
    <row r="4966">
      <c r="A4966" s="2" t="s">
        <v>6752</v>
      </c>
      <c r="B4966" s="3" t="str">
        <f>IFERROR(__xludf.DUMMYFUNCTION("GOOGLETRANSLATE(A4966, ""ar"", ""bn"")"),"আতঙ্কিত")</f>
        <v>আতঙ্কিত</v>
      </c>
    </row>
    <row r="4967">
      <c r="A4967" s="2" t="s">
        <v>4885</v>
      </c>
      <c r="B4967" s="3" t="str">
        <f>IFERROR(__xludf.DUMMYFUNCTION("GOOGLETRANSLATE(A4967, ""ar"", ""bn"")"),"আতঙ্ক")</f>
        <v>আতঙ্ক</v>
      </c>
    </row>
    <row r="4968">
      <c r="A4968" s="2" t="s">
        <v>6753</v>
      </c>
      <c r="B4968" s="3" t="str">
        <f>IFERROR(__xludf.DUMMYFUNCTION("GOOGLETRANSLATE(A4968, ""ar"", ""bn"")"),"পক্ষাঘাত")</f>
        <v>পক্ষাঘাত</v>
      </c>
    </row>
    <row r="4969">
      <c r="A4969" s="2" t="s">
        <v>6754</v>
      </c>
      <c r="B4969" s="3" t="str">
        <f>IFERROR(__xludf.DUMMYFUNCTION("GOOGLETRANSLATE(A4969, ""ar"", ""bn"")"),"প্যারানয়া")</f>
        <v>প্যারানয়া</v>
      </c>
    </row>
    <row r="4970">
      <c r="A4970" s="2" t="s">
        <v>6755</v>
      </c>
      <c r="B4970" s="3" t="str">
        <f>IFERROR(__xludf.DUMMYFUNCTION("GOOGLETRANSLATE(A4970, ""ar"", ""bn"")"),"ভীতু")</f>
        <v>ভীতু</v>
      </c>
    </row>
    <row r="4971">
      <c r="A4971" s="2" t="s">
        <v>6756</v>
      </c>
      <c r="B4971" s="3" t="str">
        <f>IFERROR(__xludf.DUMMYFUNCTION("GOOGLETRANSLATE(A4971, ""ar"", ""bn"")"),"আতঙ্কগ্রস্ত")</f>
        <v>আতঙ্কগ্রস্ত</v>
      </c>
    </row>
    <row r="4972">
      <c r="A4972" s="2" t="s">
        <v>6757</v>
      </c>
      <c r="B4972" s="3" t="str">
        <f>IFERROR(__xludf.DUMMYFUNCTION("GOOGLETRANSLATE(A4972, ""ar"", ""bn"")"),"ভীতু")</f>
        <v>ভীতু</v>
      </c>
    </row>
    <row r="4973">
      <c r="A4973" s="2" t="s">
        <v>6758</v>
      </c>
      <c r="B4973" s="3" t="str">
        <f>IFERROR(__xludf.DUMMYFUNCTION("GOOGLETRANSLATE(A4973, ""ar"", ""bn"")"),"পরজীবী")</f>
        <v>পরজীবী</v>
      </c>
    </row>
    <row r="4974">
      <c r="A4974" s="2" t="s">
        <v>6759</v>
      </c>
      <c r="B4974" s="3" t="str">
        <f>IFERROR(__xludf.DUMMYFUNCTION("GOOGLETRANSLATE(A4974, ""ar"", ""bn"")"),"প্যারাসাইট")</f>
        <v>প্যারাসাইট</v>
      </c>
    </row>
    <row r="4975">
      <c r="A4975" s="2" t="s">
        <v>6760</v>
      </c>
      <c r="B4975" s="3" t="str">
        <f>IFERROR(__xludf.DUMMYFUNCTION("GOOGLETRANSLATE(A4975, ""ar"", ""bn"")"),"পরাশ্রয়ী")</f>
        <v>পরাশ্রয়ী</v>
      </c>
    </row>
    <row r="4976">
      <c r="A4976" s="2" t="s">
        <v>6761</v>
      </c>
      <c r="B4976" s="3" t="str">
        <f>IFERROR(__xludf.DUMMYFUNCTION("GOOGLETRANSLATE(A4976, ""ar"", ""bn"")"),"পরভোজী")</f>
        <v>পরভোজী</v>
      </c>
    </row>
    <row r="4977">
      <c r="A4977" s="2" t="s">
        <v>6086</v>
      </c>
      <c r="B4977" s="3" t="str">
        <f>IFERROR(__xludf.DUMMYFUNCTION("GOOGLETRANSLATE(A4977, ""ar"", ""bn"")"),"পরাশ্রয়িতা")</f>
        <v>পরাশ্রয়িতা</v>
      </c>
    </row>
    <row r="4978">
      <c r="A4978" s="2" t="s">
        <v>6762</v>
      </c>
      <c r="B4978" s="3" t="str">
        <f>IFERROR(__xludf.DUMMYFUNCTION("GOOGLETRANSLATE(A4978, ""ar"", ""bn"")"),"parasitologist")</f>
        <v>parasitologist</v>
      </c>
    </row>
    <row r="4979">
      <c r="A4979" s="2" t="s">
        <v>6763</v>
      </c>
      <c r="B4979" s="3" t="str">
        <f>IFERROR(__xludf.DUMMYFUNCTION("GOOGLETRANSLATE(A4979, ""ar"", ""bn"")"),"Parasitology")</f>
        <v>Parasitology</v>
      </c>
    </row>
    <row r="4980">
      <c r="A4980" s="2" t="s">
        <v>6764</v>
      </c>
      <c r="B4980" s="3" t="str">
        <f>IFERROR(__xludf.DUMMYFUNCTION("GOOGLETRANSLATE(A4980, ""ar"", ""bn"")"),"বিভাগ")</f>
        <v>বিভাগ</v>
      </c>
    </row>
    <row r="4981">
      <c r="A4981" s="2" t="s">
        <v>4965</v>
      </c>
      <c r="B4981" s="3" t="str">
        <f>IFERROR(__xludf.DUMMYFUNCTION("GOOGLETRANSLATE(A4981, ""ar"", ""bn"")"),"বিভাগ")</f>
        <v>বিভাগ</v>
      </c>
    </row>
    <row r="4982">
      <c r="A4982" s="2" t="s">
        <v>6765</v>
      </c>
      <c r="B4982" s="3" t="str">
        <f>IFERROR(__xludf.DUMMYFUNCTION("GOOGLETRANSLATE(A4982, ""ar"", ""bn"")"),"পার্টিশন")</f>
        <v>পার্টিশন</v>
      </c>
    </row>
    <row r="4983">
      <c r="A4983" s="2" t="s">
        <v>6766</v>
      </c>
      <c r="B4983" s="3" t="str">
        <f>IFERROR(__xludf.DUMMYFUNCTION("GOOGLETRANSLATE(A4983, ""ar"", ""bn"")"),"সেকশনস")</f>
        <v>সেকশনস</v>
      </c>
    </row>
    <row r="4984">
      <c r="A4984" s="2" t="s">
        <v>6767</v>
      </c>
      <c r="B4984" s="3" t="str">
        <f>IFERROR(__xludf.DUMMYFUNCTION("GOOGLETRANSLATE(A4984, ""ar"", ""bn"")"),"প্রাচীন")</f>
        <v>প্রাচীন</v>
      </c>
    </row>
    <row r="4985">
      <c r="A4985" s="2" t="s">
        <v>6768</v>
      </c>
      <c r="B4985" s="3" t="str">
        <f>IFERROR(__xludf.DUMMYFUNCTION("GOOGLETRANSLATE(A4985, ""ar"", ""bn"")"),"গৃহীত")</f>
        <v>গৃহীত</v>
      </c>
    </row>
    <row r="4986">
      <c r="A4986" s="2" t="s">
        <v>6769</v>
      </c>
      <c r="B4986" s="3" t="str">
        <f>IFERROR(__xludf.DUMMYFUNCTION("GOOGLETRANSLATE(A4986, ""ar"", ""bn"")"),"যাত্রী")</f>
        <v>যাত্রী</v>
      </c>
    </row>
    <row r="4987">
      <c r="A4987" s="2" t="s">
        <v>6770</v>
      </c>
      <c r="B4987" s="3" t="str">
        <f>IFERROR(__xludf.DUMMYFUNCTION("GOOGLETRANSLATE(A4987, ""ar"", ""bn"")"),"যাত্রীদের")</f>
        <v>যাত্রীদের</v>
      </c>
    </row>
    <row r="4988">
      <c r="A4988" s="2" t="s">
        <v>6771</v>
      </c>
      <c r="B4988" s="3" t="str">
        <f>IFERROR(__xludf.DUMMYFUNCTION("GOOGLETRANSLATE(A4988, ""ar"", ""bn"")"),"পথচারী")</f>
        <v>পথচারী</v>
      </c>
    </row>
    <row r="4989">
      <c r="A4989" s="2" t="s">
        <v>6772</v>
      </c>
      <c r="B4989" s="3" t="str">
        <f>IFERROR(__xludf.DUMMYFUNCTION("GOOGLETRANSLATE(A4989, ""ar"", ""bn"")"),"পথচারী")</f>
        <v>পথচারী</v>
      </c>
    </row>
    <row r="4990">
      <c r="A4990" s="2" t="s">
        <v>6772</v>
      </c>
      <c r="B4990" s="3" t="str">
        <f>IFERROR(__xludf.DUMMYFUNCTION("GOOGLETRANSLATE(A4990, ""ar"", ""bn"")"),"পথচারী")</f>
        <v>পথচারী</v>
      </c>
    </row>
    <row r="4991">
      <c r="A4991" s="2" t="s">
        <v>6773</v>
      </c>
      <c r="B4991" s="3" t="str">
        <f>IFERROR(__xludf.DUMMYFUNCTION("GOOGLETRANSLATE(A4991, ""ar"", ""bn"")"),"পাস")</f>
        <v>পাস</v>
      </c>
    </row>
    <row r="4992">
      <c r="A4992" s="2" t="s">
        <v>6774</v>
      </c>
      <c r="B4992" s="3" t="str">
        <f>IFERROR(__xludf.DUMMYFUNCTION("GOOGLETRANSLATE(A4992, ""ar"", ""bn"")"),"হৃদয়স্পর্শী")</f>
        <v>হৃদয়স্পর্শী</v>
      </c>
    </row>
    <row r="4993">
      <c r="A4993" s="2" t="s">
        <v>6774</v>
      </c>
      <c r="B4993" s="3" t="str">
        <f>IFERROR(__xludf.DUMMYFUNCTION("GOOGLETRANSLATE(A4993, ""ar"", ""bn"")"),"হৃদয়স্পর্শী")</f>
        <v>হৃদয়স্পর্শী</v>
      </c>
    </row>
    <row r="4994">
      <c r="A4994" s="2" t="s">
        <v>3654</v>
      </c>
      <c r="B4994" s="3" t="str">
        <f>IFERROR(__xludf.DUMMYFUNCTION("GOOGLETRANSLATE(A4994, ""ar"", ""bn"")"),"একজন আগুন্তুক")</f>
        <v>একজন আগুন্তুক</v>
      </c>
    </row>
    <row r="4995">
      <c r="A4995" s="2" t="s">
        <v>6775</v>
      </c>
      <c r="B4995" s="3" t="str">
        <f>IFERROR(__xludf.DUMMYFUNCTION("GOOGLETRANSLATE(A4995, ""ar"", ""bn"")"),"ইনগুলি")</f>
        <v>ইনগুলি</v>
      </c>
    </row>
    <row r="4996">
      <c r="A4996" s="2" t="s">
        <v>6776</v>
      </c>
      <c r="B4996" s="3" t="str">
        <f>IFERROR(__xludf.DUMMYFUNCTION("GOOGLETRANSLATE(A4996, ""ar"", ""bn"")"),"গোপনীয়তা")</f>
        <v>গোপনীয়তা</v>
      </c>
    </row>
    <row r="4997">
      <c r="A4997" s="2" t="s">
        <v>6777</v>
      </c>
      <c r="B4997" s="3" t="str">
        <f>IFERROR(__xludf.DUMMYFUNCTION("GOOGLETRANSLATE(A4997, ""ar"", ""bn"")"),"অদ্ভুত")</f>
        <v>অদ্ভুত</v>
      </c>
    </row>
    <row r="4998">
      <c r="A4998" s="2" t="s">
        <v>6778</v>
      </c>
      <c r="B4998" s="3" t="str">
        <f>IFERROR(__xludf.DUMMYFUNCTION("GOOGLETRANSLATE(A4998, ""ar"", ""bn"")"),"বিপন্ন করা")</f>
        <v>বিপন্ন করা</v>
      </c>
    </row>
    <row r="4999">
      <c r="A4999" s="2" t="s">
        <v>6779</v>
      </c>
      <c r="B4999" s="3" t="str">
        <f>IFERROR(__xludf.DUMMYFUNCTION("GOOGLETRANSLATE(A4999, ""ar"", ""bn"")"),"বিপদ পূর্ণ")</f>
        <v>বিপদ পূর্ণ</v>
      </c>
    </row>
    <row r="5000">
      <c r="A5000" s="2" t="s">
        <v>6780</v>
      </c>
      <c r="B5000" s="3" t="str">
        <f>IFERROR(__xludf.DUMMYFUNCTION("GOOGLETRANSLATE(A5000, ""ar"", ""bn"")"),"Perilously")</f>
        <v>Perilously</v>
      </c>
    </row>
    <row r="5001">
      <c r="A5001" s="2" t="s">
        <v>6781</v>
      </c>
      <c r="B5001" s="3" t="str">
        <f>IFERROR(__xludf.DUMMYFUNCTION("GOOGLETRANSLATE(A5001, ""ar"", ""bn"")"),"ঝুঁকি")</f>
        <v>ঝুঁকি</v>
      </c>
    </row>
    <row r="5002">
      <c r="A5002" s="2" t="s">
        <v>6782</v>
      </c>
      <c r="B5002" s="3" t="str">
        <f>IFERROR(__xludf.DUMMYFUNCTION("GOOGLETRANSLATE(A5002, ""ar"", ""bn"")"),"বিনষ্ট করা")</f>
        <v>বিনষ্ট করা</v>
      </c>
    </row>
    <row r="5003">
      <c r="A5003" s="2" t="s">
        <v>6783</v>
      </c>
      <c r="B5003" s="3" t="str">
        <f>IFERROR(__xludf.DUMMYFUNCTION("GOOGLETRANSLATE(A5003, ""ar"", ""bn"")"),"বিনাশশীল")</f>
        <v>বিনাশশীল</v>
      </c>
    </row>
    <row r="5004">
      <c r="A5004" s="2" t="s">
        <v>6784</v>
      </c>
      <c r="B5004" s="3" t="str">
        <f>IFERROR(__xludf.DUMMYFUNCTION("GOOGLETRANSLATE(A5004, ""ar"", ""bn"")"),"perishables")</f>
        <v>perishables</v>
      </c>
    </row>
    <row r="5005">
      <c r="A5005" s="2" t="s">
        <v>6782</v>
      </c>
      <c r="B5005" s="3" t="str">
        <f>IFERROR(__xludf.DUMMYFUNCTION("GOOGLETRANSLATE(A5005, ""ar"", ""bn"")"),"বিনষ্ট করা")</f>
        <v>বিনষ্ট করা</v>
      </c>
    </row>
    <row r="5006">
      <c r="A5006" s="2" t="s">
        <v>6785</v>
      </c>
      <c r="B5006" s="3" t="str">
        <f>IFERROR(__xludf.DUMMYFUNCTION("GOOGLETRANSLATE(A5006, ""ar"", ""bn"")"),"ডাইস")</f>
        <v>ডাইস</v>
      </c>
    </row>
    <row r="5007">
      <c r="A5007" s="2" t="s">
        <v>6786</v>
      </c>
      <c r="B5007" s="3" t="str">
        <f>IFERROR(__xludf.DUMMYFUNCTION("GOOGLETRANSLATE(A5007, ""ar"", ""bn"")"),"বিনাশ")</f>
        <v>বিনাশ</v>
      </c>
    </row>
    <row r="5008">
      <c r="A5008" s="2" t="s">
        <v>3633</v>
      </c>
      <c r="B5008" s="3" t="str">
        <f>IFERROR(__xludf.DUMMYFUNCTION("GOOGLETRANSLATE(A5008, ""ar"", ""bn"")"),"নিগূঢ় করা")</f>
        <v>নিগূঢ় করা</v>
      </c>
    </row>
    <row r="5009">
      <c r="A5009" s="2" t="s">
        <v>3634</v>
      </c>
      <c r="B5009" s="3" t="str">
        <f>IFERROR(__xludf.DUMMYFUNCTION("GOOGLETRANSLATE(A5009, ""ar"", ""bn"")"),"হতভম্ব")</f>
        <v>হতভম্ব</v>
      </c>
    </row>
    <row r="5010">
      <c r="A5010" s="2" t="s">
        <v>4155</v>
      </c>
      <c r="B5010" s="3" t="str">
        <f>IFERROR(__xludf.DUMMYFUNCTION("GOOGLETRANSLATE(A5010, ""ar"", ""bn"")"),"বিহ্বলের")</f>
        <v>বিহ্বলের</v>
      </c>
    </row>
    <row r="5011">
      <c r="A5011" s="2" t="s">
        <v>3305</v>
      </c>
      <c r="B5011" s="3" t="str">
        <f>IFERROR(__xludf.DUMMYFUNCTION("GOOGLETRANSLATE(A5011, ""ar"", ""bn"")"),"বিভ্রান্তিকর")</f>
        <v>বিভ্রান্তিকর</v>
      </c>
    </row>
    <row r="5012">
      <c r="A5012" s="2" t="s">
        <v>3637</v>
      </c>
      <c r="B5012" s="3" t="str">
        <f>IFERROR(__xludf.DUMMYFUNCTION("GOOGLETRANSLATE(A5012, ""ar"", ""bn"")"),"বিশৃঙ্খলা")</f>
        <v>বিশৃঙ্খলা</v>
      </c>
    </row>
    <row r="5013">
      <c r="A5013" s="2" t="s">
        <v>3637</v>
      </c>
      <c r="B5013" s="3" t="str">
        <f>IFERROR(__xludf.DUMMYFUNCTION("GOOGLETRANSLATE(A5013, ""ar"", ""bn"")"),"বিশৃঙ্খলা")</f>
        <v>বিশৃঙ্খলা</v>
      </c>
    </row>
    <row r="5014">
      <c r="A5014" s="2" t="s">
        <v>6787</v>
      </c>
      <c r="B5014" s="3" t="str">
        <f>IFERROR(__xludf.DUMMYFUNCTION("GOOGLETRANSLATE(A5014, ""ar"", ""bn"")"),"নিপীড়ন করা")</f>
        <v>নিপীড়ন করা</v>
      </c>
    </row>
    <row r="5015">
      <c r="A5015" s="2" t="s">
        <v>6788</v>
      </c>
      <c r="B5015" s="3" t="str">
        <f>IFERROR(__xludf.DUMMYFUNCTION("GOOGLETRANSLATE(A5015, ""ar"", ""bn"")"),"অত্যাচারিত")</f>
        <v>অত্যাচারিত</v>
      </c>
    </row>
    <row r="5016">
      <c r="A5016" s="2" t="s">
        <v>6678</v>
      </c>
      <c r="B5016" s="3" t="str">
        <f>IFERROR(__xludf.DUMMYFUNCTION("GOOGLETRANSLATE(A5016, ""ar"", ""bn"")"),"নিপীড়ন")</f>
        <v>নিপীড়ন</v>
      </c>
    </row>
    <row r="5017">
      <c r="A5017" s="2" t="s">
        <v>6678</v>
      </c>
      <c r="B5017" s="3" t="str">
        <f>IFERROR(__xludf.DUMMYFUNCTION("GOOGLETRANSLATE(A5017, ""ar"", ""bn"")"),"নিপীড়ন")</f>
        <v>নিপীড়ন</v>
      </c>
    </row>
    <row r="5018">
      <c r="A5018" s="2" t="s">
        <v>6789</v>
      </c>
      <c r="B5018" s="3" t="str">
        <f>IFERROR(__xludf.DUMMYFUNCTION("GOOGLETRANSLATE(A5018, ""ar"", ""bn"")"),"নিপীড়ন")</f>
        <v>নিপীড়ন</v>
      </c>
    </row>
    <row r="5019">
      <c r="A5019" s="2" t="s">
        <v>6682</v>
      </c>
      <c r="B5019" s="3" t="str">
        <f>IFERROR(__xludf.DUMMYFUNCTION("GOOGLETRANSLATE(A5019, ""ar"", ""bn"")"),"অত্যাচারী")</f>
        <v>অত্যাচারী</v>
      </c>
    </row>
    <row r="5020">
      <c r="A5020" s="2" t="s">
        <v>6790</v>
      </c>
      <c r="B5020" s="3" t="str">
        <f>IFERROR(__xludf.DUMMYFUNCTION("GOOGLETRANSLATE(A5020, ""ar"", ""bn"")"),"অত্যাচারীরা")</f>
        <v>অত্যাচারীরা</v>
      </c>
    </row>
    <row r="5021">
      <c r="A5021" s="2" t="s">
        <v>6638</v>
      </c>
      <c r="B5021" s="3" t="str">
        <f>IFERROR(__xludf.DUMMYFUNCTION("GOOGLETRANSLATE(A5021, ""ar"", ""bn"")"),"চিন্তা করবেন না")</f>
        <v>চিন্তা করবেন না</v>
      </c>
    </row>
    <row r="5022">
      <c r="A5022" s="2" t="s">
        <v>4893</v>
      </c>
      <c r="B5022" s="3" t="str">
        <f>IFERROR(__xludf.DUMMYFUNCTION("GOOGLETRANSLATE(A5022, ""ar"", ""bn"")"),"ঝামেলা")</f>
        <v>ঝামেলা</v>
      </c>
    </row>
    <row r="5023">
      <c r="A5023" s="2" t="s">
        <v>4082</v>
      </c>
      <c r="B5023" s="3" t="str">
        <f>IFERROR(__xludf.DUMMYFUNCTION("GOOGLETRANSLATE(A5023, ""ar"", ""bn"")"),"ডিসঅর্ডারস")</f>
        <v>ডিসঅর্ডারস</v>
      </c>
    </row>
    <row r="5024">
      <c r="A5024" s="2" t="s">
        <v>3324</v>
      </c>
      <c r="B5024" s="3" t="str">
        <f>IFERROR(__xludf.DUMMYFUNCTION("GOOGLETRANSLATE(A5024, ""ar"", ""bn"")"),"উদ্বেগ")</f>
        <v>উদ্বেগ</v>
      </c>
    </row>
    <row r="5025">
      <c r="A5025" s="2" t="s">
        <v>4961</v>
      </c>
      <c r="B5025" s="3" t="str">
        <f>IFERROR(__xludf.DUMMYFUNCTION("GOOGLETRANSLATE(A5025, ""ar"", ""bn"")"),"উদ্বেজক")</f>
        <v>উদ্বেজক</v>
      </c>
    </row>
    <row r="5026">
      <c r="A5026" s="2" t="s">
        <v>6632</v>
      </c>
      <c r="B5026" s="3" t="str">
        <f>IFERROR(__xludf.DUMMYFUNCTION("GOOGLETRANSLATE(A5026, ""ar"", ""bn"")"),"তেরছা")</f>
        <v>তেরছা</v>
      </c>
    </row>
    <row r="5027">
      <c r="A5027" s="2" t="s">
        <v>3275</v>
      </c>
      <c r="B5027" s="3" t="str">
        <f>IFERROR(__xludf.DUMMYFUNCTION("GOOGLETRANSLATE(A5027, ""ar"", ""bn"")"),"বিপরীত")</f>
        <v>বিপরীত</v>
      </c>
    </row>
    <row r="5028">
      <c r="A5028" s="2" t="s">
        <v>6791</v>
      </c>
      <c r="B5028" s="3" t="str">
        <f>IFERROR(__xludf.DUMMYFUNCTION("GOOGLETRANSLATE(A5028, ""ar"", ""bn"")"),"একগুঁয়েমি")</f>
        <v>একগুঁয়েমি</v>
      </c>
    </row>
    <row r="5029">
      <c r="A5029" s="2" t="s">
        <v>4696</v>
      </c>
      <c r="B5029" s="3" t="str">
        <f>IFERROR(__xludf.DUMMYFUNCTION("GOOGLETRANSLATE(A5029, ""ar"", ""bn"")"),"চ্যুতি")</f>
        <v>চ্যুতি</v>
      </c>
    </row>
    <row r="5030">
      <c r="A5030" s="2" t="s">
        <v>4697</v>
      </c>
      <c r="B5030" s="3" t="str">
        <f>IFERROR(__xludf.DUMMYFUNCTION("GOOGLETRANSLATE(A5030, ""ar"", ""bn"")"),"বিচ্যুতি")</f>
        <v>বিচ্যুতি</v>
      </c>
    </row>
    <row r="5031">
      <c r="A5031" s="2" t="s">
        <v>4214</v>
      </c>
      <c r="B5031" s="3" t="str">
        <f>IFERROR(__xludf.DUMMYFUNCTION("GOOGLETRANSLATE(A5031, ""ar"", ""bn"")"),"দুর্নীতি")</f>
        <v>দুর্নীতি</v>
      </c>
    </row>
    <row r="5032">
      <c r="A5032" s="2" t="s">
        <v>6792</v>
      </c>
      <c r="B5032" s="3" t="str">
        <f>IFERROR(__xludf.DUMMYFUNCTION("GOOGLETRANSLATE(A5032, ""ar"", ""bn"")"),"বিকৃত করা")</f>
        <v>বিকৃত করা</v>
      </c>
    </row>
    <row r="5033">
      <c r="A5033" s="2" t="s">
        <v>6793</v>
      </c>
      <c r="B5033" s="3" t="str">
        <f>IFERROR(__xludf.DUMMYFUNCTION("GOOGLETRANSLATE(A5033, ""ar"", ""bn"")"),"বিকৃত")</f>
        <v>বিকৃত</v>
      </c>
    </row>
    <row r="5034">
      <c r="A5034" s="2" t="s">
        <v>6493</v>
      </c>
      <c r="B5034" s="3" t="str">
        <f>IFERROR(__xludf.DUMMYFUNCTION("GOOGLETRANSLATE(A5034, ""ar"", ""bn"")"),"বিভ্রান্তিকর")</f>
        <v>বিভ্রান্তিকর</v>
      </c>
    </row>
    <row r="5035">
      <c r="A5035" s="2" t="s">
        <v>6794</v>
      </c>
      <c r="B5035" s="3" t="str">
        <f>IFERROR(__xludf.DUMMYFUNCTION("GOOGLETRANSLATE(A5035, ""ar"", ""bn"")"),"Perverts")</f>
        <v>Perverts</v>
      </c>
    </row>
    <row r="5036">
      <c r="A5036" s="2" t="s">
        <v>6795</v>
      </c>
      <c r="B5036" s="3" t="str">
        <f>IFERROR(__xludf.DUMMYFUNCTION("GOOGLETRANSLATE(A5036, ""ar"", ""bn"")"),"অসন্তোষ প্রকাশ করা")</f>
        <v>অসন্তোষ প্রকাশ করা</v>
      </c>
    </row>
    <row r="5037">
      <c r="A5037" s="2" t="s">
        <v>6796</v>
      </c>
      <c r="B5037" s="3" t="str">
        <f>IFERROR(__xludf.DUMMYFUNCTION("GOOGLETRANSLATE(A5037, ""ar"", ""bn"")"),"অনর্থদর্শী")</f>
        <v>অনর্থদর্শী</v>
      </c>
    </row>
    <row r="5038">
      <c r="A5038" s="2" t="s">
        <v>6796</v>
      </c>
      <c r="B5038" s="3" t="str">
        <f>IFERROR(__xludf.DUMMYFUNCTION("GOOGLETRANSLATE(A5038, ""ar"", ""bn"")"),"অনর্থদর্শী")</f>
        <v>অনর্থদর্শী</v>
      </c>
    </row>
    <row r="5039">
      <c r="A5039" s="2" t="s">
        <v>6797</v>
      </c>
      <c r="B5039" s="3" t="str">
        <f>IFERROR(__xludf.DUMMYFUNCTION("GOOGLETRANSLATE(A5039, ""ar"", ""bn"")"),"pessimistically")</f>
        <v>pessimistically</v>
      </c>
    </row>
    <row r="5040">
      <c r="A5040" s="2" t="s">
        <v>6798</v>
      </c>
      <c r="B5040" s="3" t="str">
        <f>IFERROR(__xludf.DUMMYFUNCTION("GOOGLETRANSLATE(A5040, ""ar"", ""bn"")"),"pessimists")</f>
        <v>pessimists</v>
      </c>
    </row>
    <row r="5041">
      <c r="A5041" s="2" t="s">
        <v>6799</v>
      </c>
      <c r="B5041" s="3" t="str">
        <f>IFERROR(__xludf.DUMMYFUNCTION("GOOGLETRANSLATE(A5041, ""ar"", ""bn"")"),"কীটপতঙ্গ")</f>
        <v>কীটপতঙ্গ</v>
      </c>
    </row>
    <row r="5042">
      <c r="A5042" s="2" t="s">
        <v>6800</v>
      </c>
      <c r="B5042" s="3" t="str">
        <f>IFERROR(__xludf.DUMMYFUNCTION("GOOGLETRANSLATE(A5042, ""ar"", ""bn"")"),"বিরক্ত করা")</f>
        <v>বিরক্ত করা</v>
      </c>
    </row>
    <row r="5043">
      <c r="A5043" s="2" t="s">
        <v>6801</v>
      </c>
      <c r="B5043" s="3" t="str">
        <f>IFERROR(__xludf.DUMMYFUNCTION("GOOGLETRANSLATE(A5043, ""ar"", ""bn"")"),"জালাতন")</f>
        <v>জালাতন</v>
      </c>
    </row>
    <row r="5044">
      <c r="A5044" s="2" t="s">
        <v>6802</v>
      </c>
      <c r="B5044" s="3" t="str">
        <f>IFERROR(__xludf.DUMMYFUNCTION("GOOGLETRANSLATE(A5044, ""ar"", ""bn"")"),"জালাতন")</f>
        <v>জালাতন</v>
      </c>
    </row>
    <row r="5045">
      <c r="A5045" s="2" t="s">
        <v>6803</v>
      </c>
      <c r="B5045" s="3" t="str">
        <f>IFERROR(__xludf.DUMMYFUNCTION("GOOGLETRANSLATE(A5045, ""ar"", ""bn"")"),"কীটনাশক")</f>
        <v>কীটনাশক</v>
      </c>
    </row>
    <row r="5046">
      <c r="A5046" s="2" t="s">
        <v>6804</v>
      </c>
      <c r="B5046" s="3" t="str">
        <f>IFERROR(__xludf.DUMMYFUNCTION("GOOGLETRANSLATE(A5046, ""ar"", ""bn"")"),"পেস্টিসাইডস")</f>
        <v>পেস্টিসাইডস</v>
      </c>
    </row>
    <row r="5047">
      <c r="A5047" s="2" t="s">
        <v>5153</v>
      </c>
      <c r="B5047" s="3" t="str">
        <f>IFERROR(__xludf.DUMMYFUNCTION("GOOGLETRANSLATE(A5047, ""ar"", ""bn"")"),"মহামারী")</f>
        <v>মহামারী</v>
      </c>
    </row>
    <row r="5048">
      <c r="A5048" s="2" t="s">
        <v>6578</v>
      </c>
      <c r="B5048" s="3" t="str">
        <f>IFERROR(__xludf.DUMMYFUNCTION("GOOGLETRANSLATE(A5048, ""ar"", ""bn"")"),"মারাত্মক")</f>
        <v>মারাত্মক</v>
      </c>
    </row>
    <row r="5049">
      <c r="A5049" s="2" t="s">
        <v>6805</v>
      </c>
      <c r="B5049" s="3" t="str">
        <f>IFERROR(__xludf.DUMMYFUNCTION("GOOGLETRANSLATE(A5049, ""ar"", ""bn"")"),"মহামারী")</f>
        <v>মহামারী</v>
      </c>
    </row>
    <row r="5050">
      <c r="A5050" s="2" t="s">
        <v>6806</v>
      </c>
      <c r="B5050" s="3" t="str">
        <f>IFERROR(__xludf.DUMMYFUNCTION("GOOGLETRANSLATE(A5050, ""ar"", ""bn"")"),"মুষল")</f>
        <v>মুষল</v>
      </c>
    </row>
    <row r="5051">
      <c r="A5051" s="2" t="s">
        <v>6799</v>
      </c>
      <c r="B5051" s="3" t="str">
        <f>IFERROR(__xludf.DUMMYFUNCTION("GOOGLETRANSLATE(A5051, ""ar"", ""bn"")"),"কীটপতঙ্গ")</f>
        <v>কীটপতঙ্গ</v>
      </c>
    </row>
    <row r="5052">
      <c r="A5052" s="2" t="s">
        <v>6807</v>
      </c>
      <c r="B5052" s="3" t="str">
        <f>IFERROR(__xludf.DUMMYFUNCTION("GOOGLETRANSLATE(A5052, ""ar"", ""bn"")"),"পাথরি")</f>
        <v>পাথরি</v>
      </c>
    </row>
    <row r="5053">
      <c r="A5053" s="2" t="s">
        <v>6808</v>
      </c>
      <c r="B5053" s="3" t="str">
        <f>IFERROR(__xludf.DUMMYFUNCTION("GOOGLETRANSLATE(A5053, ""ar"", ""bn"")"),"সংরক্ষিত")</f>
        <v>সংরক্ষিত</v>
      </c>
    </row>
    <row r="5054">
      <c r="A5054" s="2" t="s">
        <v>6809</v>
      </c>
      <c r="B5054" s="3" t="str">
        <f>IFERROR(__xludf.DUMMYFUNCTION("GOOGLETRANSLATE(A5054, ""ar"", ""bn"")"),"শিলীভূত করা")</f>
        <v>শিলীভূত করা</v>
      </c>
    </row>
    <row r="5055">
      <c r="A5055" s="2" t="s">
        <v>6810</v>
      </c>
      <c r="B5055" s="3" t="str">
        <f>IFERROR(__xludf.DUMMYFUNCTION("GOOGLETRANSLATE(A5055, ""ar"", ""bn"")"),"Petrifying")</f>
        <v>Petrifying</v>
      </c>
    </row>
    <row r="5056">
      <c r="A5056" s="2" t="s">
        <v>6811</v>
      </c>
      <c r="B5056" s="3" t="str">
        <f>IFERROR(__xludf.DUMMYFUNCTION("GOOGLETRANSLATE(A5056, ""ar"", ""bn"")"),"নীচ")</f>
        <v>নীচ</v>
      </c>
    </row>
    <row r="5057">
      <c r="A5057" s="2" t="s">
        <v>3515</v>
      </c>
      <c r="B5057" s="3" t="str">
        <f>IFERROR(__xludf.DUMMYFUNCTION("GOOGLETRANSLATE(A5057, ""ar"", ""bn"")"),"হেলাফেলা করা")</f>
        <v>হেলাফেলা করা</v>
      </c>
    </row>
    <row r="5058">
      <c r="A5058" s="2" t="s">
        <v>6812</v>
      </c>
      <c r="B5058" s="3" t="str">
        <f>IFERROR(__xludf.DUMMYFUNCTION("GOOGLETRANSLATE(A5058, ""ar"", ""bn"")"),"বিতৃষ্ণা")</f>
        <v>বিতৃষ্ণা</v>
      </c>
    </row>
    <row r="5059">
      <c r="A5059" s="2" t="s">
        <v>6813</v>
      </c>
      <c r="B5059" s="3" t="str">
        <f>IFERROR(__xludf.DUMMYFUNCTION("GOOGLETRANSLATE(A5059, ""ar"", ""bn"")"),"phobias")</f>
        <v>phobias</v>
      </c>
    </row>
    <row r="5060">
      <c r="A5060" s="2" t="s">
        <v>6814</v>
      </c>
      <c r="B5060" s="3" t="str">
        <f>IFERROR(__xludf.DUMMYFUNCTION("GOOGLETRANSLATE(A5060, ""ar"", ""bn"")"),"phobic")</f>
        <v>phobic</v>
      </c>
    </row>
    <row r="5061">
      <c r="A5061" s="2" t="s">
        <v>4545</v>
      </c>
      <c r="B5061" s="3" t="str">
        <f>IFERROR(__xludf.DUMMYFUNCTION("GOOGLETRANSLATE(A5061, ""ar"", ""bn"")"),"প্রলাপ")</f>
        <v>প্রলাপ</v>
      </c>
    </row>
    <row r="5062">
      <c r="A5062" s="2" t="s">
        <v>6815</v>
      </c>
      <c r="B5062" s="3" t="str">
        <f>IFERROR(__xludf.DUMMYFUNCTION("GOOGLETRANSLATE(A5062, ""ar"", ""bn"")"),"একটি চিমটি")</f>
        <v>একটি চিমটি</v>
      </c>
    </row>
    <row r="5063">
      <c r="A5063" s="2" t="s">
        <v>6816</v>
      </c>
      <c r="B5063" s="3" t="str">
        <f>IFERROR(__xludf.DUMMYFUNCTION("GOOGLETRANSLATE(A5063, ""ar"", ""bn"")"),"দংশিত")</f>
        <v>দংশিত</v>
      </c>
    </row>
    <row r="5064">
      <c r="A5064" s="2" t="s">
        <v>6817</v>
      </c>
      <c r="B5064" s="3" t="str">
        <f>IFERROR(__xludf.DUMMYFUNCTION("GOOGLETRANSLATE(A5064, ""ar"", ""bn"")"),"সাঁডাশি জাতীয় যন্ত্র")</f>
        <v>সাঁডাশি জাতীয় যন্ত্র</v>
      </c>
    </row>
    <row r="5065">
      <c r="A5065" s="2" t="s">
        <v>6818</v>
      </c>
      <c r="B5065" s="3" t="str">
        <f>IFERROR(__xludf.DUMMYFUNCTION("GOOGLETRANSLATE(A5065, ""ar"", ""bn"")"),"ঠেকে")</f>
        <v>ঠেকে</v>
      </c>
    </row>
    <row r="5066">
      <c r="A5066" s="2" t="s">
        <v>6819</v>
      </c>
      <c r="B5066" s="3" t="str">
        <f>IFERROR(__xludf.DUMMYFUNCTION("GOOGLETRANSLATE(A5066, ""ar"", ""bn"")"),"চিমটি")</f>
        <v>চিমটি</v>
      </c>
    </row>
    <row r="5067">
      <c r="A5067" s="2" t="s">
        <v>6820</v>
      </c>
      <c r="B5067" s="3" t="str">
        <f>IFERROR(__xludf.DUMMYFUNCTION("GOOGLETRANSLATE(A5067, ""ar"", ""bn"")"),"পিন শিরোলেখ")</f>
        <v>পিন শিরোলেখ</v>
      </c>
    </row>
    <row r="5068">
      <c r="A5068" s="2" t="s">
        <v>3567</v>
      </c>
      <c r="B5068" s="3" t="str">
        <f>IFERROR(__xludf.DUMMYFUNCTION("GOOGLETRANSLATE(A5068, ""ar"", ""bn"")"),"আঠাল")</f>
        <v>আঠাল</v>
      </c>
    </row>
    <row r="5069">
      <c r="A5069" s="2" t="s">
        <v>6821</v>
      </c>
      <c r="B5069" s="3" t="str">
        <f>IFERROR(__xludf.DUMMYFUNCTION("GOOGLETRANSLATE(A5069, ""ar"", ""bn"")"),"একটা হেলাফেলা ইন")</f>
        <v>একটা হেলাফেলা ইন</v>
      </c>
    </row>
    <row r="5070">
      <c r="A5070" s="2" t="s">
        <v>6822</v>
      </c>
      <c r="B5070" s="3" t="str">
        <f>IFERROR(__xludf.DUMMYFUNCTION("GOOGLETRANSLATE(A5070, ""ar"", ""bn"")"),"করুণা")</f>
        <v>করুণা</v>
      </c>
    </row>
    <row r="5071">
      <c r="A5071" s="2" t="s">
        <v>6823</v>
      </c>
      <c r="B5071" s="3" t="str">
        <f>IFERROR(__xludf.DUMMYFUNCTION("GOOGLETRANSLATE(A5071, ""ar"", ""bn"")"),"Pities")</f>
        <v>Pities</v>
      </c>
    </row>
    <row r="5072">
      <c r="A5072" s="2" t="s">
        <v>6824</v>
      </c>
      <c r="B5072" s="3" t="str">
        <f>IFERROR(__xludf.DUMMYFUNCTION("GOOGLETRANSLATE(A5072, ""ar"", ""bn"")"),"অনুর্বর")</f>
        <v>অনুর্বর</v>
      </c>
    </row>
    <row r="5073">
      <c r="A5073" s="2" t="s">
        <v>6825</v>
      </c>
      <c r="B5073" s="3" t="str">
        <f>IFERROR(__xludf.DUMMYFUNCTION("GOOGLETRANSLATE(A5073, ""ar"", ""bn"")"),"Pitifully")</f>
        <v>Pitifully</v>
      </c>
    </row>
    <row r="5074">
      <c r="A5074" s="2" t="s">
        <v>6826</v>
      </c>
      <c r="B5074" s="3" t="str">
        <f>IFERROR(__xludf.DUMMYFUNCTION("GOOGLETRANSLATE(A5074, ""ar"", ""bn"")"),"নির্দয়")</f>
        <v>নির্দয়</v>
      </c>
    </row>
    <row r="5075">
      <c r="A5075" s="2" t="s">
        <v>6462</v>
      </c>
      <c r="B5075" s="3" t="str">
        <f>IFERROR(__xludf.DUMMYFUNCTION("GOOGLETRANSLATE(A5075, ""ar"", ""bn"")"),"ক্ষমাহীনভাবে")</f>
        <v>ক্ষমাহীনভাবে</v>
      </c>
    </row>
    <row r="5076">
      <c r="A5076" s="2" t="s">
        <v>6827</v>
      </c>
      <c r="B5076" s="3" t="str">
        <f>IFERROR(__xludf.DUMMYFUNCTION("GOOGLETRANSLATE(A5076, ""ar"", ""bn"")"),"সমবেদনা")</f>
        <v>সমবেদনা</v>
      </c>
    </row>
    <row r="5077">
      <c r="A5077" s="2" t="s">
        <v>6828</v>
      </c>
      <c r="B5077" s="3" t="str">
        <f>IFERROR(__xludf.DUMMYFUNCTION("GOOGLETRANSLATE(A5077, ""ar"", ""bn"")"),"সদয়")</f>
        <v>সদয়</v>
      </c>
    </row>
    <row r="5078">
      <c r="A5078" s="2" t="s">
        <v>6829</v>
      </c>
      <c r="B5078" s="3" t="str">
        <f>IFERROR(__xludf.DUMMYFUNCTION("GOOGLETRANSLATE(A5078, ""ar"", ""bn"")"),"প্লেগ")</f>
        <v>প্লেগ</v>
      </c>
    </row>
    <row r="5079">
      <c r="A5079" s="2" t="s">
        <v>6830</v>
      </c>
      <c r="B5079" s="3" t="str">
        <f>IFERROR(__xludf.DUMMYFUNCTION("GOOGLETRANSLATE(A5079, ""ar"", ""bn"")"),"রোগ ছড়ানো")</f>
        <v>রোগ ছড়ানো</v>
      </c>
    </row>
    <row r="5080">
      <c r="A5080" s="2" t="s">
        <v>6831</v>
      </c>
      <c r="B5080" s="3" t="str">
        <f>IFERROR(__xludf.DUMMYFUNCTION("GOOGLETRANSLATE(A5080, ""ar"", ""bn"")"),"আঘাত")</f>
        <v>আঘাত</v>
      </c>
    </row>
    <row r="5081">
      <c r="A5081" s="2" t="s">
        <v>6832</v>
      </c>
      <c r="B5081" s="3" t="str">
        <f>IFERROR(__xludf.DUMMYFUNCTION("GOOGLETRANSLATE(A5081, ""ar"", ""bn"")"),"বাদী")</f>
        <v>বাদী</v>
      </c>
    </row>
    <row r="5082">
      <c r="A5082" s="2" t="s">
        <v>6833</v>
      </c>
      <c r="B5082" s="3" t="str">
        <f>IFERROR(__xludf.DUMMYFUNCTION("GOOGLETRANSLATE(A5082, ""ar"", ""bn"")"),"প্রসিকিউটর")</f>
        <v>প্রসিকিউটর</v>
      </c>
    </row>
    <row r="5083">
      <c r="A5083" s="2" t="s">
        <v>4442</v>
      </c>
      <c r="B5083" s="3" t="str">
        <f>IFERROR(__xludf.DUMMYFUNCTION("GOOGLETRANSLATE(A5083, ""ar"", ""bn"")"),"কানাগলি")</f>
        <v>কানাগলি</v>
      </c>
    </row>
    <row r="5084">
      <c r="A5084" s="2" t="s">
        <v>3277</v>
      </c>
      <c r="B5084" s="3" t="str">
        <f>IFERROR(__xludf.DUMMYFUNCTION("GOOGLETRANSLATE(A5084, ""ar"", ""bn"")"),"দুর্দশাগুলোর")</f>
        <v>দুর্দশাগুলোর</v>
      </c>
    </row>
    <row r="5085">
      <c r="A5085" s="2" t="s">
        <v>6834</v>
      </c>
      <c r="B5085" s="3" t="str">
        <f>IFERROR(__xludf.DUMMYFUNCTION("GOOGLETRANSLATE(A5085, ""ar"", ""bn"")"),"ঢিকিয়ে ঢিকিয়ে চলা")</f>
        <v>ঢিকিয়ে ঢিকিয়ে চলা</v>
      </c>
    </row>
    <row r="5086">
      <c r="A5086" s="2" t="s">
        <v>6835</v>
      </c>
      <c r="B5086" s="3" t="str">
        <f>IFERROR(__xludf.DUMMYFUNCTION("GOOGLETRANSLATE(A5086, ""ar"", ""bn"")"),"Plodded")</f>
        <v>Plodded</v>
      </c>
    </row>
    <row r="5087">
      <c r="A5087" s="2" t="s">
        <v>6836</v>
      </c>
      <c r="B5087" s="3" t="str">
        <f>IFERROR(__xludf.DUMMYFUNCTION("GOOGLETRANSLATE(A5087, ""ar"", ""bn"")"),"পরিশ্রমী")</f>
        <v>পরিশ্রমী</v>
      </c>
    </row>
    <row r="5088">
      <c r="A5088" s="2" t="s">
        <v>6837</v>
      </c>
      <c r="B5088" s="3" t="str">
        <f>IFERROR(__xludf.DUMMYFUNCTION("GOOGLETRANSLATE(A5088, ""ar"", ""bn"")"),"Clumping")</f>
        <v>Clumping</v>
      </c>
    </row>
    <row r="5089">
      <c r="A5089" s="2" t="s">
        <v>6473</v>
      </c>
      <c r="B5089" s="3" t="str">
        <f>IFERROR(__xludf.DUMMYFUNCTION("GOOGLETRANSLATE(A5089, ""ar"", ""bn"")"),"গরমিল")</f>
        <v>গরমিল</v>
      </c>
    </row>
    <row r="5090">
      <c r="A5090" s="2" t="s">
        <v>3322</v>
      </c>
      <c r="B5090" s="3" t="str">
        <f>IFERROR(__xludf.DUMMYFUNCTION("GOOGLETRANSLATE(A5090, ""ar"", ""bn"")"),"কোন লক্ষ্যে")</f>
        <v>কোন লক্ষ্যে</v>
      </c>
    </row>
    <row r="5091">
      <c r="A5091" s="2" t="s">
        <v>6838</v>
      </c>
      <c r="B5091" s="3" t="str">
        <f>IFERROR(__xludf.DUMMYFUNCTION("GOOGLETRANSLATE(A5091, ""ar"", ""bn"")"),"নির্বুদ্ধিতা")</f>
        <v>নির্বুদ্ধিতা</v>
      </c>
    </row>
    <row r="5092">
      <c r="A5092" s="2" t="s">
        <v>6839</v>
      </c>
      <c r="B5092" s="3" t="str">
        <f>IFERROR(__xludf.DUMMYFUNCTION("GOOGLETRANSLATE(A5092, ""ar"", ""bn"")"),"সেমি")</f>
        <v>সেমি</v>
      </c>
    </row>
    <row r="5093">
      <c r="A5093" s="2" t="s">
        <v>6840</v>
      </c>
      <c r="B5093" s="3" t="str">
        <f>IFERROR(__xludf.DUMMYFUNCTION("GOOGLETRANSLATE(A5093, ""ar"", ""bn"")"),"মত্ত")</f>
        <v>মত্ত</v>
      </c>
    </row>
    <row r="5094">
      <c r="A5094" s="2" t="s">
        <v>6841</v>
      </c>
      <c r="B5094" s="3" t="str">
        <f>IFERROR(__xludf.DUMMYFUNCTION("GOOGLETRANSLATE(A5094, ""ar"", ""bn"")"),"বিষপ্রয়োজক")</f>
        <v>বিষপ্রয়োজক</v>
      </c>
    </row>
    <row r="5095">
      <c r="A5095" s="2" t="s">
        <v>6842</v>
      </c>
      <c r="B5095" s="3" t="str">
        <f>IFERROR(__xludf.DUMMYFUNCTION("GOOGLETRANSLATE(A5095, ""ar"", ""bn"")"),"বিষণ")</f>
        <v>বিষণ</v>
      </c>
    </row>
    <row r="5096">
      <c r="A5096" s="2" t="s">
        <v>6843</v>
      </c>
      <c r="B5096" s="3" t="str">
        <f>IFERROR(__xludf.DUMMYFUNCTION("GOOGLETRANSLATE(A5096, ""ar"", ""bn"")"),"বিষণ")</f>
        <v>বিষণ</v>
      </c>
    </row>
    <row r="5097">
      <c r="A5097" s="2" t="s">
        <v>6844</v>
      </c>
      <c r="B5097" s="3" t="str">
        <f>IFERROR(__xludf.DUMMYFUNCTION("GOOGLETRANSLATE(A5097, ""ar"", ""bn"")"),"বিষাক্ত")</f>
        <v>বিষাক্ত</v>
      </c>
    </row>
    <row r="5098">
      <c r="A5098" s="2" t="s">
        <v>6845</v>
      </c>
      <c r="B5098" s="3" t="str">
        <f>IFERROR(__xludf.DUMMYFUNCTION("GOOGLETRANSLATE(A5098, ""ar"", ""bn"")"),"বিষ")</f>
        <v>বিষ</v>
      </c>
    </row>
    <row r="5099">
      <c r="A5099" s="2" t="s">
        <v>6846</v>
      </c>
      <c r="B5099" s="3" t="str">
        <f>IFERROR(__xludf.DUMMYFUNCTION("GOOGLETRANSLATE(A5099, ""ar"", ""bn"")"),"দূষক")</f>
        <v>দূষক</v>
      </c>
    </row>
    <row r="5100">
      <c r="A5100" s="2" t="s">
        <v>6846</v>
      </c>
      <c r="B5100" s="3" t="str">
        <f>IFERROR(__xludf.DUMMYFUNCTION("GOOGLETRANSLATE(A5100, ""ar"", ""bn"")"),"দূষক")</f>
        <v>দূষক</v>
      </c>
    </row>
    <row r="5101">
      <c r="A5101" s="2" t="s">
        <v>4178</v>
      </c>
      <c r="B5101" s="3" t="str">
        <f>IFERROR(__xludf.DUMMYFUNCTION("GOOGLETRANSLATE(A5101, ""ar"", ""bn"")"),"দূষিত করা")</f>
        <v>দূষিত করা</v>
      </c>
    </row>
    <row r="5102">
      <c r="A5102" s="2" t="s">
        <v>4179</v>
      </c>
      <c r="B5102" s="3" t="str">
        <f>IFERROR(__xludf.DUMMYFUNCTION("GOOGLETRANSLATE(A5102, ""ar"", ""bn"")"),"কলুষিত")</f>
        <v>কলুষিত</v>
      </c>
    </row>
    <row r="5103">
      <c r="A5103" s="2" t="s">
        <v>4179</v>
      </c>
      <c r="B5103" s="3" t="str">
        <f>IFERROR(__xludf.DUMMYFUNCTION("GOOGLETRANSLATE(A5103, ""ar"", ""bn"")"),"কলুষিত")</f>
        <v>কলুষিত</v>
      </c>
    </row>
    <row r="5104">
      <c r="A5104" s="2" t="s">
        <v>6847</v>
      </c>
      <c r="B5104" s="3" t="str">
        <f>IFERROR(__xludf.DUMMYFUNCTION("GOOGLETRANSLATE(A5104, ""ar"", ""bn"")"),"দূষণকারীদের")</f>
        <v>দূষণকারীদের</v>
      </c>
    </row>
    <row r="5105">
      <c r="A5105" s="2" t="s">
        <v>4180</v>
      </c>
      <c r="B5105" s="3" t="str">
        <f>IFERROR(__xludf.DUMMYFUNCTION("GOOGLETRANSLATE(A5105, ""ar"", ""bn"")"),"contaminates")</f>
        <v>contaminates</v>
      </c>
    </row>
    <row r="5106">
      <c r="A5106" s="2" t="s">
        <v>4181</v>
      </c>
      <c r="B5106" s="3" t="str">
        <f>IFERROR(__xludf.DUMMYFUNCTION("GOOGLETRANSLATE(A5106, ""ar"", ""bn"")"),"দূষণ")</f>
        <v>দূষণ</v>
      </c>
    </row>
    <row r="5107">
      <c r="A5107" s="2" t="s">
        <v>6848</v>
      </c>
      <c r="B5107" s="3" t="str">
        <f>IFERROR(__xludf.DUMMYFUNCTION("GOOGLETRANSLATE(A5107, ""ar"", ""bn"")"),"দূষণ")</f>
        <v>দূষণ</v>
      </c>
    </row>
    <row r="5108">
      <c r="A5108" s="2" t="s">
        <v>6848</v>
      </c>
      <c r="B5108" s="3" t="str">
        <f>IFERROR(__xludf.DUMMYFUNCTION("GOOGLETRANSLATE(A5108, ""ar"", ""bn"")"),"দূষণ")</f>
        <v>দূষণ</v>
      </c>
    </row>
    <row r="5109">
      <c r="A5109" s="2" t="s">
        <v>6849</v>
      </c>
      <c r="B5109" s="3" t="str">
        <f>IFERROR(__xludf.DUMMYFUNCTION("GOOGLETRANSLATE(A5109, ""ar"", ""bn"")"),"আত্মম্ভরী")</f>
        <v>আত্মম্ভরী</v>
      </c>
    </row>
    <row r="5110">
      <c r="A5110" s="2" t="s">
        <v>3731</v>
      </c>
      <c r="B5110" s="3" t="str">
        <f>IFERROR(__xludf.DUMMYFUNCTION("GOOGLETRANSLATE(A5110, ""ar"", ""bn"")"),"জাহির করা")</f>
        <v>জাহির করা</v>
      </c>
    </row>
    <row r="5111">
      <c r="A5111" s="2" t="s">
        <v>6850</v>
      </c>
      <c r="B5111" s="3" t="str">
        <f>IFERROR(__xludf.DUMMYFUNCTION("GOOGLETRANSLATE(A5111, ""ar"", ""bn"")"),"দরিদ্র")</f>
        <v>দরিদ্র</v>
      </c>
    </row>
    <row r="5112">
      <c r="A5112" s="2" t="s">
        <v>6851</v>
      </c>
      <c r="B5112" s="3" t="str">
        <f>IFERROR(__xludf.DUMMYFUNCTION("GOOGLETRANSLATE(A5112, ""ar"", ""bn"")"),"দরিদ্রতম")</f>
        <v>দরিদ্রতম</v>
      </c>
    </row>
    <row r="5113">
      <c r="A5113" s="2" t="s">
        <v>6852</v>
      </c>
      <c r="B5113" s="3" t="str">
        <f>IFERROR(__xludf.DUMMYFUNCTION("GOOGLETRANSLATE(A5113, ""ar"", ""bn"")"),"দরিদ্র")</f>
        <v>দরিদ্র</v>
      </c>
    </row>
    <row r="5114">
      <c r="A5114" s="2" t="s">
        <v>3481</v>
      </c>
      <c r="B5114" s="3" t="str">
        <f>IFERROR(__xludf.DUMMYFUNCTION("GOOGLETRANSLATE(A5114, ""ar"", ""bn"")"),"খারাপ")</f>
        <v>খারাপ</v>
      </c>
    </row>
    <row r="5115">
      <c r="A5115" s="2" t="s">
        <v>6853</v>
      </c>
      <c r="B5115" s="3" t="str">
        <f>IFERROR(__xludf.DUMMYFUNCTION("GOOGLETRANSLATE(A5115, ""ar"", ""bn"")"),"দারিদ্র্য")</f>
        <v>দারিদ্র্য</v>
      </c>
    </row>
    <row r="5116">
      <c r="A5116" s="2" t="s">
        <v>3513</v>
      </c>
      <c r="B5116" s="3" t="str">
        <f>IFERROR(__xludf.DUMMYFUNCTION("GOOGLETRANSLATE(A5116, ""ar"", ""bn"")"),"ছাইপাঁশ")</f>
        <v>ছাইপাঁশ</v>
      </c>
    </row>
    <row r="5117">
      <c r="A5117" s="2" t="s">
        <v>6854</v>
      </c>
      <c r="B5117" s="3" t="str">
        <f>IFERROR(__xludf.DUMMYFUNCTION("GOOGLETRANSLATE(A5117, ""ar"", ""bn"")"),"চোখ রাঙ্গান")</f>
        <v>চোখ রাঙ্গান</v>
      </c>
    </row>
    <row r="5118">
      <c r="A5118" s="2" t="s">
        <v>5482</v>
      </c>
      <c r="B5118" s="3" t="str">
        <f>IFERROR(__xludf.DUMMYFUNCTION("GOOGLETRANSLATE(A5118, ""ar"", ""bn"")"),"ABS")</f>
        <v>ABS</v>
      </c>
    </row>
    <row r="5119">
      <c r="A5119" s="2" t="s">
        <v>6855</v>
      </c>
      <c r="B5119" s="3" t="str">
        <f>IFERROR(__xludf.DUMMYFUNCTION("GOOGLETRANSLATE(A5119, ""ar"", ""bn"")"),"নোটন পায়রা")</f>
        <v>নোটন পায়রা</v>
      </c>
    </row>
    <row r="5120">
      <c r="A5120" s="2" t="s">
        <v>6856</v>
      </c>
      <c r="B5120" s="3" t="str">
        <f>IFERROR(__xludf.DUMMYFUNCTION("GOOGLETRANSLATE(A5120, ""ar"", ""bn"")"),"বিস্ফুরিত")</f>
        <v>বিস্ফুরিত</v>
      </c>
    </row>
    <row r="5121">
      <c r="A5121" s="2" t="s">
        <v>6857</v>
      </c>
      <c r="B5121" s="3" t="str">
        <f>IFERROR(__xludf.DUMMYFUNCTION("GOOGLETRANSLATE(A5121, ""ar"", ""bn"")"),"Altbooiz")</f>
        <v>Altbooiz</v>
      </c>
    </row>
    <row r="5122">
      <c r="A5122" s="2" t="s">
        <v>6853</v>
      </c>
      <c r="B5122" s="3" t="str">
        <f>IFERROR(__xludf.DUMMYFUNCTION("GOOGLETRANSLATE(A5122, ""ar"", ""bn"")"),"দারিদ্র্য")</f>
        <v>দারিদ্র্য</v>
      </c>
    </row>
    <row r="5123">
      <c r="A5123" s="2" t="s">
        <v>5769</v>
      </c>
      <c r="B5123" s="3" t="str">
        <f>IFERROR(__xludf.DUMMYFUNCTION("GOOGLETRANSLATE(A5123, ""ar"", ""bn"")"),"অসহায়")</f>
        <v>অসহায়</v>
      </c>
    </row>
    <row r="5124">
      <c r="A5124" s="2" t="s">
        <v>5362</v>
      </c>
      <c r="B5124" s="3" t="str">
        <f>IFERROR(__xludf.DUMMYFUNCTION("GOOGLETRANSLATE(A5124, ""ar"", ""bn"")"),"দুর্বলতা")</f>
        <v>দুর্বলতা</v>
      </c>
    </row>
    <row r="5125">
      <c r="A5125" s="2" t="s">
        <v>6858</v>
      </c>
      <c r="B5125" s="3" t="str">
        <f>IFERROR(__xludf.DUMMYFUNCTION("GOOGLETRANSLATE(A5125, ""ar"", ""bn"")"),"জামিন")</f>
        <v>জামিন</v>
      </c>
    </row>
    <row r="5126">
      <c r="A5126" s="2" t="s">
        <v>3475</v>
      </c>
      <c r="B5126" s="3" t="str">
        <f>IFERROR(__xludf.DUMMYFUNCTION("GOOGLETRANSLATE(A5126, ""ar"", ""bn"")"),"চ্যাট")</f>
        <v>চ্যাট</v>
      </c>
    </row>
    <row r="5127">
      <c r="A5127" s="2" t="s">
        <v>6859</v>
      </c>
      <c r="B5127" s="3" t="str">
        <f>IFERROR(__xludf.DUMMYFUNCTION("GOOGLETRANSLATE(A5127, ""ar"", ""bn"")"),"গুপ্তচর")</f>
        <v>গুপ্তচর</v>
      </c>
    </row>
    <row r="5128">
      <c r="A5128" s="2" t="s">
        <v>6860</v>
      </c>
      <c r="B5128" s="3" t="str">
        <f>IFERROR(__xludf.DUMMYFUNCTION("GOOGLETRANSLATE(A5128, ""ar"", ""bn"")"),"কইয়ে")</f>
        <v>কইয়ে</v>
      </c>
    </row>
    <row r="5129">
      <c r="A5129" s="2" t="s">
        <v>6861</v>
      </c>
      <c r="B5129" s="3" t="str">
        <f>IFERROR(__xludf.DUMMYFUNCTION("GOOGLETRANSLATE(A5129, ""ar"", ""bn"")"),"অস্থিতিশীল")</f>
        <v>অস্থিতিশীল</v>
      </c>
    </row>
    <row r="5130">
      <c r="A5130" s="2" t="s">
        <v>6861</v>
      </c>
      <c r="B5130" s="3" t="str">
        <f>IFERROR(__xludf.DUMMYFUNCTION("GOOGLETRANSLATE(A5130, ""ar"", ""bn"")"),"অস্থিতিশীল")</f>
        <v>অস্থিতিশীল</v>
      </c>
    </row>
    <row r="5131">
      <c r="A5131" s="2" t="s">
        <v>6862</v>
      </c>
      <c r="B5131" s="3" t="str">
        <f>IFERROR(__xludf.DUMMYFUNCTION("GOOGLETRANSLATE(A5131, ""ar"", ""bn"")"),"অনিশ্চিত")</f>
        <v>অনিশ্চিত</v>
      </c>
    </row>
    <row r="5132">
      <c r="A5132" s="2" t="s">
        <v>5433</v>
      </c>
      <c r="B5132" s="3" t="str">
        <f>IFERROR(__xludf.DUMMYFUNCTION("GOOGLETRANSLATE(A5132, ""ar"", ""bn"")"),"বেপরোয়া")</f>
        <v>বেপরোয়া</v>
      </c>
    </row>
    <row r="5133">
      <c r="A5133" s="2" t="s">
        <v>6863</v>
      </c>
      <c r="B5133" s="3" t="str">
        <f>IFERROR(__xludf.DUMMYFUNCTION("GOOGLETRANSLATE(A5133, ""ar"", ""bn"")"),"precipitated")</f>
        <v>precipitated</v>
      </c>
    </row>
    <row r="5134">
      <c r="A5134" s="2" t="s">
        <v>6864</v>
      </c>
      <c r="B5134" s="3" t="str">
        <f>IFERROR(__xludf.DUMMYFUNCTION("GOOGLETRANSLATE(A5134, ""ar"", ""bn"")"),"ত্বরায়")</f>
        <v>ত্বরায়</v>
      </c>
    </row>
    <row r="5135">
      <c r="A5135" s="2" t="s">
        <v>6865</v>
      </c>
      <c r="B5135" s="3" t="str">
        <f>IFERROR(__xludf.DUMMYFUNCTION("GOOGLETRANSLATE(A5135, ""ar"", ""bn"")"),"অবশিষ্ট")</f>
        <v>অবশিষ্ট</v>
      </c>
    </row>
    <row r="5136">
      <c r="A5136" s="2" t="s">
        <v>4442</v>
      </c>
      <c r="B5136" s="3" t="str">
        <f>IFERROR(__xludf.DUMMYFUNCTION("GOOGLETRANSLATE(A5136, ""ar"", ""bn"")"),"কানাগলি")</f>
        <v>কানাগলি</v>
      </c>
    </row>
    <row r="5137">
      <c r="A5137" s="2" t="s">
        <v>6866</v>
      </c>
      <c r="B5137" s="3" t="str">
        <f>IFERROR(__xludf.DUMMYFUNCTION("GOOGLETRANSLATE(A5137, ""ar"", ""bn"")"),"কানাগলি")</f>
        <v>কানাগলি</v>
      </c>
    </row>
    <row r="5138">
      <c r="A5138" s="2" t="s">
        <v>6867</v>
      </c>
      <c r="B5138" s="3" t="str">
        <f>IFERROR(__xludf.DUMMYFUNCTION("GOOGLETRANSLATE(A5138, ""ar"", ""bn"")"),"কুসংস্কার")</f>
        <v>কুসংস্কার</v>
      </c>
    </row>
    <row r="5139">
      <c r="A5139" s="2" t="s">
        <v>6868</v>
      </c>
      <c r="B5139" s="3" t="str">
        <f>IFERROR(__xludf.DUMMYFUNCTION("GOOGLETRANSLATE(A5139, ""ar"", ""bn"")"),"কুসংস্কারাচ্ছন্ন")</f>
        <v>কুসংস্কারাচ্ছন্ন</v>
      </c>
    </row>
    <row r="5140">
      <c r="A5140" s="2" t="s">
        <v>6869</v>
      </c>
      <c r="B5140" s="3" t="str">
        <f>IFERROR(__xludf.DUMMYFUNCTION("GOOGLETRANSLATE(A5140, ""ar"", ""bn"")"),"গোঁড়ামির")</f>
        <v>গোঁড়ামির</v>
      </c>
    </row>
    <row r="5141">
      <c r="A5141" s="2" t="s">
        <v>4689</v>
      </c>
      <c r="B5141" s="3" t="str">
        <f>IFERROR(__xludf.DUMMYFUNCTION("GOOGLETRANSLATE(A5141, ""ar"", ""bn"")"),"ক্ষতিকর")</f>
        <v>ক্ষতিকর</v>
      </c>
    </row>
    <row r="5142">
      <c r="A5142" s="2" t="s">
        <v>6870</v>
      </c>
      <c r="B5142" s="3" t="str">
        <f>IFERROR(__xludf.DUMMYFUNCTION("GOOGLETRANSLATE(A5142, ""ar"", ""bn"")"),"Impinging")</f>
        <v>Impinging</v>
      </c>
    </row>
    <row r="5143">
      <c r="A5143" s="2" t="s">
        <v>6871</v>
      </c>
      <c r="B5143" s="3" t="str">
        <f>IFERROR(__xludf.DUMMYFUNCTION("GOOGLETRANSLATE(A5143, ""ar"", ""bn"")"),"অবিশ্বাস্য")</f>
        <v>অবিশ্বাস্য</v>
      </c>
    </row>
    <row r="5144">
      <c r="A5144" s="2" t="s">
        <v>6871</v>
      </c>
      <c r="B5144" s="3" t="str">
        <f>IFERROR(__xludf.DUMMYFUNCTION("GOOGLETRANSLATE(A5144, ""ar"", ""bn"")"),"অবিশ্বাস্য")</f>
        <v>অবিশ্বাস্য</v>
      </c>
    </row>
    <row r="5145">
      <c r="A5145" s="2" t="s">
        <v>6872</v>
      </c>
      <c r="B5145" s="3" t="str">
        <f>IFERROR(__xludf.DUMMYFUNCTION("GOOGLETRANSLATE(A5145, ""ar"", ""bn"")"),"চাপ")</f>
        <v>চাপ</v>
      </c>
    </row>
    <row r="5146">
      <c r="A5146" s="2" t="s">
        <v>6873</v>
      </c>
      <c r="B5146" s="3" t="str">
        <f>IFERROR(__xludf.DUMMYFUNCTION("GOOGLETRANSLATE(A5146, ""ar"", ""bn"")"),"চাপ")</f>
        <v>চাপ</v>
      </c>
    </row>
    <row r="5147">
      <c r="A5147" s="2" t="s">
        <v>6874</v>
      </c>
      <c r="B5147" s="3" t="str">
        <f>IFERROR(__xludf.DUMMYFUNCTION("GOOGLETRANSLATE(A5147, ""ar"", ""bn"")"),"চাপ")</f>
        <v>চাপ</v>
      </c>
    </row>
    <row r="5148">
      <c r="A5148" s="2" t="s">
        <v>6872</v>
      </c>
      <c r="B5148" s="3" t="str">
        <f>IFERROR(__xludf.DUMMYFUNCTION("GOOGLETRANSLATE(A5148, ""ar"", ""bn"")"),"চাপ")</f>
        <v>চাপ</v>
      </c>
    </row>
    <row r="5149">
      <c r="A5149" s="2" t="s">
        <v>6872</v>
      </c>
      <c r="B5149" s="3" t="str">
        <f>IFERROR(__xludf.DUMMYFUNCTION("GOOGLETRANSLATE(A5149, ""ar"", ""bn"")"),"চাপ")</f>
        <v>চাপ</v>
      </c>
    </row>
    <row r="5150">
      <c r="A5150" s="2" t="s">
        <v>6872</v>
      </c>
      <c r="B5150" s="3" t="str">
        <f>IFERROR(__xludf.DUMMYFUNCTION("GOOGLETRANSLATE(A5150, ""ar"", ""bn"")"),"চাপ")</f>
        <v>চাপ</v>
      </c>
    </row>
    <row r="5151">
      <c r="A5151" s="2" t="s">
        <v>6872</v>
      </c>
      <c r="B5151" s="3" t="str">
        <f>IFERROR(__xludf.DUMMYFUNCTION("GOOGLETRANSLATE(A5151, ""ar"", ""bn"")"),"চাপ")</f>
        <v>চাপ</v>
      </c>
    </row>
    <row r="5152">
      <c r="A5152" s="2" t="s">
        <v>3781</v>
      </c>
      <c r="B5152" s="3" t="str">
        <f>IFERROR(__xludf.DUMMYFUNCTION("GOOGLETRANSLATE(A5152, ""ar"", ""bn"")"),"লজ্জাহীন")</f>
        <v>লজ্জাহীন</v>
      </c>
    </row>
    <row r="5153">
      <c r="A5153" s="2" t="s">
        <v>6875</v>
      </c>
      <c r="B5153" s="3" t="str">
        <f>IFERROR(__xludf.DUMMYFUNCTION("GOOGLETRANSLATE(A5153, ""ar"", ""bn"")"),"সদম্ভে")</f>
        <v>সদম্ভে</v>
      </c>
    </row>
    <row r="5154">
      <c r="A5154" s="2" t="s">
        <v>6876</v>
      </c>
      <c r="B5154" s="3" t="str">
        <f>IFERROR(__xludf.DUMMYFUNCTION("GOOGLETRANSLATE(A5154, ""ar"", ""bn"")"),"জিদ করা")</f>
        <v>জিদ করা</v>
      </c>
    </row>
    <row r="5155">
      <c r="A5155" s="2" t="s">
        <v>4567</v>
      </c>
      <c r="B5155" s="3" t="str">
        <f>IFERROR(__xludf.DUMMYFUNCTION("GOOGLETRANSLATE(A5155, ""ar"", ""bn"")"),"ভান করা")</f>
        <v>ভান করা</v>
      </c>
    </row>
    <row r="5156">
      <c r="A5156" s="2" t="s">
        <v>6877</v>
      </c>
      <c r="B5156" s="3" t="str">
        <f>IFERROR(__xludf.DUMMYFUNCTION("GOOGLETRANSLATE(A5156, ""ar"", ""bn"")"),"কৃত্রিম")</f>
        <v>কৃত্রিম</v>
      </c>
    </row>
    <row r="5157">
      <c r="A5157" s="2" t="s">
        <v>6878</v>
      </c>
      <c r="B5157" s="3" t="str">
        <f>IFERROR(__xludf.DUMMYFUNCTION("GOOGLETRANSLATE(A5157, ""ar"", ""bn"")"),"ভণ্ড")</f>
        <v>ভণ্ড</v>
      </c>
    </row>
    <row r="5158">
      <c r="A5158" s="2" t="s">
        <v>6879</v>
      </c>
      <c r="B5158" s="3" t="str">
        <f>IFERROR(__xludf.DUMMYFUNCTION("GOOGLETRANSLATE(A5158, ""ar"", ""bn"")"),"pretenders")</f>
        <v>pretenders</v>
      </c>
    </row>
    <row r="5159">
      <c r="A5159" s="2" t="s">
        <v>4569</v>
      </c>
      <c r="B5159" s="3" t="str">
        <f>IFERROR(__xludf.DUMMYFUNCTION("GOOGLETRANSLATE(A5159, ""ar"", ""bn"")"),"ভান করা")</f>
        <v>ভান করা</v>
      </c>
    </row>
    <row r="5160">
      <c r="A5160" s="2" t="s">
        <v>6880</v>
      </c>
      <c r="B5160" s="3" t="str">
        <f>IFERROR(__xludf.DUMMYFUNCTION("GOOGLETRANSLATE(A5160, ""ar"", ""bn"")"),"বুজরূক")</f>
        <v>বুজরূক</v>
      </c>
    </row>
    <row r="5161">
      <c r="A5161" s="2" t="s">
        <v>6881</v>
      </c>
      <c r="B5161" s="3" t="str">
        <f>IFERROR(__xludf.DUMMYFUNCTION("GOOGLETRANSLATE(A5161, ""ar"", ""bn"")"),"উচ্চাকাঙ্ক্ষা")</f>
        <v>উচ্চাকাঙ্ক্ষা</v>
      </c>
    </row>
    <row r="5162">
      <c r="A5162" s="2" t="s">
        <v>5604</v>
      </c>
      <c r="B5162" s="3" t="str">
        <f>IFERROR(__xludf.DUMMYFUNCTION("GOOGLETRANSLATE(A5162, ""ar"", ""bn"")"),"ক্ষুধা")</f>
        <v>ক্ষুধা</v>
      </c>
    </row>
    <row r="5163">
      <c r="A5163" s="2" t="s">
        <v>6882</v>
      </c>
      <c r="B5163" s="3" t="str">
        <f>IFERROR(__xludf.DUMMYFUNCTION("GOOGLETRANSLATE(A5163, ""ar"", ""bn"")"),"ফুটা")</f>
        <v>ফুটা</v>
      </c>
    </row>
    <row r="5164">
      <c r="A5164" s="2" t="s">
        <v>6883</v>
      </c>
      <c r="B5164" s="3" t="str">
        <f>IFERROR(__xludf.DUMMYFUNCTION("GOOGLETRANSLATE(A5164, ""ar"", ""bn"")"),"কুচান")</f>
        <v>কুচান</v>
      </c>
    </row>
    <row r="5165">
      <c r="A5165" s="2" t="s">
        <v>6884</v>
      </c>
      <c r="B5165" s="3" t="str">
        <f>IFERROR(__xludf.DUMMYFUNCTION("GOOGLETRANSLATE(A5165, ""ar"", ""bn"")"),"চিকিত্সা-পদ্ধতি বিশেষ")</f>
        <v>চিকিত্সা-পদ্ধতি বিশেষ</v>
      </c>
    </row>
    <row r="5166">
      <c r="A5166" s="2" t="s">
        <v>6883</v>
      </c>
      <c r="B5166" s="3" t="str">
        <f>IFERROR(__xludf.DUMMYFUNCTION("GOOGLETRANSLATE(A5166, ""ar"", ""bn"")"),"কুচান")</f>
        <v>কুচান</v>
      </c>
    </row>
    <row r="5167">
      <c r="A5167" s="2" t="s">
        <v>6885</v>
      </c>
      <c r="B5167" s="3" t="str">
        <f>IFERROR(__xludf.DUMMYFUNCTION("GOOGLETRANSLATE(A5167, ""ar"", ""bn"")"),"আমরা গ্রহণ")</f>
        <v>আমরা গ্রহণ</v>
      </c>
    </row>
    <row r="5168">
      <c r="A5168" s="2" t="s">
        <v>6886</v>
      </c>
      <c r="B5168" s="3" t="str">
        <f>IFERROR(__xludf.DUMMYFUNCTION("GOOGLETRANSLATE(A5168, ""ar"", ""bn"")"),"কাঁটার")</f>
        <v>কাঁটার</v>
      </c>
    </row>
    <row r="5169">
      <c r="A5169" s="2" t="s">
        <v>6887</v>
      </c>
      <c r="B5169" s="3" t="str">
        <f>IFERROR(__xludf.DUMMYFUNCTION("GOOGLETRANSLATE(A5169, ""ar"", ""bn"")"),"কণ্টকিত")</f>
        <v>কণ্টকিত</v>
      </c>
    </row>
    <row r="5170">
      <c r="A5170" s="2" t="s">
        <v>6888</v>
      </c>
      <c r="B5170" s="3" t="str">
        <f>IFERROR(__xludf.DUMMYFUNCTION("GOOGLETRANSLATE(A5170, ""ar"", ""bn"")"),"গর্ত")</f>
        <v>গর্ত</v>
      </c>
    </row>
    <row r="5171">
      <c r="A5171" s="2" t="s">
        <v>6889</v>
      </c>
      <c r="B5171" s="3" t="str">
        <f>IFERROR(__xludf.DUMMYFUNCTION("GOOGLETRANSLATE(A5171, ""ar"", ""bn"")"),"কাঁটা")</f>
        <v>কাঁটা</v>
      </c>
    </row>
    <row r="5172">
      <c r="A5172" s="2" t="s">
        <v>6890</v>
      </c>
      <c r="B5172" s="3" t="str">
        <f>IFERROR(__xludf.DUMMYFUNCTION("GOOGLETRANSLATE(A5172, ""ar"", ""bn"")"),"বালির")</f>
        <v>বালির</v>
      </c>
    </row>
    <row r="5173">
      <c r="A5173" s="2" t="s">
        <v>5933</v>
      </c>
      <c r="B5173" s="3" t="str">
        <f>IFERROR(__xludf.DUMMYFUNCTION("GOOGLETRANSLATE(A5173, ""ar"", ""bn"")"),"কারাগার")</f>
        <v>কারাগার</v>
      </c>
    </row>
    <row r="5174">
      <c r="A5174" s="2" t="s">
        <v>6133</v>
      </c>
      <c r="B5174" s="3" t="str">
        <f>IFERROR(__xludf.DUMMYFUNCTION("GOOGLETRANSLATE(A5174, ""ar"", ""bn"")"),"বন্দী")</f>
        <v>বন্দী</v>
      </c>
    </row>
    <row r="5175">
      <c r="A5175" s="2" t="s">
        <v>6891</v>
      </c>
      <c r="B5175" s="3" t="str">
        <f>IFERROR(__xludf.DUMMYFUNCTION("GOOGLETRANSLATE(A5175, ""ar"", ""bn"")"),"প্রিজনার্স")</f>
        <v>প্রিজনার্স</v>
      </c>
    </row>
    <row r="5176">
      <c r="A5176" s="2" t="s">
        <v>6134</v>
      </c>
      <c r="B5176" s="3" t="str">
        <f>IFERROR(__xludf.DUMMYFUNCTION("GOOGLETRANSLATE(A5176, ""ar"", ""bn"")"),"জেলখানা")</f>
        <v>জেলখানা</v>
      </c>
    </row>
    <row r="5177">
      <c r="A5177" s="2" t="s">
        <v>6892</v>
      </c>
      <c r="B5177" s="3" t="str">
        <f>IFERROR(__xludf.DUMMYFUNCTION("GOOGLETRANSLATE(A5177, ""ar"", ""bn"")"),"সমস্যা")</f>
        <v>সমস্যা</v>
      </c>
    </row>
    <row r="5178">
      <c r="A5178" s="2" t="s">
        <v>6893</v>
      </c>
      <c r="B5178" s="3" t="str">
        <f>IFERROR(__xludf.DUMMYFUNCTION("GOOGLETRANSLATE(A5178, ""ar"", ""bn"")"),"সমস্যা")</f>
        <v>সমস্যা</v>
      </c>
    </row>
    <row r="5179">
      <c r="A5179" s="2" t="s">
        <v>6894</v>
      </c>
      <c r="B5179" s="3" t="str">
        <f>IFERROR(__xludf.DUMMYFUNCTION("GOOGLETRANSLATE(A5179, ""ar"", ""bn"")"),"সন্দেহযুক্ত")</f>
        <v>সন্দেহযুক্ত</v>
      </c>
    </row>
    <row r="5180">
      <c r="A5180" s="2" t="s">
        <v>6895</v>
      </c>
      <c r="B5180" s="3" t="str">
        <f>IFERROR(__xludf.DUMMYFUNCTION("GOOGLETRANSLATE(A5180, ""ar"", ""bn"")"),"Problematically")</f>
        <v>Problematically</v>
      </c>
    </row>
    <row r="5181">
      <c r="A5181" s="2" t="s">
        <v>6896</v>
      </c>
      <c r="B5181" s="3" t="str">
        <f>IFERROR(__xludf.DUMMYFUNCTION("GOOGLETRANSLATE(A5181, ""ar"", ""bn"")"),"সমস্যা")</f>
        <v>সমস্যা</v>
      </c>
    </row>
    <row r="5182">
      <c r="A5182" s="2" t="s">
        <v>6897</v>
      </c>
      <c r="B5182" s="3" t="str">
        <f>IFERROR(__xludf.DUMMYFUNCTION("GOOGLETRANSLATE(A5182, ""ar"", ""bn"")"),"আজকাল করা")</f>
        <v>আজকাল করা</v>
      </c>
    </row>
    <row r="5183">
      <c r="A5183" s="2" t="s">
        <v>6898</v>
      </c>
      <c r="B5183" s="3" t="str">
        <f>IFERROR(__xludf.DUMMYFUNCTION("GOOGLETRANSLATE(A5183, ""ar"", ""bn"")"),"stalling")</f>
        <v>stalling</v>
      </c>
    </row>
    <row r="5184">
      <c r="A5184" s="2" t="s">
        <v>6899</v>
      </c>
      <c r="B5184" s="3" t="str">
        <f>IFERROR(__xludf.DUMMYFUNCTION("GOOGLETRANSLATE(A5184, ""ar"", ""bn"")"),"গড়িমসি")</f>
        <v>গড়িমসি</v>
      </c>
    </row>
    <row r="5185">
      <c r="A5185" s="2" t="s">
        <v>6900</v>
      </c>
      <c r="B5185" s="3" t="str">
        <f>IFERROR(__xludf.DUMMYFUNCTION("GOOGLETRANSLATE(A5185, ""ar"", ""bn"")"),"ফাঁকি")</f>
        <v>ফাঁকি</v>
      </c>
    </row>
    <row r="5186">
      <c r="A5186" s="2" t="s">
        <v>6901</v>
      </c>
      <c r="B5186" s="3" t="str">
        <f>IFERROR(__xludf.DUMMYFUNCTION("GOOGLETRANSLATE(A5186, ""ar"", ""bn"")"),"Procrastinator")</f>
        <v>Procrastinator</v>
      </c>
    </row>
    <row r="5187">
      <c r="A5187" s="2" t="s">
        <v>6902</v>
      </c>
      <c r="B5187" s="3" t="str">
        <f>IFERROR(__xludf.DUMMYFUNCTION("GOOGLETRANSLATE(A5187, ""ar"", ""bn"")"),"Procrastinators")</f>
        <v>Procrastinators</v>
      </c>
    </row>
    <row r="5188">
      <c r="A5188" s="2" t="s">
        <v>6903</v>
      </c>
      <c r="B5188" s="3" t="str">
        <f>IFERROR(__xludf.DUMMYFUNCTION("GOOGLETRANSLATE(A5188, ""ar"", ""bn"")"),"শঙ্কু")</f>
        <v>শঙ্কু</v>
      </c>
    </row>
    <row r="5189">
      <c r="A5189" s="2" t="s">
        <v>6904</v>
      </c>
      <c r="B5189" s="3" t="str">
        <f>IFERROR(__xludf.DUMMYFUNCTION("GOOGLETRANSLATE(A5189, ""ar"", ""bn"")"),"তাড়ন")</f>
        <v>তাড়ন</v>
      </c>
    </row>
    <row r="5190">
      <c r="A5190" s="2" t="s">
        <v>6905</v>
      </c>
      <c r="B5190" s="3" t="str">
        <f>IFERROR(__xludf.DUMMYFUNCTION("GOOGLETRANSLATE(A5190, ""ar"", ""bn"")"),"আনয়ন")</f>
        <v>আনয়ন</v>
      </c>
    </row>
    <row r="5191">
      <c r="A5191" s="2" t="s">
        <v>6906</v>
      </c>
      <c r="B5191" s="3" t="str">
        <f>IFERROR(__xludf.DUMMYFUNCTION("GOOGLETRANSLATE(A5191, ""ar"", ""bn"")"),"ঢের")</f>
        <v>ঢের</v>
      </c>
    </row>
    <row r="5192">
      <c r="A5192" s="2" t="s">
        <v>6907</v>
      </c>
      <c r="B5192" s="3" t="str">
        <f>IFERROR(__xludf.DUMMYFUNCTION("GOOGLETRANSLATE(A5192, ""ar"", ""bn"")"),"উড়নচড়ে")</f>
        <v>উড়নচড়ে</v>
      </c>
    </row>
    <row r="5193">
      <c r="A5193" s="2" t="s">
        <v>6908</v>
      </c>
      <c r="B5193" s="3" t="str">
        <f>IFERROR(__xludf.DUMMYFUNCTION("GOOGLETRANSLATE(A5193, ""ar"", ""bn"")"),"Prodigally")</f>
        <v>Prodigally</v>
      </c>
    </row>
    <row r="5194">
      <c r="A5194" s="2" t="s">
        <v>6909</v>
      </c>
      <c r="B5194" s="3" t="str">
        <f>IFERROR(__xludf.DUMMYFUNCTION("GOOGLETRANSLATE(A5194, ""ar"", ""bn"")"),"অলৌকিক")</f>
        <v>অলৌকিক</v>
      </c>
    </row>
    <row r="5195">
      <c r="A5195" s="2" t="s">
        <v>6910</v>
      </c>
      <c r="B5195" s="3" t="str">
        <f>IFERROR(__xludf.DUMMYFUNCTION("GOOGLETRANSLATE(A5195, ""ar"", ""bn"")"),"অলৌকিক")</f>
        <v>অলৌকিক</v>
      </c>
    </row>
    <row r="5196">
      <c r="A5196" s="2" t="s">
        <v>6911</v>
      </c>
      <c r="B5196" s="3" t="str">
        <f>IFERROR(__xludf.DUMMYFUNCTION("GOOGLETRANSLATE(A5196, ""ar"", ""bn"")"),"অস্বাভাবিক")</f>
        <v>অস্বাভাবিক</v>
      </c>
    </row>
    <row r="5197">
      <c r="A5197" s="2" t="s">
        <v>6912</v>
      </c>
      <c r="B5197" s="3" t="str">
        <f>IFERROR(__xludf.DUMMYFUNCTION("GOOGLETRANSLATE(A5197, ""ar"", ""bn"")"),"অলৌকিক ঘটনা")</f>
        <v>অলৌকিক ঘটনা</v>
      </c>
    </row>
    <row r="5198">
      <c r="A5198" s="2" t="s">
        <v>6913</v>
      </c>
      <c r="B5198" s="3" t="str">
        <f>IFERROR(__xludf.DUMMYFUNCTION("GOOGLETRANSLATE(A5198, ""ar"", ""bn"")"),"বালির")</f>
        <v>বালির</v>
      </c>
    </row>
    <row r="5199">
      <c r="A5199" s="2" t="s">
        <v>6914</v>
      </c>
      <c r="B5199" s="3" t="str">
        <f>IFERROR(__xludf.DUMMYFUNCTION("GOOGLETRANSLATE(A5199, ""ar"", ""bn"")"),"উত্পাদনের")</f>
        <v>উত্পাদনের</v>
      </c>
    </row>
    <row r="5200">
      <c r="A5200" s="2" t="s">
        <v>6915</v>
      </c>
      <c r="B5200" s="3" t="str">
        <f>IFERROR(__xludf.DUMMYFUNCTION("GOOGLETRANSLATE(A5200, ""ar"", ""bn"")"),"প্রযোজনা")</f>
        <v>প্রযোজনা</v>
      </c>
    </row>
    <row r="5201">
      <c r="A5201" s="2" t="s">
        <v>6916</v>
      </c>
      <c r="B5201" s="3" t="str">
        <f>IFERROR(__xludf.DUMMYFUNCTION("GOOGLETRANSLATE(A5201, ""ar"", ""bn"")"),"উত্পাদক")</f>
        <v>উত্পাদক</v>
      </c>
    </row>
    <row r="5202">
      <c r="A5202" s="2" t="s">
        <v>6917</v>
      </c>
      <c r="B5202" s="3" t="str">
        <f>IFERROR(__xludf.DUMMYFUNCTION("GOOGLETRANSLATE(A5202, ""ar"", ""bn"")"),"প্রযোজক")</f>
        <v>প্রযোজক</v>
      </c>
    </row>
    <row r="5203">
      <c r="A5203" s="2" t="s">
        <v>6918</v>
      </c>
      <c r="B5203" s="3" t="str">
        <f>IFERROR(__xludf.DUMMYFUNCTION("GOOGLETRANSLATE(A5203, ""ar"", ""bn"")"),"উত্পাদন")</f>
        <v>উত্পাদন</v>
      </c>
    </row>
    <row r="5204">
      <c r="A5204" s="2" t="s">
        <v>6919</v>
      </c>
      <c r="B5204" s="3" t="str">
        <f>IFERROR(__xludf.DUMMYFUNCTION("GOOGLETRANSLATE(A5204, ""ar"", ""bn"")"),"উত্পাদনের")</f>
        <v>উত্পাদনের</v>
      </c>
    </row>
    <row r="5205">
      <c r="A5205" s="2" t="s">
        <v>6914</v>
      </c>
      <c r="B5205" s="3" t="str">
        <f>IFERROR(__xludf.DUMMYFUNCTION("GOOGLETRANSLATE(A5205, ""ar"", ""bn"")"),"উত্পাদনের")</f>
        <v>উত্পাদনের</v>
      </c>
    </row>
    <row r="5206">
      <c r="A5206" s="2" t="s">
        <v>6920</v>
      </c>
      <c r="B5206" s="3" t="str">
        <f>IFERROR(__xludf.DUMMYFUNCTION("GOOGLETRANSLATE(A5206, ""ar"", ""bn"")"),"পণ্য")</f>
        <v>পণ্য</v>
      </c>
    </row>
    <row r="5207">
      <c r="A5207" s="2" t="s">
        <v>6921</v>
      </c>
      <c r="B5207" s="3" t="str">
        <f>IFERROR(__xludf.DUMMYFUNCTION("GOOGLETRANSLATE(A5207, ""ar"", ""bn"")"),"উত্পাদনের")</f>
        <v>উত্পাদনের</v>
      </c>
    </row>
    <row r="5208">
      <c r="A5208" s="2" t="s">
        <v>6921</v>
      </c>
      <c r="B5208" s="3" t="str">
        <f>IFERROR(__xludf.DUMMYFUNCTION("GOOGLETRANSLATE(A5208, ""ar"", ""bn"")"),"উত্পাদনের")</f>
        <v>উত্পাদনের</v>
      </c>
    </row>
    <row r="5209">
      <c r="A5209" s="2" t="s">
        <v>6916</v>
      </c>
      <c r="B5209" s="3" t="str">
        <f>IFERROR(__xludf.DUMMYFUNCTION("GOOGLETRANSLATE(A5209, ""ar"", ""bn"")"),"উত্পাদক")</f>
        <v>উত্পাদক</v>
      </c>
    </row>
    <row r="5210">
      <c r="A5210" s="2" t="s">
        <v>6922</v>
      </c>
      <c r="B5210" s="3" t="str">
        <f>IFERROR(__xludf.DUMMYFUNCTION("GOOGLETRANSLATE(A5210, ""ar"", ""bn"")"),"ফলপ্রসূ")</f>
        <v>ফলপ্রসূ</v>
      </c>
    </row>
    <row r="5211">
      <c r="A5211" s="2" t="s">
        <v>6923</v>
      </c>
      <c r="B5211" s="3" t="str">
        <f>IFERROR(__xludf.DUMMYFUNCTION("GOOGLETRANSLATE(A5211, ""ar"", ""bn"")"),"প্রমোদ")</f>
        <v>প্রমোদ</v>
      </c>
    </row>
    <row r="5212">
      <c r="A5212" s="2" t="s">
        <v>6924</v>
      </c>
      <c r="B5212" s="3" t="str">
        <f>IFERROR(__xludf.DUMMYFUNCTION("GOOGLETRANSLATE(A5212, ""ar"", ""bn"")"),"পণ্য")</f>
        <v>পণ্য</v>
      </c>
    </row>
    <row r="5213">
      <c r="A5213" s="2" t="s">
        <v>6925</v>
      </c>
      <c r="B5213" s="3" t="str">
        <f>IFERROR(__xludf.DUMMYFUNCTION("GOOGLETRANSLATE(A5213, ""ar"", ""bn"")"),"কাজে লাগান")</f>
        <v>কাজে লাগান</v>
      </c>
    </row>
    <row r="5214">
      <c r="A5214" s="2" t="s">
        <v>6926</v>
      </c>
      <c r="B5214" s="3" t="str">
        <f>IFERROR(__xludf.DUMMYFUNCTION("GOOGLETRANSLATE(A5214, ""ar"", ""bn"")"),"খাদ্য")</f>
        <v>খাদ্য</v>
      </c>
    </row>
    <row r="5215">
      <c r="A5215" s="2" t="s">
        <v>6927</v>
      </c>
      <c r="B5215" s="3" t="str">
        <f>IFERROR(__xludf.DUMMYFUNCTION("GOOGLETRANSLATE(A5215, ""ar"", ""bn"")"),"অলাভজনক")</f>
        <v>অলাভজনক</v>
      </c>
    </row>
    <row r="5216">
      <c r="A5216" s="2" t="s">
        <v>6695</v>
      </c>
      <c r="B5216" s="3" t="str">
        <f>IFERROR(__xludf.DUMMYFUNCTION("GOOGLETRANSLATE(A5216, ""ar"", ""bn"")"),"নিষিদ্ধ")</f>
        <v>নিষিদ্ধ</v>
      </c>
    </row>
    <row r="5217">
      <c r="A5217" s="2" t="s">
        <v>5439</v>
      </c>
      <c r="B5217" s="3" t="str">
        <f>IFERROR(__xludf.DUMMYFUNCTION("GOOGLETRANSLATE(A5217, ""ar"", ""bn"")"),"নিষিদ্ধ")</f>
        <v>নিষিদ্ধ</v>
      </c>
    </row>
    <row r="5218">
      <c r="A5218" s="2" t="s">
        <v>6697</v>
      </c>
      <c r="B5218" s="3" t="str">
        <f>IFERROR(__xludf.DUMMYFUNCTION("GOOGLETRANSLATE(A5218, ""ar"", ""bn"")"),"নিষিদ্ধ")</f>
        <v>নিষিদ্ধ</v>
      </c>
    </row>
    <row r="5219">
      <c r="A5219" s="2" t="s">
        <v>6695</v>
      </c>
      <c r="B5219" s="3" t="str">
        <f>IFERROR(__xludf.DUMMYFUNCTION("GOOGLETRANSLATE(A5219, ""ar"", ""bn"")"),"নিষিদ্ধ")</f>
        <v>নিষিদ্ধ</v>
      </c>
    </row>
    <row r="5220">
      <c r="A5220" s="2" t="s">
        <v>6928</v>
      </c>
      <c r="B5220" s="3" t="str">
        <f>IFERROR(__xludf.DUMMYFUNCTION("GOOGLETRANSLATE(A5220, ""ar"", ""bn"")"),"নিষেধ")</f>
        <v>নিষেধ</v>
      </c>
    </row>
    <row r="5221">
      <c r="A5221" s="2" t="s">
        <v>6929</v>
      </c>
      <c r="B5221" s="3" t="str">
        <f>IFERROR(__xludf.DUMMYFUNCTION("GOOGLETRANSLATE(A5221, ""ar"", ""bn"")"),"নিষেধাজ্ঞা")</f>
        <v>নিষেধাজ্ঞা</v>
      </c>
    </row>
    <row r="5222">
      <c r="A5222" s="2" t="s">
        <v>6930</v>
      </c>
      <c r="B5222" s="3" t="str">
        <f>IFERROR(__xludf.DUMMYFUNCTION("GOOGLETRANSLATE(A5222, ""ar"", ""bn"")"),"বাধাদায়ক")</f>
        <v>বাধাদায়ক</v>
      </c>
    </row>
    <row r="5223">
      <c r="A5223" s="2" t="s">
        <v>6931</v>
      </c>
      <c r="B5223" s="3" t="str">
        <f>IFERROR(__xludf.DUMMYFUNCTION("GOOGLETRANSLATE(A5223, ""ar"", ""bn"")"),"ব্যয়বহুল")</f>
        <v>ব্যয়বহুল</v>
      </c>
    </row>
    <row r="5224">
      <c r="A5224" s="2" t="s">
        <v>6697</v>
      </c>
      <c r="B5224" s="3" t="str">
        <f>IFERROR(__xludf.DUMMYFUNCTION("GOOGLETRANSLATE(A5224, ""ar"", ""bn"")"),"নিষিদ্ধ")</f>
        <v>নিষিদ্ধ</v>
      </c>
    </row>
    <row r="5225">
      <c r="A5225" s="2" t="s">
        <v>6932</v>
      </c>
      <c r="B5225" s="3" t="str">
        <f>IFERROR(__xludf.DUMMYFUNCTION("GOOGLETRANSLATE(A5225, ""ar"", ""bn"")"),"মিশ্রণ")</f>
        <v>মিশ্রণ</v>
      </c>
    </row>
    <row r="5226">
      <c r="A5226" s="2" t="s">
        <v>5873</v>
      </c>
      <c r="B5226" s="3" t="str">
        <f>IFERROR(__xludf.DUMMYFUNCTION("GOOGLETRANSLATE(A5226, ""ar"", ""bn"")"),"অবৈধ")</f>
        <v>অবৈধ</v>
      </c>
    </row>
    <row r="5227">
      <c r="A5227" s="2" t="s">
        <v>6933</v>
      </c>
      <c r="B5227" s="3" t="str">
        <f>IFERROR(__xludf.DUMMYFUNCTION("GOOGLETRANSLATE(A5227, ""ar"", ""bn"")"),"অভেদপূর্বক")</f>
        <v>অভেদপূর্বক</v>
      </c>
    </row>
    <row r="5228">
      <c r="A5228" s="2" t="s">
        <v>6934</v>
      </c>
      <c r="B5228" s="3" t="str">
        <f>IFERROR(__xludf.DUMMYFUNCTION("GOOGLETRANSLATE(A5228, ""ar"", ""bn"")"),"বিজ্ঞাপন")</f>
        <v>বিজ্ঞাপন</v>
      </c>
    </row>
    <row r="5229">
      <c r="A5229" s="2" t="s">
        <v>6935</v>
      </c>
      <c r="B5229" s="3" t="str">
        <f>IFERROR(__xludf.DUMMYFUNCTION("GOOGLETRANSLATE(A5229, ""ar"", ""bn"")"),"প্রসিকিউশন")</f>
        <v>প্রসিকিউশন</v>
      </c>
    </row>
    <row r="5230">
      <c r="A5230" s="2" t="s">
        <v>6936</v>
      </c>
      <c r="B5230" s="3" t="str">
        <f>IFERROR(__xludf.DUMMYFUNCTION("GOOGLETRANSLATE(A5230, ""ar"", ""bn"")"),"পরীক্ষা")</f>
        <v>পরীক্ষা</v>
      </c>
    </row>
    <row r="5231">
      <c r="A5231" s="2" t="s">
        <v>6936</v>
      </c>
      <c r="B5231" s="3" t="str">
        <f>IFERROR(__xludf.DUMMYFUNCTION("GOOGLETRANSLATE(A5231, ""ar"", ""bn"")"),"পরীক্ষা")</f>
        <v>পরীক্ষা</v>
      </c>
    </row>
    <row r="5232">
      <c r="A5232" s="2" t="s">
        <v>6937</v>
      </c>
      <c r="B5232" s="3" t="str">
        <f>IFERROR(__xludf.DUMMYFUNCTION("GOOGLETRANSLATE(A5232, ""ar"", ""bn"")"),"প্রসিকিউশন")</f>
        <v>প্রসিকিউশন</v>
      </c>
    </row>
    <row r="5233">
      <c r="A5233" s="2" t="s">
        <v>6936</v>
      </c>
      <c r="B5233" s="3" t="str">
        <f>IFERROR(__xludf.DUMMYFUNCTION("GOOGLETRANSLATE(A5233, ""ar"", ""bn"")"),"পরীক্ষা")</f>
        <v>পরীক্ষা</v>
      </c>
    </row>
    <row r="5234">
      <c r="A5234" s="2" t="s">
        <v>6935</v>
      </c>
      <c r="B5234" s="3" t="str">
        <f>IFERROR(__xludf.DUMMYFUNCTION("GOOGLETRANSLATE(A5234, ""ar"", ""bn"")"),"প্রসিকিউশন")</f>
        <v>প্রসিকিউশন</v>
      </c>
    </row>
    <row r="5235">
      <c r="A5235" s="2" t="s">
        <v>6938</v>
      </c>
      <c r="B5235" s="3" t="str">
        <f>IFERROR(__xludf.DUMMYFUNCTION("GOOGLETRANSLATE(A5235, ""ar"", ""bn"")"),"শাস্তি")</f>
        <v>শাস্তি</v>
      </c>
    </row>
    <row r="5236">
      <c r="A5236" s="2" t="s">
        <v>4088</v>
      </c>
      <c r="B5236" s="3" t="str">
        <f>IFERROR(__xludf.DUMMYFUNCTION("GOOGLETRANSLATE(A5236, ""ar"", ""bn"")"),"দাবিদার")</f>
        <v>দাবিদার</v>
      </c>
    </row>
    <row r="5237">
      <c r="A5237" s="2" t="s">
        <v>6939</v>
      </c>
      <c r="B5237" s="3" t="str">
        <f>IFERROR(__xludf.DUMMYFUNCTION("GOOGLETRANSLATE(A5237, ""ar"", ""bn"")"),"জন প্রসিকিউশন")</f>
        <v>জন প্রসিকিউশন</v>
      </c>
    </row>
    <row r="5238">
      <c r="A5238" s="2" t="s">
        <v>6939</v>
      </c>
      <c r="B5238" s="3" t="str">
        <f>IFERROR(__xludf.DUMMYFUNCTION("GOOGLETRANSLATE(A5238, ""ar"", ""bn"")"),"জন প্রসিকিউশন")</f>
        <v>জন প্রসিকিউশন</v>
      </c>
    </row>
    <row r="5239">
      <c r="A5239" s="2" t="s">
        <v>6694</v>
      </c>
      <c r="B5239" s="3" t="str">
        <f>IFERROR(__xludf.DUMMYFUNCTION("GOOGLETRANSLATE(A5239, ""ar"", ""bn"")"),"আপত্তি")</f>
        <v>আপত্তি</v>
      </c>
    </row>
    <row r="5240">
      <c r="A5240" s="2" t="s">
        <v>6940</v>
      </c>
      <c r="B5240" s="3" t="str">
        <f>IFERROR(__xludf.DUMMYFUNCTION("GOOGLETRANSLATE(A5240, ""ar"", ""bn"")"),"আপত্তিকারী")</f>
        <v>আপত্তিকারী</v>
      </c>
    </row>
    <row r="5241">
      <c r="A5241" s="2" t="s">
        <v>6941</v>
      </c>
      <c r="B5241" s="3" t="str">
        <f>IFERROR(__xludf.DUMMYFUNCTION("GOOGLETRANSLATE(A5241, ""ar"", ""bn"")"),"প্রোটেসট্যানটিজম")</f>
        <v>প্রোটেসট্যানটিজম</v>
      </c>
    </row>
    <row r="5242">
      <c r="A5242" s="2" t="s">
        <v>6940</v>
      </c>
      <c r="B5242" s="3" t="str">
        <f>IFERROR(__xludf.DUMMYFUNCTION("GOOGLETRANSLATE(A5242, ""ar"", ""bn"")"),"আপত্তিকারী")</f>
        <v>আপত্তিকারী</v>
      </c>
    </row>
    <row r="5243">
      <c r="A5243" s="2" t="s">
        <v>6694</v>
      </c>
      <c r="B5243" s="3" t="str">
        <f>IFERROR(__xludf.DUMMYFUNCTION("GOOGLETRANSLATE(A5243, ""ar"", ""bn"")"),"আপত্তি")</f>
        <v>আপত্তি</v>
      </c>
    </row>
    <row r="5244">
      <c r="A5244" s="2" t="s">
        <v>6942</v>
      </c>
      <c r="B5244" s="3" t="str">
        <f>IFERROR(__xludf.DUMMYFUNCTION("GOOGLETRANSLATE(A5244, ""ar"", ""bn"")"),"প্রতিবাদ")</f>
        <v>প্রতিবাদ</v>
      </c>
    </row>
    <row r="5245">
      <c r="A5245" s="2" t="s">
        <v>6943</v>
      </c>
      <c r="B5245" s="3" t="str">
        <f>IFERROR(__xludf.DUMMYFUNCTION("GOOGLETRANSLATE(A5245, ""ar"", ""bn"")"),"আপত্তি")</f>
        <v>আপত্তি</v>
      </c>
    </row>
    <row r="5246">
      <c r="A5246" s="2" t="s">
        <v>6944</v>
      </c>
      <c r="B5246" s="3" t="str">
        <f>IFERROR(__xludf.DUMMYFUNCTION("GOOGLETRANSLATE(A5246, ""ar"", ""bn"")"),"প্রতিবাদকারীরা")</f>
        <v>প্রতিবাদকারীরা</v>
      </c>
    </row>
    <row r="5247">
      <c r="A5247" s="2" t="s">
        <v>4574</v>
      </c>
      <c r="B5247" s="3" t="str">
        <f>IFERROR(__xludf.DUMMYFUNCTION("GOOGLETRANSLATE(A5247, ""ar"", ""bn"")"),"প্রতিবাদকারীরা")</f>
        <v>প্রতিবাদকারীরা</v>
      </c>
    </row>
    <row r="5248">
      <c r="A5248" s="2" t="s">
        <v>6945</v>
      </c>
      <c r="B5248" s="3" t="str">
        <f>IFERROR(__xludf.DUMMYFUNCTION("GOOGLETRANSLATE(A5248, ""ar"", ""bn"")"),"প্রতিবাদে")</f>
        <v>প্রতিবাদে</v>
      </c>
    </row>
    <row r="5249">
      <c r="A5249" s="2" t="s">
        <v>4573</v>
      </c>
      <c r="B5249" s="3" t="str">
        <f>IFERROR(__xludf.DUMMYFUNCTION("GOOGLETRANSLATE(A5249, ""ar"", ""bn"")"),"সক্রিয় অংশগ্রহণকারী")</f>
        <v>সক্রিয় অংশগ্রহণকারী</v>
      </c>
    </row>
    <row r="5250">
      <c r="A5250" s="2" t="s">
        <v>4574</v>
      </c>
      <c r="B5250" s="3" t="str">
        <f>IFERROR(__xludf.DUMMYFUNCTION("GOOGLETRANSLATE(A5250, ""ar"", ""bn"")"),"প্রতিবাদকারীরা")</f>
        <v>প্রতিবাদকারীরা</v>
      </c>
    </row>
    <row r="5251">
      <c r="A5251" s="2" t="s">
        <v>6942</v>
      </c>
      <c r="B5251" s="3" t="str">
        <f>IFERROR(__xludf.DUMMYFUNCTION("GOOGLETRANSLATE(A5251, ""ar"", ""bn"")"),"প্রতিবাদ")</f>
        <v>প্রতিবাদ</v>
      </c>
    </row>
    <row r="5252">
      <c r="A5252" s="2" t="s">
        <v>6946</v>
      </c>
      <c r="B5252" s="3" t="str">
        <f>IFERROR(__xludf.DUMMYFUNCTION("GOOGLETRANSLATE(A5252, ""ar"", ""bn"")"),"হুজুগ")</f>
        <v>হুজুগ</v>
      </c>
    </row>
    <row r="5253">
      <c r="A5253" s="2" t="s">
        <v>6947</v>
      </c>
      <c r="B5253" s="3" t="str">
        <f>IFERROR(__xludf.DUMMYFUNCTION("GOOGLETRANSLATE(A5253, ""ar"", ""bn"")"),"উস্কানি")</f>
        <v>উস্কানি</v>
      </c>
    </row>
    <row r="5254">
      <c r="A5254" s="2" t="s">
        <v>6946</v>
      </c>
      <c r="B5254" s="3" t="str">
        <f>IFERROR(__xludf.DUMMYFUNCTION("GOOGLETRANSLATE(A5254, ""ar"", ""bn"")"),"হুজুগ")</f>
        <v>হুজুগ</v>
      </c>
    </row>
    <row r="5255">
      <c r="A5255" s="2" t="s">
        <v>6948</v>
      </c>
      <c r="B5255" s="3" t="str">
        <f>IFERROR(__xludf.DUMMYFUNCTION("GOOGLETRANSLATE(A5255, ""ar"", ""bn"")"),"প্রভাব")</f>
        <v>প্রভাব</v>
      </c>
    </row>
    <row r="5256">
      <c r="A5256" s="2" t="s">
        <v>6949</v>
      </c>
      <c r="B5256" s="3" t="str">
        <f>IFERROR(__xludf.DUMMYFUNCTION("GOOGLETRANSLATE(A5256, ""ar"", ""bn"")"),"provokes")</f>
        <v>provokes</v>
      </c>
    </row>
    <row r="5257">
      <c r="A5257" s="2" t="s">
        <v>6950</v>
      </c>
      <c r="B5257" s="3" t="str">
        <f>IFERROR(__xludf.DUMMYFUNCTION("GOOGLETRANSLATE(A5257, ""ar"", ""bn"")"),"কোটি টাকার শেয়ার ছাড়ছে")</f>
        <v>কোটি টাকার শেয়ার ছাড়ছে</v>
      </c>
    </row>
    <row r="5258">
      <c r="A5258" s="2" t="s">
        <v>6951</v>
      </c>
      <c r="B5258" s="3" t="str">
        <f>IFERROR(__xludf.DUMMYFUNCTION("GOOGLETRANSLATE(A5258, ""ar"", ""bn"")"),"চোরাই মাল")</f>
        <v>চোরাই মাল</v>
      </c>
    </row>
    <row r="5259">
      <c r="A5259" s="2" t="s">
        <v>3848</v>
      </c>
      <c r="B5259" s="3" t="str">
        <f>IFERROR(__xludf.DUMMYFUNCTION("GOOGLETRANSLATE(A5259, ""ar"", ""bn"")"),"লতিকা")</f>
        <v>লতিকা</v>
      </c>
    </row>
    <row r="5260">
      <c r="A5260" s="2" t="s">
        <v>6952</v>
      </c>
      <c r="B5260" s="3" t="str">
        <f>IFERROR(__xludf.DUMMYFUNCTION("GOOGLETRANSLATE(A5260, ""ar"", ""bn"")"),"ট্রলস")</f>
        <v>ট্রলস</v>
      </c>
    </row>
    <row r="5261">
      <c r="A5261" s="2" t="s">
        <v>6953</v>
      </c>
      <c r="B5261" s="3" t="str">
        <f>IFERROR(__xludf.DUMMYFUNCTION("GOOGLETRANSLATE(A5261, ""ar"", ""bn"")"),"মাজন")</f>
        <v>মাজন</v>
      </c>
    </row>
    <row r="5262">
      <c r="A5262" s="2" t="s">
        <v>6954</v>
      </c>
      <c r="B5262" s="3" t="str">
        <f>IFERROR(__xludf.DUMMYFUNCTION("GOOGLETRANSLATE(A5262, ""ar"", ""bn"")"),"উভয়সঙ্কট")</f>
        <v>উভয়সঙ্কট</v>
      </c>
    </row>
    <row r="5263">
      <c r="A5263" s="2" t="s">
        <v>6955</v>
      </c>
      <c r="B5263" s="3" t="str">
        <f>IFERROR(__xludf.DUMMYFUNCTION("GOOGLETRANSLATE(A5263, ""ar"", ""bn"")"),"কিছুর মধ্যে উঁকি মারা")</f>
        <v>কিছুর মধ্যে উঁকি মারা</v>
      </c>
    </row>
    <row r="5264">
      <c r="A5264" s="2" t="s">
        <v>6083</v>
      </c>
      <c r="B5264" s="3" t="str">
        <f>IFERROR(__xludf.DUMMYFUNCTION("GOOGLETRANSLATE(A5264, ""ar"", ""bn"")"),"প্রার্থনারত")</f>
        <v>প্রার্থনারত</v>
      </c>
    </row>
    <row r="5265">
      <c r="A5265" s="2" t="s">
        <v>6956</v>
      </c>
      <c r="B5265" s="3" t="str">
        <f>IFERROR(__xludf.DUMMYFUNCTION("GOOGLETRANSLATE(A5265, ""ar"", ""bn"")"),"বমি")</f>
        <v>বমি</v>
      </c>
    </row>
    <row r="5266">
      <c r="A5266" s="2" t="s">
        <v>6957</v>
      </c>
      <c r="B5266" s="3" t="str">
        <f>IFERROR(__xludf.DUMMYFUNCTION("GOOGLETRANSLATE(A5266, ""ar"", ""bn"")"),"Puking")</f>
        <v>Puking</v>
      </c>
    </row>
    <row r="5267">
      <c r="A5267" s="2" t="s">
        <v>6958</v>
      </c>
      <c r="B5267" s="3" t="str">
        <f>IFERROR(__xludf.DUMMYFUNCTION("GOOGLETRANSLATE(A5267, ""ar"", ""bn"")"),"মুষ্ট্যাঘাত")</f>
        <v>মুষ্ট্যাঘাত</v>
      </c>
    </row>
    <row r="5268">
      <c r="A5268" s="2" t="s">
        <v>6959</v>
      </c>
      <c r="B5268" s="3" t="str">
        <f>IFERROR(__xludf.DUMMYFUNCTION("GOOGLETRANSLATE(A5268, ""ar"", ""bn"")"),"Boncbwol")</f>
        <v>Boncbwol</v>
      </c>
    </row>
    <row r="5269">
      <c r="A5269" s="2" t="s">
        <v>6960</v>
      </c>
      <c r="B5269" s="3" t="str">
        <f>IFERROR(__xludf.DUMMYFUNCTION("GOOGLETRANSLATE(A5269, ""ar"", ""bn"")"),"পাঞ্চ")</f>
        <v>পাঞ্চ</v>
      </c>
    </row>
    <row r="5270">
      <c r="A5270" s="2" t="s">
        <v>6961</v>
      </c>
      <c r="B5270" s="3" t="str">
        <f>IFERROR(__xludf.DUMMYFUNCTION("GOOGLETRANSLATE(A5270, ""ar"", ""bn"")"),"গুঁতা বা ঘুসি মারে")</f>
        <v>গুঁতা বা ঘুসি মারে</v>
      </c>
    </row>
    <row r="5271">
      <c r="A5271" s="2" t="s">
        <v>6962</v>
      </c>
      <c r="B5271" s="3" t="str">
        <f>IFERROR(__xludf.DUMMYFUNCTION("GOOGLETRANSLATE(A5271, ""ar"", ""bn"")"),"পাঞ্চসমূহ")</f>
        <v>পাঞ্চসমূহ</v>
      </c>
    </row>
    <row r="5272">
      <c r="A5272" s="2" t="s">
        <v>6963</v>
      </c>
      <c r="B5272" s="3" t="str">
        <f>IFERROR(__xludf.DUMMYFUNCTION("GOOGLETRANSLATE(A5272, ""ar"", ""bn"")"),"punching")</f>
        <v>punching</v>
      </c>
    </row>
    <row r="5273">
      <c r="A5273" s="2" t="s">
        <v>6964</v>
      </c>
      <c r="B5273" s="3" t="str">
        <f>IFERROR(__xludf.DUMMYFUNCTION("GOOGLETRANSLATE(A5273, ""ar"", ""bn"")"),"Bonhleyn")</f>
        <v>Bonhleyn</v>
      </c>
    </row>
    <row r="5274">
      <c r="A5274" s="2" t="s">
        <v>5298</v>
      </c>
      <c r="B5274" s="3" t="str">
        <f>IFERROR(__xludf.DUMMYFUNCTION("GOOGLETRANSLATE(A5274, ""ar"", ""bn"")"),"টলায়মান")</f>
        <v>টলায়মান</v>
      </c>
    </row>
    <row r="5275">
      <c r="A5275" s="2" t="s">
        <v>3966</v>
      </c>
      <c r="B5275" s="3" t="str">
        <f>IFERROR(__xludf.DUMMYFUNCTION("GOOGLETRANSLATE(A5275, ""ar"", ""bn"")"),"শাস্তি")</f>
        <v>শাস্তি</v>
      </c>
    </row>
    <row r="5276">
      <c r="A5276" s="2" t="s">
        <v>6965</v>
      </c>
      <c r="B5276" s="3" t="str">
        <f>IFERROR(__xludf.DUMMYFUNCTION("GOOGLETRANSLATE(A5276, ""ar"", ""bn"")"),"শাস্তি")</f>
        <v>শাস্তি</v>
      </c>
    </row>
    <row r="5277">
      <c r="A5277" s="2" t="s">
        <v>6965</v>
      </c>
      <c r="B5277" s="3" t="str">
        <f>IFERROR(__xludf.DUMMYFUNCTION("GOOGLETRANSLATE(A5277, ""ar"", ""bn"")"),"শাস্তি")</f>
        <v>শাস্তি</v>
      </c>
    </row>
    <row r="5278">
      <c r="A5278" s="2" t="s">
        <v>6965</v>
      </c>
      <c r="B5278" s="3" t="str">
        <f>IFERROR(__xludf.DUMMYFUNCTION("GOOGLETRANSLATE(A5278, ""ar"", ""bn"")"),"শাস্তি")</f>
        <v>শাস্তি</v>
      </c>
    </row>
    <row r="5279">
      <c r="A5279" s="2" t="s">
        <v>3966</v>
      </c>
      <c r="B5279" s="3" t="str">
        <f>IFERROR(__xludf.DUMMYFUNCTION("GOOGLETRANSLATE(A5279, ""ar"", ""bn"")"),"শাস্তি")</f>
        <v>শাস্তি</v>
      </c>
    </row>
    <row r="5280">
      <c r="A5280" s="2" t="s">
        <v>6966</v>
      </c>
      <c r="B5280" s="3" t="str">
        <f>IFERROR(__xludf.DUMMYFUNCTION("GOOGLETRANSLATE(A5280, ""ar"", ""bn"")"),"শাস্তি")</f>
        <v>শাস্তি</v>
      </c>
    </row>
    <row r="5281">
      <c r="A5281" s="2" t="s">
        <v>6967</v>
      </c>
      <c r="B5281" s="3" t="str">
        <f>IFERROR(__xludf.DUMMYFUNCTION("GOOGLETRANSLATE(A5281, ""ar"", ""bn"")"),"জরিমানা")</f>
        <v>জরিমানা</v>
      </c>
    </row>
    <row r="5282">
      <c r="A5282" s="2" t="s">
        <v>6968</v>
      </c>
      <c r="B5282" s="3" t="str">
        <f>IFERROR(__xludf.DUMMYFUNCTION("GOOGLETRANSLATE(A5282, ""ar"", ""bn"")"),"পুঁচকে")</f>
        <v>পুঁচকে</v>
      </c>
    </row>
    <row r="5283">
      <c r="A5283" s="2" t="s">
        <v>3637</v>
      </c>
      <c r="B5283" s="3" t="str">
        <f>IFERROR(__xludf.DUMMYFUNCTION("GOOGLETRANSLATE(A5283, ""ar"", ""bn"")"),"বিশৃঙ্খলা")</f>
        <v>বিশৃঙ্খলা</v>
      </c>
    </row>
    <row r="5284">
      <c r="A5284" s="2" t="s">
        <v>6969</v>
      </c>
      <c r="B5284" s="3" t="str">
        <f>IFERROR(__xludf.DUMMYFUNCTION("GOOGLETRANSLATE(A5284, ""ar"", ""bn"")"),"বিবেকের দংশন")</f>
        <v>বিবেকের দংশন</v>
      </c>
    </row>
    <row r="5285">
      <c r="A5285" s="2" t="s">
        <v>6970</v>
      </c>
      <c r="B5285" s="3" t="str">
        <f>IFERROR(__xludf.DUMMYFUNCTION("GOOGLETRANSLATE(A5285, ""ar"", ""bn"")"),"সংশয়")</f>
        <v>সংশয়</v>
      </c>
    </row>
    <row r="5286">
      <c r="A5286" s="2" t="s">
        <v>3776</v>
      </c>
      <c r="B5286" s="3" t="str">
        <f>IFERROR(__xludf.DUMMYFUNCTION("GOOGLETRANSLATE(A5286, ""ar"", ""bn"")"),"ঝগড়া")</f>
        <v>ঝগড়া</v>
      </c>
    </row>
    <row r="5287">
      <c r="A5287" s="2" t="s">
        <v>3777</v>
      </c>
      <c r="B5287" s="3" t="str">
        <f>IFERROR(__xludf.DUMMYFUNCTION("GOOGLETRANSLATE(A5287, ""ar"", ""bn"")"),"ঝগড়া")</f>
        <v>ঝগড়া</v>
      </c>
    </row>
    <row r="5288">
      <c r="A5288" s="2" t="s">
        <v>6971</v>
      </c>
      <c r="B5288" s="3" t="str">
        <f>IFERROR(__xludf.DUMMYFUNCTION("GOOGLETRANSLATE(A5288, ""ar"", ""bn"")"),"বিতর্কিত")</f>
        <v>বিতর্কিত</v>
      </c>
    </row>
    <row r="5289">
      <c r="A5289" s="2" t="s">
        <v>6972</v>
      </c>
      <c r="B5289" s="3" t="str">
        <f>IFERROR(__xludf.DUMMYFUNCTION("GOOGLETRANSLATE(A5289, ""ar"", ""bn"")"),"দ্বন্দ্ব")</f>
        <v>দ্বন্দ্ব</v>
      </c>
    </row>
    <row r="5290">
      <c r="A5290" s="2" t="s">
        <v>3647</v>
      </c>
      <c r="B5290" s="3" t="str">
        <f>IFERROR(__xludf.DUMMYFUNCTION("GOOGLETRANSLATE(A5290, ""ar"", ""bn"")"),"বিদ্বেষপরায়ণ")</f>
        <v>বিদ্বেষপরায়ণ</v>
      </c>
    </row>
    <row r="5291">
      <c r="A5291" s="2" t="s">
        <v>6973</v>
      </c>
      <c r="B5291" s="3" t="str">
        <f>IFERROR(__xludf.DUMMYFUNCTION("GOOGLETRANSLATE(A5291, ""ar"", ""bn"")"),"উত্কট")</f>
        <v>উত্কট</v>
      </c>
    </row>
    <row r="5292">
      <c r="A5292" s="2" t="s">
        <v>6974</v>
      </c>
      <c r="B5292" s="3" t="str">
        <f>IFERROR(__xludf.DUMMYFUNCTION("GOOGLETRANSLATE(A5292, ""ar"", ""bn"")"),"আরো উদ্ভট")</f>
        <v>আরো উদ্ভট</v>
      </c>
    </row>
    <row r="5293">
      <c r="A5293" s="2" t="s">
        <v>4991</v>
      </c>
      <c r="B5293" s="3" t="str">
        <f>IFERROR(__xludf.DUMMYFUNCTION("GOOGLETRANSLATE(A5293, ""ar"", ""bn"")"),"সন্দিহান")</f>
        <v>সন্দিহান</v>
      </c>
    </row>
    <row r="5294">
      <c r="A5294" s="2" t="s">
        <v>6975</v>
      </c>
      <c r="B5294" s="3" t="str">
        <f>IFERROR(__xludf.DUMMYFUNCTION("GOOGLETRANSLATE(A5294, ""ar"", ""bn"")"),"টাল")</f>
        <v>টাল</v>
      </c>
    </row>
    <row r="5295">
      <c r="A5295" s="2" t="s">
        <v>6976</v>
      </c>
      <c r="B5295" s="3" t="str">
        <f>IFERROR(__xludf.DUMMYFUNCTION("GOOGLETRANSLATE(A5295, ""ar"", ""bn"")"),"বিতর্কের অবকাশ")</f>
        <v>বিতর্কের অবকাশ</v>
      </c>
    </row>
    <row r="5296">
      <c r="A5296" s="2" t="s">
        <v>6977</v>
      </c>
      <c r="B5296" s="3" t="str">
        <f>IFERROR(__xludf.DUMMYFUNCTION("GOOGLETRANSLATE(A5296, ""ar"", ""bn"")"),"পদত্যাগ")</f>
        <v>পদত্যাগ</v>
      </c>
    </row>
    <row r="5297">
      <c r="A5297" s="2" t="s">
        <v>6978</v>
      </c>
      <c r="B5297" s="3" t="str">
        <f>IFERROR(__xludf.DUMMYFUNCTION("GOOGLETRANSLATE(A5297, ""ar"", ""bn"")"),"সম্পূর্ণরূপে")</f>
        <v>সম্পূর্ণরূপে</v>
      </c>
    </row>
    <row r="5298">
      <c r="A5298" s="2" t="s">
        <v>6979</v>
      </c>
      <c r="B5298" s="3" t="str">
        <f>IFERROR(__xludf.DUMMYFUNCTION("GOOGLETRANSLATE(A5298, ""ar"", ""bn"")"),"প্রায় সম্পন্ন")</f>
        <v>প্রায় সম্পন্ন</v>
      </c>
    </row>
    <row r="5299">
      <c r="A5299" s="2" t="s">
        <v>6977</v>
      </c>
      <c r="B5299" s="3" t="str">
        <f>IFERROR(__xludf.DUMMYFUNCTION("GOOGLETRANSLATE(A5299, ""ar"", ""bn"")"),"পদত্যাগ")</f>
        <v>পদত্যাগ</v>
      </c>
    </row>
    <row r="5300">
      <c r="A5300" s="2" t="s">
        <v>4500</v>
      </c>
      <c r="B5300" s="3" t="str">
        <f>IFERROR(__xludf.DUMMYFUNCTION("GOOGLETRANSLATE(A5300, ""ar"", ""bn"")"),"পরাজিত মনোভাবসম্পন্ন ব্যক্তি")</f>
        <v>পরাজিত মনোভাবসম্পন্ন ব্যক্তি</v>
      </c>
    </row>
    <row r="5301">
      <c r="A5301" s="2" t="s">
        <v>6980</v>
      </c>
      <c r="B5301" s="3" t="str">
        <f>IFERROR(__xludf.DUMMYFUNCTION("GOOGLETRANSLATE(A5301, ""ar"", ""bn"")"),"ধুমপান ত্যাগ কর")</f>
        <v>ধুমপান ত্যাগ কর</v>
      </c>
    </row>
    <row r="5302">
      <c r="A5302" s="2" t="s">
        <v>4500</v>
      </c>
      <c r="B5302" s="3" t="str">
        <f>IFERROR(__xludf.DUMMYFUNCTION("GOOGLETRANSLATE(A5302, ""ar"", ""bn"")"),"পরাজিত মনোভাবসম্পন্ন ব্যক্তি")</f>
        <v>পরাজিত মনোভাবসম্পন্ন ব্যক্তি</v>
      </c>
    </row>
    <row r="5303">
      <c r="A5303" s="2" t="s">
        <v>6981</v>
      </c>
      <c r="B5303" s="3" t="str">
        <f>IFERROR(__xludf.DUMMYFUNCTION("GOOGLETRANSLATE(A5303, ""ar"", ""bn"")"),"স্বাজাতিকতা")</f>
        <v>স্বাজাতিকতা</v>
      </c>
    </row>
    <row r="5304">
      <c r="A5304" s="2" t="s">
        <v>6982</v>
      </c>
      <c r="B5304" s="3" t="str">
        <f>IFERROR(__xludf.DUMMYFUNCTION("GOOGLETRANSLATE(A5304, ""ar"", ""bn"")"),"স্বাজাতিকতা")</f>
        <v>স্বাজাতিকতা</v>
      </c>
    </row>
    <row r="5305">
      <c r="A5305" s="2" t="s">
        <v>6983</v>
      </c>
      <c r="B5305" s="3" t="str">
        <f>IFERROR(__xludf.DUMMYFUNCTION("GOOGLETRANSLATE(A5305, ""ar"", ""bn"")"),"জাতিভেদাভেদকারী")</f>
        <v>জাতিভেদাভেদকারী</v>
      </c>
    </row>
    <row r="5306">
      <c r="A5306" s="2" t="s">
        <v>6984</v>
      </c>
      <c r="B5306" s="3" t="str">
        <f>IFERROR(__xludf.DUMMYFUNCTION("GOOGLETRANSLATE(A5306, ""ar"", ""bn"")"),"ভিত্তিগত")</f>
        <v>ভিত্তিগত</v>
      </c>
    </row>
    <row r="5307">
      <c r="A5307" s="2" t="s">
        <v>6985</v>
      </c>
      <c r="B5307" s="3" t="str">
        <f>IFERROR(__xludf.DUMMYFUNCTION("GOOGLETRANSLATE(A5307, ""ar"", ""bn"")"),"ক্লান্ত করা")</f>
        <v>ক্লান্ত করা</v>
      </c>
    </row>
    <row r="5308">
      <c r="A5308" s="2" t="s">
        <v>6986</v>
      </c>
      <c r="B5308" s="3" t="str">
        <f>IFERROR(__xludf.DUMMYFUNCTION("GOOGLETRANSLATE(A5308, ""ar"", ""bn"")"),"আমূল")</f>
        <v>আমূল</v>
      </c>
    </row>
    <row r="5309">
      <c r="A5309" s="2" t="s">
        <v>6987</v>
      </c>
      <c r="B5309" s="3" t="str">
        <f>IFERROR(__xludf.DUMMYFUNCTION("GOOGLETRANSLATE(A5309, ""ar"", ""bn"")"),"শিকড়")</f>
        <v>শিকড়</v>
      </c>
    </row>
    <row r="5310">
      <c r="A5310" s="2" t="s">
        <v>3368</v>
      </c>
      <c r="B5310" s="3" t="str">
        <f>IFERROR(__xludf.DUMMYFUNCTION("GOOGLETRANSLATE(A5310, ""ar"", ""bn"")"),"রাগ")</f>
        <v>রাগ</v>
      </c>
    </row>
    <row r="5311">
      <c r="A5311" s="2" t="s">
        <v>6988</v>
      </c>
      <c r="B5311" s="3" t="str">
        <f>IFERROR(__xludf.DUMMYFUNCTION("GOOGLETRANSLATE(A5311, ""ar"", ""bn"")"),"raged")</f>
        <v>raged</v>
      </c>
    </row>
    <row r="5312">
      <c r="A5312" s="2" t="s">
        <v>6989</v>
      </c>
      <c r="B5312" s="3" t="str">
        <f>IFERROR(__xludf.DUMMYFUNCTION("GOOGLETRANSLATE(A5312, ""ar"", ""bn"")"),"rages")</f>
        <v>rages</v>
      </c>
    </row>
    <row r="5313">
      <c r="A5313" s="2" t="s">
        <v>6990</v>
      </c>
      <c r="B5313" s="3" t="str">
        <f>IFERROR(__xludf.DUMMYFUNCTION("GOOGLETRANSLATE(A5313, ""ar"", ""bn"")"),"raging")</f>
        <v>raging</v>
      </c>
    </row>
    <row r="5314">
      <c r="A5314" s="2" t="s">
        <v>6991</v>
      </c>
      <c r="B5314" s="3" t="str">
        <f>IFERROR(__xludf.DUMMYFUNCTION("GOOGLETRANSLATE(A5314, ""ar"", ""bn"")"),"উপদ্রব")</f>
        <v>উপদ্রব</v>
      </c>
    </row>
    <row r="5315">
      <c r="A5315" s="2" t="s">
        <v>6992</v>
      </c>
      <c r="B5315" s="3" t="str">
        <f>IFERROR(__xludf.DUMMYFUNCTION("GOOGLETRANSLATE(A5315, ""ar"", ""bn"")"),"হানা")</f>
        <v>হানা</v>
      </c>
    </row>
    <row r="5316">
      <c r="A5316" s="2" t="s">
        <v>3297</v>
      </c>
      <c r="B5316" s="3" t="str">
        <f>IFERROR(__xludf.DUMMYFUNCTION("GOOGLETRANSLATE(A5316, ""ar"", ""bn"")"),"আক্রমণকারী")</f>
        <v>আক্রমণকারী</v>
      </c>
    </row>
    <row r="5317">
      <c r="A5317" s="2" t="s">
        <v>6993</v>
      </c>
      <c r="B5317" s="3" t="str">
        <f>IFERROR(__xludf.DUMMYFUNCTION("GOOGLETRANSLATE(A5317, ""ar"", ""bn"")"),"হানাদারদের")</f>
        <v>হানাদারদের</v>
      </c>
    </row>
    <row r="5318">
      <c r="A5318" s="2" t="s">
        <v>6991</v>
      </c>
      <c r="B5318" s="3" t="str">
        <f>IFERROR(__xludf.DUMMYFUNCTION("GOOGLETRANSLATE(A5318, ""ar"", ""bn"")"),"উপদ্রব")</f>
        <v>উপদ্রব</v>
      </c>
    </row>
    <row r="5319">
      <c r="A5319" s="2" t="s">
        <v>6994</v>
      </c>
      <c r="B5319" s="3" t="str">
        <f>IFERROR(__xludf.DUMMYFUNCTION("GOOGLETRANSLATE(A5319, ""ar"", ""bn"")"),"অভিযান")</f>
        <v>অভিযান</v>
      </c>
    </row>
    <row r="5320">
      <c r="A5320" s="2" t="s">
        <v>6153</v>
      </c>
      <c r="B5320" s="3" t="str">
        <f>IFERROR(__xludf.DUMMYFUNCTION("GOOGLETRANSLATE(A5320, ""ar"", ""bn"")"),"একটি বনভোজন")</f>
        <v>একটি বনভোজন</v>
      </c>
    </row>
    <row r="5321">
      <c r="A5321" s="2" t="s">
        <v>6995</v>
      </c>
      <c r="B5321" s="3" t="str">
        <f>IFERROR(__xludf.DUMMYFUNCTION("GOOGLETRANSLATE(A5321, ""ar"", ""bn"")"),"Rambled")</f>
        <v>Rambled</v>
      </c>
    </row>
    <row r="5322">
      <c r="A5322" s="2" t="s">
        <v>3848</v>
      </c>
      <c r="B5322" s="3" t="str">
        <f>IFERROR(__xludf.DUMMYFUNCTION("GOOGLETRANSLATE(A5322, ""ar"", ""bn"")"),"লতিকা")</f>
        <v>লতিকা</v>
      </c>
    </row>
    <row r="5323">
      <c r="A5323" s="2" t="s">
        <v>6996</v>
      </c>
      <c r="B5323" s="3" t="str">
        <f>IFERROR(__xludf.DUMMYFUNCTION("GOOGLETRANSLATE(A5323, ""ar"", ""bn"")"),"রাম্বলার")</f>
        <v>রাম্বলার</v>
      </c>
    </row>
    <row r="5324">
      <c r="A5324" s="2" t="s">
        <v>6997</v>
      </c>
      <c r="B5324" s="3" t="str">
        <f>IFERROR(__xludf.DUMMYFUNCTION("GOOGLETRANSLATE(A5324, ""ar"", ""bn"")"),"পিকনিক")</f>
        <v>পিকনিক</v>
      </c>
    </row>
    <row r="5325">
      <c r="A5325" s="2" t="s">
        <v>6998</v>
      </c>
      <c r="B5325" s="3" t="str">
        <f>IFERROR(__xludf.DUMMYFUNCTION("GOOGLETRANSLATE(A5325, ""ar"", ""bn"")"),"প্রচণ্ড")</f>
        <v>প্রচণ্ড</v>
      </c>
    </row>
    <row r="5326">
      <c r="A5326" s="2" t="s">
        <v>6999</v>
      </c>
      <c r="B5326" s="3" t="str">
        <f>IFERROR(__xludf.DUMMYFUNCTION("GOOGLETRANSLATE(A5326, ""ar"", ""bn"")"),"অবশ")</f>
        <v>অবশ</v>
      </c>
    </row>
    <row r="5327">
      <c r="A5327" s="2" t="s">
        <v>7000</v>
      </c>
      <c r="B5327" s="3" t="str">
        <f>IFERROR(__xludf.DUMMYFUNCTION("GOOGLETRANSLATE(A5327, ""ar"", ""bn"")"),"বিস্বাদ")</f>
        <v>বিস্বাদ</v>
      </c>
    </row>
    <row r="5328">
      <c r="A5328" s="2" t="s">
        <v>7001</v>
      </c>
      <c r="B5328" s="3" t="str">
        <f>IFERROR(__xludf.DUMMYFUNCTION("GOOGLETRANSLATE(A5328, ""ar"", ""bn"")"),"ধর্ষণ")</f>
        <v>ধর্ষণ</v>
      </c>
    </row>
    <row r="5329">
      <c r="A5329" s="2" t="s">
        <v>7001</v>
      </c>
      <c r="B5329" s="3" t="str">
        <f>IFERROR(__xludf.DUMMYFUNCTION("GOOGLETRANSLATE(A5329, ""ar"", ""bn"")"),"ধর্ষণ")</f>
        <v>ধর্ষণ</v>
      </c>
    </row>
    <row r="5330">
      <c r="A5330" s="2" t="s">
        <v>7002</v>
      </c>
      <c r="B5330" s="3" t="str">
        <f>IFERROR(__xludf.DUMMYFUNCTION("GOOGLETRANSLATE(A5330, ""ar"", ""bn"")"),"ধর্ষণ")</f>
        <v>ধর্ষণ</v>
      </c>
    </row>
    <row r="5331">
      <c r="A5331" s="2" t="s">
        <v>7003</v>
      </c>
      <c r="B5331" s="3" t="str">
        <f>IFERROR(__xludf.DUMMYFUNCTION("GOOGLETRANSLATE(A5331, ""ar"", ""bn"")"),"ধর্ষণ বীজ")</f>
        <v>ধর্ষণ বীজ</v>
      </c>
    </row>
    <row r="5332">
      <c r="A5332" s="2" t="s">
        <v>7001</v>
      </c>
      <c r="B5332" s="3" t="str">
        <f>IFERROR(__xludf.DUMMYFUNCTION("GOOGLETRANSLATE(A5332, ""ar"", ""bn"")"),"ধর্ষণ")</f>
        <v>ধর্ষণ</v>
      </c>
    </row>
    <row r="5333">
      <c r="A5333" s="2" t="s">
        <v>7004</v>
      </c>
      <c r="B5333" s="3" t="str">
        <f>IFERROR(__xludf.DUMMYFUNCTION("GOOGLETRANSLATE(A5333, ""ar"", ""bn"")"),"র্যাপিস্ট্")</f>
        <v>র্যাপিস্ট্</v>
      </c>
    </row>
    <row r="5334">
      <c r="A5334" s="2" t="s">
        <v>7005</v>
      </c>
      <c r="B5334" s="3" t="str">
        <f>IFERROR(__xludf.DUMMYFUNCTION("GOOGLETRANSLATE(A5334, ""ar"", ""bn"")"),"ধর্ষক")</f>
        <v>ধর্ষক</v>
      </c>
    </row>
    <row r="5335">
      <c r="A5335" s="2" t="s">
        <v>7006</v>
      </c>
      <c r="B5335" s="3" t="str">
        <f>IFERROR(__xludf.DUMMYFUNCTION("GOOGLETRANSLATE(A5335, ""ar"", ""bn"")"),"দুর্জন")</f>
        <v>দুর্জন</v>
      </c>
    </row>
    <row r="5336">
      <c r="A5336" s="2" t="s">
        <v>7007</v>
      </c>
      <c r="B5336" s="3" t="str">
        <f>IFERROR(__xludf.DUMMYFUNCTION("GOOGLETRANSLATE(A5336, ""ar"", ""bn"")"),"লুচ্চা")</f>
        <v>লুচ্চা</v>
      </c>
    </row>
    <row r="5337">
      <c r="A5337" s="2" t="s">
        <v>7008</v>
      </c>
      <c r="B5337" s="3" t="str">
        <f>IFERROR(__xludf.DUMMYFUNCTION("GOOGLETRANSLATE(A5337, ""ar"", ""bn"")"),"ভিলেন")</f>
        <v>ভিলেন</v>
      </c>
    </row>
    <row r="5338">
      <c r="A5338" s="2" t="s">
        <v>7009</v>
      </c>
      <c r="B5338" s="3" t="str">
        <f>IFERROR(__xludf.DUMMYFUNCTION("GOOGLETRANSLATE(A5338, ""ar"", ""bn"")"),"ফুসকুড়ি")</f>
        <v>ফুসকুড়ি</v>
      </c>
    </row>
    <row r="5339">
      <c r="A5339" s="2" t="s">
        <v>7010</v>
      </c>
      <c r="B5339" s="3" t="str">
        <f>IFERROR(__xludf.DUMMYFUNCTION("GOOGLETRANSLATE(A5339, ""ar"", ""bn"")"),"শূকরমাংসের পাতলা ফালি")</f>
        <v>শূকরমাংসের পাতলা ফালি</v>
      </c>
    </row>
    <row r="5340">
      <c r="A5340" s="2" t="s">
        <v>7011</v>
      </c>
      <c r="B5340" s="3" t="str">
        <f>IFERROR(__xludf.DUMMYFUNCTION("GOOGLETRANSLATE(A5340, ""ar"", ""bn"")"),"চামড়া ফুসকুড়ি")</f>
        <v>চামড়া ফুসকুড়ি</v>
      </c>
    </row>
    <row r="5341">
      <c r="A5341" s="2" t="s">
        <v>7012</v>
      </c>
      <c r="B5341" s="3" t="str">
        <f>IFERROR(__xludf.DUMMYFUNCTION("GOOGLETRANSLATE(A5341, ""ar"", ""bn"")"),"হঠকারী")</f>
        <v>হঠকারী</v>
      </c>
    </row>
    <row r="5342">
      <c r="A5342" s="2" t="s">
        <v>5432</v>
      </c>
      <c r="B5342" s="3" t="str">
        <f>IFERROR(__xludf.DUMMYFUNCTION("GOOGLETRANSLATE(A5342, ""ar"", ""bn"")"),"অদূরদর্শিতা")</f>
        <v>অদূরদর্শিতা</v>
      </c>
    </row>
    <row r="5343">
      <c r="A5343" s="2" t="s">
        <v>7013</v>
      </c>
      <c r="B5343" s="3" t="str">
        <f>IFERROR(__xludf.DUMMYFUNCTION("GOOGLETRANSLATE(A5343, ""ar"", ""bn"")"),"মাউস")</f>
        <v>মাউস</v>
      </c>
    </row>
    <row r="5344">
      <c r="A5344" s="2" t="s">
        <v>7014</v>
      </c>
      <c r="B5344" s="3" t="str">
        <f>IFERROR(__xludf.DUMMYFUNCTION("GOOGLETRANSLATE(A5344, ""ar"", ""bn"")"),"Ratatouille")</f>
        <v>Ratatouille</v>
      </c>
    </row>
    <row r="5345">
      <c r="A5345" s="2" t="s">
        <v>7015</v>
      </c>
      <c r="B5345" s="3" t="str">
        <f>IFERROR(__xludf.DUMMYFUNCTION("GOOGLETRANSLATE(A5345, ""ar"", ""bn"")"),"হার")</f>
        <v>হার</v>
      </c>
    </row>
    <row r="5346">
      <c r="A5346" s="2" t="s">
        <v>7016</v>
      </c>
      <c r="B5346" s="3" t="str">
        <f>IFERROR(__xludf.DUMMYFUNCTION("GOOGLETRANSLATE(A5346, ""ar"", ""bn"")"),"রেট")</f>
        <v>রেট</v>
      </c>
    </row>
    <row r="5347">
      <c r="A5347" s="2" t="s">
        <v>7017</v>
      </c>
      <c r="B5347" s="3" t="str">
        <f>IFERROR(__xludf.DUMMYFUNCTION("GOOGLETRANSLATE(A5347, ""ar"", ""bn"")"),"করদাতা")</f>
        <v>করদাতা</v>
      </c>
    </row>
    <row r="5348">
      <c r="A5348" s="2" t="s">
        <v>7018</v>
      </c>
      <c r="B5348" s="3" t="str">
        <f>IFERROR(__xludf.DUMMYFUNCTION("GOOGLETRANSLATE(A5348, ""ar"", ""bn"")"),"করদাতাদের")</f>
        <v>করদাতাদের</v>
      </c>
    </row>
    <row r="5349">
      <c r="A5349" s="2" t="s">
        <v>7019</v>
      </c>
      <c r="B5349" s="3" t="str">
        <f>IFERROR(__xludf.DUMMYFUNCTION("GOOGLETRANSLATE(A5349, ""ar"", ""bn"")"),"ধরন")</f>
        <v>ধরন</v>
      </c>
    </row>
    <row r="5350">
      <c r="A5350" s="2" t="s">
        <v>7020</v>
      </c>
      <c r="B5350" s="3" t="str">
        <f>IFERROR(__xludf.DUMMYFUNCTION("GOOGLETRANSLATE(A5350, ""ar"", ""bn"")"),"দাম")</f>
        <v>দাম</v>
      </c>
    </row>
    <row r="5351">
      <c r="A5351" s="2" t="s">
        <v>7021</v>
      </c>
      <c r="B5351" s="3" t="str">
        <f>IFERROR(__xludf.DUMMYFUNCTION("GOOGLETRANSLATE(A5351, ""ar"", ""bn"")"),"বরং")</f>
        <v>বরং</v>
      </c>
    </row>
    <row r="5352">
      <c r="A5352" s="2" t="s">
        <v>7022</v>
      </c>
      <c r="B5352" s="3" t="str">
        <f>IFERROR(__xludf.DUMMYFUNCTION("GOOGLETRANSLATE(A5352, ""ar"", ""bn"")"),"অনুসমর্থন")</f>
        <v>অনুসমর্থন</v>
      </c>
    </row>
    <row r="5353">
      <c r="A5353" s="2" t="s">
        <v>7023</v>
      </c>
      <c r="B5353" s="3" t="str">
        <f>IFERROR(__xludf.DUMMYFUNCTION("GOOGLETRANSLATE(A5353, ""ar"", ""bn"")"),"অনুসমর্থন")</f>
        <v>অনুসমর্থন</v>
      </c>
    </row>
    <row r="5354">
      <c r="A5354" s="2" t="s">
        <v>7024</v>
      </c>
      <c r="B5354" s="3" t="str">
        <f>IFERROR(__xludf.DUMMYFUNCTION("GOOGLETRANSLATE(A5354, ""ar"", ""bn"")"),"অনুমোদন")</f>
        <v>অনুমোদন</v>
      </c>
    </row>
    <row r="5355">
      <c r="A5355" s="2" t="s">
        <v>7025</v>
      </c>
      <c r="B5355" s="3" t="str">
        <f>IFERROR(__xludf.DUMMYFUNCTION("GOOGLETRANSLATE(A5355, ""ar"", ""bn"")"),"প্রত্যয়িত")</f>
        <v>প্রত্যয়িত</v>
      </c>
    </row>
    <row r="5356">
      <c r="A5356" s="2" t="s">
        <v>7024</v>
      </c>
      <c r="B5356" s="3" t="str">
        <f>IFERROR(__xludf.DUMMYFUNCTION("GOOGLETRANSLATE(A5356, ""ar"", ""bn"")"),"অনুমোদন")</f>
        <v>অনুমোদন</v>
      </c>
    </row>
    <row r="5357">
      <c r="A5357" s="2" t="s">
        <v>7026</v>
      </c>
      <c r="B5357" s="3" t="str">
        <f>IFERROR(__xludf.DUMMYFUNCTION("GOOGLETRANSLATE(A5357, ""ar"", ""bn"")"),"অনুসমর্থন")</f>
        <v>অনুসমর্থন</v>
      </c>
    </row>
    <row r="5358">
      <c r="A5358" s="2" t="s">
        <v>7027</v>
      </c>
      <c r="B5358" s="3" t="str">
        <f>IFERROR(__xludf.DUMMYFUNCTION("GOOGLETRANSLATE(A5358, ""ar"", ""bn"")"),"অবিশ্বাস্য")</f>
        <v>অবিশ্বাস্য</v>
      </c>
    </row>
    <row r="5359">
      <c r="A5359" s="2" t="s">
        <v>7028</v>
      </c>
      <c r="B5359" s="3" t="str">
        <f>IFERROR(__xludf.DUMMYFUNCTION("GOOGLETRANSLATE(A5359, ""ar"", ""bn"")"),"নির্ধারণ")</f>
        <v>নির্ধারণ</v>
      </c>
    </row>
    <row r="5360">
      <c r="A5360" s="2" t="s">
        <v>7029</v>
      </c>
      <c r="B5360" s="3" t="str">
        <f>IFERROR(__xludf.DUMMYFUNCTION("GOOGLETRANSLATE(A5360, ""ar"", ""bn"")"),"অতিথি")</f>
        <v>অতিথি</v>
      </c>
    </row>
    <row r="5361">
      <c r="A5361" s="2" t="s">
        <v>7030</v>
      </c>
      <c r="B5361" s="3" t="str">
        <f>IFERROR(__xludf.DUMMYFUNCTION("GOOGLETRANSLATE(A5361, ""ar"", ""bn"")"),"শতকরা হার")</f>
        <v>শতকরা হার</v>
      </c>
    </row>
    <row r="5362">
      <c r="A5362" s="2" t="s">
        <v>7031</v>
      </c>
      <c r="B5362" s="3" t="str">
        <f>IFERROR(__xludf.DUMMYFUNCTION("GOOGLETRANSLATE(A5362, ""ar"", ""bn"")"),"উপসংহার")</f>
        <v>উপসংহার</v>
      </c>
    </row>
    <row r="5363">
      <c r="A5363" s="2" t="s">
        <v>7032</v>
      </c>
      <c r="B5363" s="3" t="str">
        <f>IFERROR(__xludf.DUMMYFUNCTION("GOOGLETRANSLATE(A5363, ""ar"", ""bn"")"),"কাল")</f>
        <v>কাল</v>
      </c>
    </row>
    <row r="5364">
      <c r="A5364" s="2" t="s">
        <v>7033</v>
      </c>
      <c r="B5364" s="3" t="str">
        <f>IFERROR(__xludf.DUMMYFUNCTION("GOOGLETRANSLATE(A5364, ""ar"", ""bn"")"),"যুক্তিসঙ্গত")</f>
        <v>যুক্তিসঙ্গত</v>
      </c>
    </row>
    <row r="5365">
      <c r="A5365" s="2" t="s">
        <v>7034</v>
      </c>
      <c r="B5365" s="3" t="str">
        <f>IFERROR(__xludf.DUMMYFUNCTION("GOOGLETRANSLATE(A5365, ""ar"", ""bn"")"),"যুক্তিসহ ব্যাখ্যা")</f>
        <v>যুক্তিসহ ব্যাখ্যা</v>
      </c>
    </row>
    <row r="5366">
      <c r="A5366" s="2" t="s">
        <v>7035</v>
      </c>
      <c r="B5366" s="3" t="str">
        <f>IFERROR(__xludf.DUMMYFUNCTION("GOOGLETRANSLATE(A5366, ""ar"", ""bn"")"),"আত্মপক্ষ সমর্থন")</f>
        <v>আত্মপক্ষ সমর্থন</v>
      </c>
    </row>
    <row r="5367">
      <c r="A5367" s="2" t="s">
        <v>7036</v>
      </c>
      <c r="B5367" s="3" t="str">
        <f>IFERROR(__xludf.DUMMYFUNCTION("GOOGLETRANSLATE(A5367, ""ar"", ""bn"")"),"করণী-নিরসন")</f>
        <v>করণী-নিরসন</v>
      </c>
    </row>
    <row r="5368">
      <c r="A5368" s="2" t="s">
        <v>7037</v>
      </c>
      <c r="B5368" s="3" t="str">
        <f>IFERROR(__xludf.DUMMYFUNCTION("GOOGLETRANSLATE(A5368, ""ar"", ""bn"")"),"করণী-নিরসন")</f>
        <v>করণী-নিরসন</v>
      </c>
    </row>
    <row r="5369">
      <c r="A5369" s="2" t="s">
        <v>7038</v>
      </c>
      <c r="B5369" s="3" t="str">
        <f>IFERROR(__xludf.DUMMYFUNCTION("GOOGLETRANSLATE(A5369, ""ar"", ""bn"")"),"করণী-নিরসন")</f>
        <v>করণী-নিরসন</v>
      </c>
    </row>
    <row r="5370">
      <c r="A5370" s="2" t="s">
        <v>7038</v>
      </c>
      <c r="B5370" s="3" t="str">
        <f>IFERROR(__xludf.DUMMYFUNCTION("GOOGLETRANSLATE(A5370, ""ar"", ""bn"")"),"করণী-নিরসন")</f>
        <v>করণী-নিরসন</v>
      </c>
    </row>
    <row r="5371">
      <c r="A5371" s="2" t="s">
        <v>7038</v>
      </c>
      <c r="B5371" s="3" t="str">
        <f>IFERROR(__xludf.DUMMYFUNCTION("GOOGLETRANSLATE(A5371, ""ar"", ""bn"")"),"করণী-নিরসন")</f>
        <v>করণী-নিরসন</v>
      </c>
    </row>
    <row r="5372">
      <c r="A5372" s="2" t="s">
        <v>7039</v>
      </c>
      <c r="B5372" s="3" t="str">
        <f>IFERROR(__xludf.DUMMYFUNCTION("GOOGLETRANSLATE(A5372, ""ar"", ""bn"")"),"যৌক্তিকতা")</f>
        <v>যৌক্তিকতা</v>
      </c>
    </row>
    <row r="5373">
      <c r="A5373" s="2" t="s">
        <v>7040</v>
      </c>
      <c r="B5373" s="3" t="str">
        <f>IFERROR(__xludf.DUMMYFUNCTION("GOOGLETRANSLATE(A5373, ""ar"", ""bn"")"),"যুক্তিবাদী")</f>
        <v>যুক্তিবাদী</v>
      </c>
    </row>
    <row r="5374">
      <c r="A5374" s="2" t="s">
        <v>7033</v>
      </c>
      <c r="B5374" s="3" t="str">
        <f>IFERROR(__xludf.DUMMYFUNCTION("GOOGLETRANSLATE(A5374, ""ar"", ""bn"")"),"যুক্তিসঙ্গত")</f>
        <v>যুক্তিসঙ্গত</v>
      </c>
    </row>
    <row r="5375">
      <c r="A5375" s="2" t="s">
        <v>7041</v>
      </c>
      <c r="B5375" s="3" t="str">
        <f>IFERROR(__xludf.DUMMYFUNCTION("GOOGLETRANSLATE(A5375, ""ar"", ""bn"")"),"যুক্তিবাদী")</f>
        <v>যুক্তিবাদী</v>
      </c>
    </row>
    <row r="5376">
      <c r="A5376" s="2" t="s">
        <v>7042</v>
      </c>
      <c r="B5376" s="3" t="str">
        <f>IFERROR(__xludf.DUMMYFUNCTION("GOOGLETRANSLATE(A5376, ""ar"", ""bn"")"),"Alaklanaat")</f>
        <v>Alaklanaat</v>
      </c>
    </row>
    <row r="5377">
      <c r="A5377" s="2" t="s">
        <v>7043</v>
      </c>
      <c r="B5377" s="3" t="str">
        <f>IFERROR(__xludf.DUMMYFUNCTION("GOOGLETRANSLATE(A5377, ""ar"", ""bn"")"),"যৌক্তিকতা")</f>
        <v>যৌক্তিকতা</v>
      </c>
    </row>
    <row r="5378">
      <c r="A5378" s="2" t="s">
        <v>7044</v>
      </c>
      <c r="B5378" s="3" t="str">
        <f>IFERROR(__xludf.DUMMYFUNCTION("GOOGLETRANSLATE(A5378, ""ar"", ""bn"")"),"যুক্তিযুক্তভাবে")</f>
        <v>যুক্তিযুক্তভাবে</v>
      </c>
    </row>
    <row r="5379">
      <c r="A5379" s="2" t="s">
        <v>7045</v>
      </c>
      <c r="B5379" s="3" t="str">
        <f>IFERROR(__xludf.DUMMYFUNCTION("GOOGLETRANSLATE(A5379, ""ar"", ""bn"")"),"সংভরণ")</f>
        <v>সংভরণ</v>
      </c>
    </row>
    <row r="5380">
      <c r="A5380" s="2" t="s">
        <v>7045</v>
      </c>
      <c r="B5380" s="3" t="str">
        <f>IFERROR(__xludf.DUMMYFUNCTION("GOOGLETRANSLATE(A5380, ""ar"", ""bn"")"),"সংভরণ")</f>
        <v>সংভরণ</v>
      </c>
    </row>
    <row r="5381">
      <c r="A5381" s="2" t="s">
        <v>7046</v>
      </c>
      <c r="B5381" s="3" t="str">
        <f>IFERROR(__xludf.DUMMYFUNCTION("GOOGLETRANSLATE(A5381, ""ar"", ""bn"")"),"বরাদ্দ অংশ")</f>
        <v>বরাদ্দ অংশ</v>
      </c>
    </row>
    <row r="5382">
      <c r="A5382" s="2" t="s">
        <v>7047</v>
      </c>
      <c r="B5382" s="3" t="str">
        <f>IFERROR(__xludf.DUMMYFUNCTION("GOOGLETRANSLATE(A5382, ""ar"", ""bn"")"),"বংশতালিকা")</f>
        <v>বংশতালিকা</v>
      </c>
    </row>
    <row r="5383">
      <c r="A5383" s="2" t="s">
        <v>7048</v>
      </c>
      <c r="B5383" s="3" t="str">
        <f>IFERROR(__xludf.DUMMYFUNCTION("GOOGLETRANSLATE(A5383, ""ar"", ""bn"")"),"মাউস")</f>
        <v>মাউস</v>
      </c>
    </row>
    <row r="5384">
      <c r="A5384" s="2" t="s">
        <v>7049</v>
      </c>
      <c r="B5384" s="3" t="str">
        <f>IFERROR(__xludf.DUMMYFUNCTION("GOOGLETRANSLATE(A5384, ""ar"", ""bn"")"),"খনখন শব্দ")</f>
        <v>খনখন শব্দ</v>
      </c>
    </row>
    <row r="5385">
      <c r="A5385" s="2" t="s">
        <v>7050</v>
      </c>
      <c r="B5385" s="3" t="str">
        <f>IFERROR(__xludf.DUMMYFUNCTION("GOOGLETRANSLATE(A5385, ""ar"", ""bn"")"),"ঝাঁকি")</f>
        <v>ঝাঁকি</v>
      </c>
    </row>
    <row r="5386">
      <c r="A5386" s="2" t="s">
        <v>7051</v>
      </c>
      <c r="B5386" s="3" t="str">
        <f>IFERROR(__xludf.DUMMYFUNCTION("GOOGLETRANSLATE(A5386, ""ar"", ""bn"")"),"বিষধর সাপ")</f>
        <v>বিষধর সাপ</v>
      </c>
    </row>
    <row r="5387">
      <c r="A5387" s="2" t="s">
        <v>7052</v>
      </c>
      <c r="B5387" s="3" t="str">
        <f>IFERROR(__xludf.DUMMYFUNCTION("GOOGLETRANSLATE(A5387, ""ar"", ""bn"")"),"ঝুমঝুমি")</f>
        <v>ঝুমঝুমি</v>
      </c>
    </row>
    <row r="5388">
      <c r="A5388" s="2" t="s">
        <v>7053</v>
      </c>
      <c r="B5388" s="3" t="str">
        <f>IFERROR(__xludf.DUMMYFUNCTION("GOOGLETRANSLATE(A5388, ""ar"", ""bn"")"),"র্যাটল-সাপ")</f>
        <v>র্যাটল-সাপ</v>
      </c>
    </row>
    <row r="5389">
      <c r="A5389" s="2" t="s">
        <v>7054</v>
      </c>
      <c r="B5389" s="3" t="str">
        <f>IFERROR(__xludf.DUMMYFUNCTION("GOOGLETRANSLATE(A5389, ""ar"", ""bn"")"),"সাপ")</f>
        <v>সাপ</v>
      </c>
    </row>
    <row r="5390">
      <c r="A5390" s="2" t="s">
        <v>7055</v>
      </c>
      <c r="B5390" s="3" t="str">
        <f>IFERROR(__xludf.DUMMYFUNCTION("GOOGLETRANSLATE(A5390, ""ar"", ""bn"")"),"প্রথম শ্রেণী")</f>
        <v>প্রথম শ্রেণী</v>
      </c>
    </row>
    <row r="5391">
      <c r="A5391" s="2" t="s">
        <v>7056</v>
      </c>
      <c r="B5391" s="3" t="str">
        <f>IFERROR(__xludf.DUMMYFUNCTION("GOOGLETRANSLATE(A5391, ""ar"", ""bn"")"),"খামখেয়ালী")</f>
        <v>খামখেয়ালী</v>
      </c>
    </row>
    <row r="5392">
      <c r="A5392" s="2" t="s">
        <v>7032</v>
      </c>
      <c r="B5392" s="3" t="str">
        <f>IFERROR(__xludf.DUMMYFUNCTION("GOOGLETRANSLATE(A5392, ""ar"", ""bn"")"),"কাল")</f>
        <v>কাল</v>
      </c>
    </row>
    <row r="5393">
      <c r="A5393" s="2" t="s">
        <v>7033</v>
      </c>
      <c r="B5393" s="3" t="str">
        <f>IFERROR(__xludf.DUMMYFUNCTION("GOOGLETRANSLATE(A5393, ""ar"", ""bn"")"),"যুক্তিসঙ্গত")</f>
        <v>যুক্তিসঙ্গত</v>
      </c>
    </row>
    <row r="5394">
      <c r="A5394" s="2" t="s">
        <v>7034</v>
      </c>
      <c r="B5394" s="3" t="str">
        <f>IFERROR(__xludf.DUMMYFUNCTION("GOOGLETRANSLATE(A5394, ""ar"", ""bn"")"),"যুক্তিসহ ব্যাখ্যা")</f>
        <v>যুক্তিসহ ব্যাখ্যা</v>
      </c>
    </row>
    <row r="5395">
      <c r="A5395" s="2" t="s">
        <v>7035</v>
      </c>
      <c r="B5395" s="3" t="str">
        <f>IFERROR(__xludf.DUMMYFUNCTION("GOOGLETRANSLATE(A5395, ""ar"", ""bn"")"),"আত্মপক্ষ সমর্থন")</f>
        <v>আত্মপক্ষ সমর্থন</v>
      </c>
    </row>
    <row r="5396">
      <c r="A5396" s="2" t="s">
        <v>7036</v>
      </c>
      <c r="B5396" s="3" t="str">
        <f>IFERROR(__xludf.DUMMYFUNCTION("GOOGLETRANSLATE(A5396, ""ar"", ""bn"")"),"করণী-নিরসন")</f>
        <v>করণী-নিরসন</v>
      </c>
    </row>
    <row r="5397">
      <c r="A5397" s="2" t="s">
        <v>7037</v>
      </c>
      <c r="B5397" s="3" t="str">
        <f>IFERROR(__xludf.DUMMYFUNCTION("GOOGLETRANSLATE(A5397, ""ar"", ""bn"")"),"করণী-নিরসন")</f>
        <v>করণী-নিরসন</v>
      </c>
    </row>
    <row r="5398">
      <c r="A5398" s="2" t="s">
        <v>7038</v>
      </c>
      <c r="B5398" s="3" t="str">
        <f>IFERROR(__xludf.DUMMYFUNCTION("GOOGLETRANSLATE(A5398, ""ar"", ""bn"")"),"করণী-নিরসন")</f>
        <v>করণী-নিরসন</v>
      </c>
    </row>
    <row r="5399">
      <c r="A5399" s="2" t="s">
        <v>7038</v>
      </c>
      <c r="B5399" s="3" t="str">
        <f>IFERROR(__xludf.DUMMYFUNCTION("GOOGLETRANSLATE(A5399, ""ar"", ""bn"")"),"করণী-নিরসন")</f>
        <v>করণী-নিরসন</v>
      </c>
    </row>
    <row r="5400">
      <c r="A5400" s="2" t="s">
        <v>7038</v>
      </c>
      <c r="B5400" s="3" t="str">
        <f>IFERROR(__xludf.DUMMYFUNCTION("GOOGLETRANSLATE(A5400, ""ar"", ""bn"")"),"করণী-নিরসন")</f>
        <v>করণী-নিরসন</v>
      </c>
    </row>
    <row r="5401">
      <c r="A5401" s="2" t="s">
        <v>7039</v>
      </c>
      <c r="B5401" s="3" t="str">
        <f>IFERROR(__xludf.DUMMYFUNCTION("GOOGLETRANSLATE(A5401, ""ar"", ""bn"")"),"যৌক্তিকতা")</f>
        <v>যৌক্তিকতা</v>
      </c>
    </row>
    <row r="5402">
      <c r="A5402" s="2" t="s">
        <v>7040</v>
      </c>
      <c r="B5402" s="3" t="str">
        <f>IFERROR(__xludf.DUMMYFUNCTION("GOOGLETRANSLATE(A5402, ""ar"", ""bn"")"),"যুক্তিবাদী")</f>
        <v>যুক্তিবাদী</v>
      </c>
    </row>
    <row r="5403">
      <c r="A5403" s="2" t="s">
        <v>7033</v>
      </c>
      <c r="B5403" s="3" t="str">
        <f>IFERROR(__xludf.DUMMYFUNCTION("GOOGLETRANSLATE(A5403, ""ar"", ""bn"")"),"যুক্তিসঙ্গত")</f>
        <v>যুক্তিসঙ্গত</v>
      </c>
    </row>
    <row r="5404">
      <c r="A5404" s="2" t="s">
        <v>7041</v>
      </c>
      <c r="B5404" s="3" t="str">
        <f>IFERROR(__xludf.DUMMYFUNCTION("GOOGLETRANSLATE(A5404, ""ar"", ""bn"")"),"যুক্তিবাদী")</f>
        <v>যুক্তিবাদী</v>
      </c>
    </row>
    <row r="5405">
      <c r="A5405" s="2" t="s">
        <v>7042</v>
      </c>
      <c r="B5405" s="3" t="str">
        <f>IFERROR(__xludf.DUMMYFUNCTION("GOOGLETRANSLATE(A5405, ""ar"", ""bn"")"),"Alaklanaat")</f>
        <v>Alaklanaat</v>
      </c>
    </row>
    <row r="5406">
      <c r="A5406" s="2" t="s">
        <v>7043</v>
      </c>
      <c r="B5406" s="3" t="str">
        <f>IFERROR(__xludf.DUMMYFUNCTION("GOOGLETRANSLATE(A5406, ""ar"", ""bn"")"),"যৌক্তিকতা")</f>
        <v>যৌক্তিকতা</v>
      </c>
    </row>
    <row r="5407">
      <c r="A5407" s="2" t="s">
        <v>7044</v>
      </c>
      <c r="B5407" s="3" t="str">
        <f>IFERROR(__xludf.DUMMYFUNCTION("GOOGLETRANSLATE(A5407, ""ar"", ""bn"")"),"যুক্তিযুক্তভাবে")</f>
        <v>যুক্তিযুক্তভাবে</v>
      </c>
    </row>
    <row r="5408">
      <c r="A5408" s="2" t="s">
        <v>7045</v>
      </c>
      <c r="B5408" s="3" t="str">
        <f>IFERROR(__xludf.DUMMYFUNCTION("GOOGLETRANSLATE(A5408, ""ar"", ""bn"")"),"সংভরণ")</f>
        <v>সংভরণ</v>
      </c>
    </row>
    <row r="5409">
      <c r="A5409" s="2" t="s">
        <v>7045</v>
      </c>
      <c r="B5409" s="3" t="str">
        <f>IFERROR(__xludf.DUMMYFUNCTION("GOOGLETRANSLATE(A5409, ""ar"", ""bn"")"),"সংভরণ")</f>
        <v>সংভরণ</v>
      </c>
    </row>
    <row r="5410">
      <c r="A5410" s="2" t="s">
        <v>7046</v>
      </c>
      <c r="B5410" s="3" t="str">
        <f>IFERROR(__xludf.DUMMYFUNCTION("GOOGLETRANSLATE(A5410, ""ar"", ""bn"")"),"বরাদ্দ অংশ")</f>
        <v>বরাদ্দ অংশ</v>
      </c>
    </row>
    <row r="5411">
      <c r="A5411" s="2" t="s">
        <v>7057</v>
      </c>
      <c r="B5411" s="3" t="str">
        <f>IFERROR(__xludf.DUMMYFUNCTION("GOOGLETRANSLATE(A5411, ""ar"", ""bn"")"),"লুটপাট")</f>
        <v>লুটপাট</v>
      </c>
    </row>
    <row r="5412">
      <c r="A5412" s="2" t="s">
        <v>7058</v>
      </c>
      <c r="B5412" s="3" t="str">
        <f>IFERROR(__xludf.DUMMYFUNCTION("GOOGLETRANSLATE(A5412, ""ar"", ""bn"")"),"বিধ্বস্ত")</f>
        <v>বিধ্বস্ত</v>
      </c>
    </row>
    <row r="5413">
      <c r="A5413" s="2" t="s">
        <v>7059</v>
      </c>
      <c r="B5413" s="3" t="str">
        <f>IFERROR(__xludf.DUMMYFUNCTION("GOOGLETRANSLATE(A5413, ""ar"", ""bn"")"),"চাবুক")</f>
        <v>চাবুক</v>
      </c>
    </row>
    <row r="5414">
      <c r="A5414" s="2" t="s">
        <v>7060</v>
      </c>
      <c r="B5414" s="3" t="str">
        <f>IFERROR(__xludf.DUMMYFUNCTION("GOOGLETRANSLATE(A5414, ""ar"", ""bn"")"),"ধ্বংসাত্মক")</f>
        <v>ধ্বংসাত্মক</v>
      </c>
    </row>
    <row r="5415">
      <c r="A5415" s="2" t="s">
        <v>7061</v>
      </c>
      <c r="B5415" s="3" t="str">
        <f>IFERROR(__xludf.DUMMYFUNCTION("GOOGLETRANSLATE(A5415, ""ar"", ""bn"")"),"প্রতিক্রিয়াশীলদের")</f>
        <v>প্রতিক্রিয়াশীলদের</v>
      </c>
    </row>
    <row r="5416">
      <c r="A5416" s="2" t="s">
        <v>7062</v>
      </c>
      <c r="B5416" s="3" t="str">
        <f>IFERROR(__xludf.DUMMYFUNCTION("GOOGLETRANSLATE(A5416, ""ar"", ""bn"")"),"ভূতাপেক্ষাভাবে")</f>
        <v>ভূতাপেক্ষাভাবে</v>
      </c>
    </row>
    <row r="5417">
      <c r="A5417" s="2" t="s">
        <v>7063</v>
      </c>
      <c r="B5417" s="3" t="str">
        <f>IFERROR(__xludf.DUMMYFUNCTION("GOOGLETRANSLATE(A5417, ""ar"", ""bn"")"),"প্রতিক্রিয়াশীল")</f>
        <v>প্রতিক্রিয়াশীল</v>
      </c>
    </row>
    <row r="5418">
      <c r="A5418" s="2" t="s">
        <v>7064</v>
      </c>
      <c r="B5418" s="3" t="str">
        <f>IFERROR(__xludf.DUMMYFUNCTION("GOOGLETRANSLATE(A5418, ""ar"", ""bn"")"),"বিদ্রোহী")</f>
        <v>বিদ্রোহী</v>
      </c>
    </row>
    <row r="5419">
      <c r="A5419" s="2" t="s">
        <v>7065</v>
      </c>
      <c r="B5419" s="3" t="str">
        <f>IFERROR(__xludf.DUMMYFUNCTION("GOOGLETRANSLATE(A5419, ""ar"", ""bn"")"),"বিদ্রোহ")</f>
        <v>বিদ্রোহ</v>
      </c>
    </row>
    <row r="5420">
      <c r="A5420" s="2" t="s">
        <v>7066</v>
      </c>
      <c r="B5420" s="3" t="str">
        <f>IFERROR(__xludf.DUMMYFUNCTION("GOOGLETRANSLATE(A5420, ""ar"", ""bn"")"),"বিদ্রোহ")</f>
        <v>বিদ্রোহ</v>
      </c>
    </row>
    <row r="5421">
      <c r="A5421" s="2" t="s">
        <v>7066</v>
      </c>
      <c r="B5421" s="3" t="str">
        <f>IFERROR(__xludf.DUMMYFUNCTION("GOOGLETRANSLATE(A5421, ""ar"", ""bn"")"),"বিদ্রোহ")</f>
        <v>বিদ্রোহ</v>
      </c>
    </row>
    <row r="5422">
      <c r="A5422" s="2" t="s">
        <v>3307</v>
      </c>
      <c r="B5422" s="3" t="str">
        <f>IFERROR(__xludf.DUMMYFUNCTION("GOOGLETRANSLATE(A5422, ""ar"", ""bn"")"),"বিপ্লব")</f>
        <v>বিপ্লব</v>
      </c>
    </row>
    <row r="5423">
      <c r="A5423" s="2" t="s">
        <v>7064</v>
      </c>
      <c r="B5423" s="3" t="str">
        <f>IFERROR(__xludf.DUMMYFUNCTION("GOOGLETRANSLATE(A5423, ""ar"", ""bn"")"),"বিদ্রোহী")</f>
        <v>বিদ্রোহী</v>
      </c>
    </row>
    <row r="5424">
      <c r="A5424" s="2" t="s">
        <v>7067</v>
      </c>
      <c r="B5424" s="3" t="str">
        <f>IFERROR(__xludf.DUMMYFUNCTION("GOOGLETRANSLATE(A5424, ""ar"", ""bn"")"),"বিপ্লব:")</f>
        <v>বিপ্লব:</v>
      </c>
    </row>
    <row r="5425">
      <c r="A5425" s="2" t="s">
        <v>7068</v>
      </c>
      <c r="B5425" s="3" t="str">
        <f>IFERROR(__xludf.DUMMYFUNCTION("GOOGLETRANSLATE(A5425, ""ar"", ""bn"")"),"বিদ্রোহ")</f>
        <v>বিদ্রোহ</v>
      </c>
    </row>
    <row r="5426">
      <c r="A5426" s="2" t="s">
        <v>7069</v>
      </c>
      <c r="B5426" s="3" t="str">
        <f>IFERROR(__xludf.DUMMYFUNCTION("GOOGLETRANSLATE(A5426, ""ar"", ""bn"")"),"বিদ্রোহীদের")</f>
        <v>বিদ্রোহীদের</v>
      </c>
    </row>
    <row r="5427">
      <c r="A5427" s="2" t="s">
        <v>4476</v>
      </c>
      <c r="B5427" s="3" t="str">
        <f>IFERROR(__xludf.DUMMYFUNCTION("GOOGLETRANSLATE(A5427, ""ar"", ""bn"")"),"অস্বীকার")</f>
        <v>অস্বীকার</v>
      </c>
    </row>
    <row r="5428">
      <c r="A5428" s="2" t="s">
        <v>4476</v>
      </c>
      <c r="B5428" s="3" t="str">
        <f>IFERROR(__xludf.DUMMYFUNCTION("GOOGLETRANSLATE(A5428, ""ar"", ""bn"")"),"অস্বীকার")</f>
        <v>অস্বীকার</v>
      </c>
    </row>
    <row r="5429">
      <c r="A5429" s="2" t="s">
        <v>7070</v>
      </c>
      <c r="B5429" s="3" t="str">
        <f>IFERROR(__xludf.DUMMYFUNCTION("GOOGLETRANSLATE(A5429, ""ar"", ""bn"")"),"প্রত্যাখ্যান")</f>
        <v>প্রত্যাখ্যান</v>
      </c>
    </row>
    <row r="5430">
      <c r="A5430" s="2" t="s">
        <v>7071</v>
      </c>
      <c r="B5430" s="3" t="str">
        <f>IFERROR(__xludf.DUMMYFUNCTION("GOOGLETRANSLATE(A5430, ""ar"", ""bn"")"),"প্রত্যাখ্যাত")</f>
        <v>প্রত্যাখ্যাত</v>
      </c>
    </row>
    <row r="5431">
      <c r="A5431" s="2" t="s">
        <v>3944</v>
      </c>
      <c r="B5431" s="3" t="str">
        <f>IFERROR(__xludf.DUMMYFUNCTION("GOOGLETRANSLATE(A5431, ""ar"", ""bn"")"),"তীব্র তিরস্কার")</f>
        <v>তীব্র তিরস্কার</v>
      </c>
    </row>
    <row r="5432">
      <c r="A5432" s="2" t="s">
        <v>3980</v>
      </c>
      <c r="B5432" s="3" t="str">
        <f>IFERROR(__xludf.DUMMYFUNCTION("GOOGLETRANSLATE(A5432, ""ar"", ""bn"")"),"টুকা")</f>
        <v>টুকা</v>
      </c>
    </row>
    <row r="5433">
      <c r="A5433" s="2" t="s">
        <v>7072</v>
      </c>
      <c r="B5433" s="3" t="str">
        <f>IFERROR(__xludf.DUMMYFUNCTION("GOOGLETRANSLATE(A5433, ""ar"", ""bn"")"),"তর্জন")</f>
        <v>তর্জন</v>
      </c>
    </row>
    <row r="5434">
      <c r="A5434" s="2" t="s">
        <v>4920</v>
      </c>
      <c r="B5434" s="3" t="str">
        <f>IFERROR(__xludf.DUMMYFUNCTION("GOOGLETRANSLATE(A5434, ""ar"", ""bn"")"),"খণ্ডন করা")</f>
        <v>খণ্ডন করা</v>
      </c>
    </row>
    <row r="5435">
      <c r="A5435" s="2" t="s">
        <v>7073</v>
      </c>
      <c r="B5435" s="3" t="str">
        <f>IFERROR(__xludf.DUMMYFUNCTION("GOOGLETRANSLATE(A5435, ""ar"", ""bn"")"),"Rebuttable")</f>
        <v>Rebuttable</v>
      </c>
    </row>
    <row r="5436">
      <c r="A5436" s="2" t="s">
        <v>7074</v>
      </c>
      <c r="B5436" s="3" t="str">
        <f>IFERROR(__xludf.DUMMYFUNCTION("GOOGLETRANSLATE(A5436, ""ar"", ""bn"")"),"উত্তর")</f>
        <v>উত্তর</v>
      </c>
    </row>
    <row r="5437">
      <c r="A5437" s="2" t="s">
        <v>7075</v>
      </c>
      <c r="B5437" s="3" t="str">
        <f>IFERROR(__xludf.DUMMYFUNCTION("GOOGLETRANSLATE(A5437, ""ar"", ""bn"")"),"আবেদন")</f>
        <v>আবেদন</v>
      </c>
    </row>
    <row r="5438">
      <c r="A5438" s="2" t="s">
        <v>4920</v>
      </c>
      <c r="B5438" s="3" t="str">
        <f>IFERROR(__xludf.DUMMYFUNCTION("GOOGLETRANSLATE(A5438, ""ar"", ""bn"")"),"খণ্ডন করা")</f>
        <v>খণ্ডন করা</v>
      </c>
    </row>
    <row r="5439">
      <c r="A5439" s="2" t="s">
        <v>4920</v>
      </c>
      <c r="B5439" s="3" t="str">
        <f>IFERROR(__xludf.DUMMYFUNCTION("GOOGLETRANSLATE(A5439, ""ar"", ""bn"")"),"খণ্ডন করা")</f>
        <v>খণ্ডন করা</v>
      </c>
    </row>
    <row r="5440">
      <c r="A5440" s="2" t="s">
        <v>7064</v>
      </c>
      <c r="B5440" s="3" t="str">
        <f>IFERROR(__xludf.DUMMYFUNCTION("GOOGLETRANSLATE(A5440, ""ar"", ""bn"")"),"বিদ্রোহী")</f>
        <v>বিদ্রোহী</v>
      </c>
    </row>
    <row r="5441">
      <c r="A5441" s="2" t="s">
        <v>4580</v>
      </c>
      <c r="B5441" s="3" t="str">
        <f>IFERROR(__xludf.DUMMYFUNCTION("GOOGLETRANSLATE(A5441, ""ar"", ""bn"")"),"পশ্চাদপসরণ")</f>
        <v>পশ্চাদপসরণ</v>
      </c>
    </row>
    <row r="5442">
      <c r="A5442" s="2" t="s">
        <v>7076</v>
      </c>
      <c r="B5442" s="3" t="str">
        <f>IFERROR(__xludf.DUMMYFUNCTION("GOOGLETRANSLATE(A5442, ""ar"", ""bn"")"),"নিবৃত্ত")</f>
        <v>নিবৃত্ত</v>
      </c>
    </row>
    <row r="5443">
      <c r="A5443" s="2" t="s">
        <v>7077</v>
      </c>
      <c r="B5443" s="3" t="str">
        <f>IFERROR(__xludf.DUMMYFUNCTION("GOOGLETRANSLATE(A5443, ""ar"", ""bn"")"),"ফিরিয়া যাত্তয়া")</f>
        <v>ফিরিয়া যাত্তয়া</v>
      </c>
    </row>
    <row r="5444">
      <c r="A5444" s="2" t="s">
        <v>4976</v>
      </c>
      <c r="B5444" s="3" t="str">
        <f>IFERROR(__xludf.DUMMYFUNCTION("GOOGLETRANSLATE(A5444, ""ar"", ""bn"")"),"মন্দা")</f>
        <v>মন্দা</v>
      </c>
    </row>
    <row r="5445">
      <c r="A5445" s="2" t="s">
        <v>7078</v>
      </c>
      <c r="B5445" s="3" t="str">
        <f>IFERROR(__xludf.DUMMYFUNCTION("GOOGLETRANSLATE(A5445, ""ar"", ""bn"")"),"রিসেশন")</f>
        <v>রিসেশন</v>
      </c>
    </row>
    <row r="5446">
      <c r="A5446" s="2" t="s">
        <v>7078</v>
      </c>
      <c r="B5446" s="3" t="str">
        <f>IFERROR(__xludf.DUMMYFUNCTION("GOOGLETRANSLATE(A5446, ""ar"", ""bn"")"),"রিসেশন")</f>
        <v>রিসেশন</v>
      </c>
    </row>
    <row r="5447">
      <c r="A5447" s="2" t="s">
        <v>5433</v>
      </c>
      <c r="B5447" s="3" t="str">
        <f>IFERROR(__xludf.DUMMYFUNCTION("GOOGLETRANSLATE(A5447, ""ar"", ""bn"")"),"বেপরোয়া")</f>
        <v>বেপরোয়া</v>
      </c>
    </row>
    <row r="5448">
      <c r="A5448" s="2" t="s">
        <v>7012</v>
      </c>
      <c r="B5448" s="3" t="str">
        <f>IFERROR(__xludf.DUMMYFUNCTION("GOOGLETRANSLATE(A5448, ""ar"", ""bn"")"),"হঠকারী")</f>
        <v>হঠকারী</v>
      </c>
    </row>
    <row r="5449">
      <c r="A5449" s="2" t="s">
        <v>7079</v>
      </c>
      <c r="B5449" s="3" t="str">
        <f>IFERROR(__xludf.DUMMYFUNCTION("GOOGLETRANSLATE(A5449, ""ar"", ""bn"")"),"হঠকারিতা")</f>
        <v>হঠকারিতা</v>
      </c>
    </row>
    <row r="5450">
      <c r="A5450" s="2" t="s">
        <v>7080</v>
      </c>
      <c r="B5450" s="3" t="str">
        <f>IFERROR(__xludf.DUMMYFUNCTION("GOOGLETRANSLATE(A5450, ""ar"", ""bn"")"),"পশ্চাদপসরণ")</f>
        <v>পশ্চাদপসরণ</v>
      </c>
    </row>
    <row r="5451">
      <c r="A5451" s="2" t="s">
        <v>7081</v>
      </c>
      <c r="B5451" s="3" t="str">
        <f>IFERROR(__xludf.DUMMYFUNCTION("GOOGLETRANSLATE(A5451, ""ar"", ""bn"")"),"পরতেন")</f>
        <v>পরতেন</v>
      </c>
    </row>
    <row r="5452">
      <c r="A5452" s="2" t="s">
        <v>7080</v>
      </c>
      <c r="B5452" s="3" t="str">
        <f>IFERROR(__xludf.DUMMYFUNCTION("GOOGLETRANSLATE(A5452, ""ar"", ""bn"")"),"পশ্চাদপসরণ")</f>
        <v>পশ্চাদপসরণ</v>
      </c>
    </row>
    <row r="5453">
      <c r="A5453" s="2" t="s">
        <v>7082</v>
      </c>
      <c r="B5453" s="3" t="str">
        <f>IFERROR(__xludf.DUMMYFUNCTION("GOOGLETRANSLATE(A5453, ""ar"", ""bn"")"),"ফিরে প্রাণচঞ্চল")</f>
        <v>ফিরে প্রাণচঞ্চল</v>
      </c>
    </row>
    <row r="5454">
      <c r="A5454" s="2" t="s">
        <v>7083</v>
      </c>
      <c r="B5454" s="3" t="str">
        <f>IFERROR(__xludf.DUMMYFUNCTION("GOOGLETRANSLATE(A5454, ""ar"", ""bn"")"),"পুনরাবৃত্তি")</f>
        <v>পুনরাবৃত্তি</v>
      </c>
    </row>
    <row r="5455">
      <c r="A5455" s="2" t="s">
        <v>7084</v>
      </c>
      <c r="B5455" s="3" t="str">
        <f>IFERROR(__xludf.DUMMYFUNCTION("GOOGLETRANSLATE(A5455, ""ar"", ""bn"")"),"প্রাচুর্য")</f>
        <v>প্রাচুর্য</v>
      </c>
    </row>
    <row r="5456">
      <c r="A5456" s="2" t="s">
        <v>7085</v>
      </c>
      <c r="B5456" s="3" t="str">
        <f>IFERROR(__xludf.DUMMYFUNCTION("GOOGLETRANSLATE(A5456, ""ar"", ""bn"")"),"যোগ")</f>
        <v>যোগ</v>
      </c>
    </row>
    <row r="5457">
      <c r="A5457" s="2" t="s">
        <v>7086</v>
      </c>
      <c r="B5457" s="3" t="str">
        <f>IFERROR(__xludf.DUMMYFUNCTION("GOOGLETRANSLATE(A5457, ""ar"", ""bn"")"),"Redundantly")</f>
        <v>Redundantly</v>
      </c>
    </row>
    <row r="5458">
      <c r="A5458" s="2" t="s">
        <v>7087</v>
      </c>
      <c r="B5458" s="3" t="str">
        <f>IFERROR(__xludf.DUMMYFUNCTION("GOOGLETRANSLATE(A5458, ""ar"", ""bn"")"),"moldiness")</f>
        <v>moldiness</v>
      </c>
    </row>
    <row r="5459">
      <c r="A5459" s="2" t="s">
        <v>7088</v>
      </c>
      <c r="B5459" s="3" t="str">
        <f>IFERROR(__xludf.DUMMYFUNCTION("GOOGLETRANSLATE(A5459, ""ar"", ""bn"")"),"Reeked")</f>
        <v>Reeked</v>
      </c>
    </row>
    <row r="5460">
      <c r="A5460" s="2" t="s">
        <v>7089</v>
      </c>
      <c r="B5460" s="3" t="str">
        <f>IFERROR(__xludf.DUMMYFUNCTION("GOOGLETRANSLATE(A5460, ""ar"", ""bn"")"),"এটা স্মেল্ট")</f>
        <v>এটা স্মেল্ট</v>
      </c>
    </row>
    <row r="5461">
      <c r="A5461" s="2" t="s">
        <v>7090</v>
      </c>
      <c r="B5461" s="3" t="str">
        <f>IFERROR(__xludf.DUMMYFUNCTION("GOOGLETRANSLATE(A5461, ""ar"", ""bn"")"),"Reeks")</f>
        <v>Reeks</v>
      </c>
    </row>
    <row r="5462">
      <c r="A5462" s="2" t="s">
        <v>7091</v>
      </c>
      <c r="B5462" s="3" t="str">
        <f>IFERROR(__xludf.DUMMYFUNCTION("GOOGLETRANSLATE(A5462, ""ar"", ""bn"")"),"বিরত থাকুন")</f>
        <v>বিরত থাকুন</v>
      </c>
    </row>
    <row r="5463">
      <c r="A5463" s="2" t="s">
        <v>7092</v>
      </c>
      <c r="B5463" s="3" t="str">
        <f>IFERROR(__xludf.DUMMYFUNCTION("GOOGLETRANSLATE(A5463, ""ar"", ""bn"")"),"নিবৃত্ত")</f>
        <v>নিবৃত্ত</v>
      </c>
    </row>
    <row r="5464">
      <c r="A5464" s="2" t="s">
        <v>7093</v>
      </c>
      <c r="B5464" s="3" t="str">
        <f>IFERROR(__xludf.DUMMYFUNCTION("GOOGLETRANSLATE(A5464, ""ar"", ""bn"")"),"ধ্রুবা")</f>
        <v>ধ্রুবা</v>
      </c>
    </row>
    <row r="5465">
      <c r="A5465" s="2" t="s">
        <v>7094</v>
      </c>
      <c r="B5465" s="3" t="str">
        <f>IFERROR(__xludf.DUMMYFUNCTION("GOOGLETRANSLATE(A5465, ""ar"", ""bn"")"),"বিরত থাকা")</f>
        <v>বিরত থাকা</v>
      </c>
    </row>
    <row r="5466">
      <c r="A5466" s="2" t="s">
        <v>7095</v>
      </c>
      <c r="B5466" s="3" t="str">
        <f>IFERROR(__xludf.DUMMYFUNCTION("GOOGLETRANSLATE(A5466, ""ar"", ""bn"")"),"উদ্বাস্তু")</f>
        <v>উদ্বাস্তু</v>
      </c>
    </row>
    <row r="5467">
      <c r="A5467" s="2" t="s">
        <v>7096</v>
      </c>
      <c r="B5467" s="3" t="str">
        <f>IFERROR(__xludf.DUMMYFUNCTION("GOOGLETRANSLATE(A5467, ""ar"", ""bn"")"),"উদ্বাস্তু")</f>
        <v>উদ্বাস্তু</v>
      </c>
    </row>
    <row r="5468">
      <c r="A5468" s="2" t="s">
        <v>4476</v>
      </c>
      <c r="B5468" s="3" t="str">
        <f>IFERROR(__xludf.DUMMYFUNCTION("GOOGLETRANSLATE(A5468, ""ar"", ""bn"")"),"অস্বীকার")</f>
        <v>অস্বীকার</v>
      </c>
    </row>
    <row r="5469">
      <c r="A5469" s="2" t="s">
        <v>7097</v>
      </c>
      <c r="B5469" s="3" t="str">
        <f>IFERROR(__xludf.DUMMYFUNCTION("GOOGLETRANSLATE(A5469, ""ar"", ""bn"")"),"প্রত্যাখ্যান")</f>
        <v>প্রত্যাখ্যান</v>
      </c>
    </row>
    <row r="5470">
      <c r="A5470" s="2" t="s">
        <v>4476</v>
      </c>
      <c r="B5470" s="3" t="str">
        <f>IFERROR(__xludf.DUMMYFUNCTION("GOOGLETRANSLATE(A5470, ""ar"", ""bn"")"),"অস্বীকার")</f>
        <v>অস্বীকার</v>
      </c>
    </row>
    <row r="5471">
      <c r="A5471" s="2" t="s">
        <v>4476</v>
      </c>
      <c r="B5471" s="3" t="str">
        <f>IFERROR(__xludf.DUMMYFUNCTION("GOOGLETRANSLATE(A5471, ""ar"", ""bn"")"),"অস্বীকার")</f>
        <v>অস্বীকার</v>
      </c>
    </row>
    <row r="5472">
      <c r="A5472" s="2" t="s">
        <v>7098</v>
      </c>
      <c r="B5472" s="3" t="str">
        <f>IFERROR(__xludf.DUMMYFUNCTION("GOOGLETRANSLATE(A5472, ""ar"", ""bn"")"),"যারা অস্বীকার")</f>
        <v>যারা অস্বীকার</v>
      </c>
    </row>
    <row r="5473">
      <c r="A5473" s="2" t="s">
        <v>7099</v>
      </c>
      <c r="B5473" s="3" t="str">
        <f>IFERROR(__xludf.DUMMYFUNCTION("GOOGLETRANSLATE(A5473, ""ar"", ""bn"")"),"তিনি রাজি")</f>
        <v>তিনি রাজি</v>
      </c>
    </row>
    <row r="5474">
      <c r="A5474" s="2" t="s">
        <v>7100</v>
      </c>
      <c r="B5474" s="3" t="str">
        <f>IFERROR(__xludf.DUMMYFUNCTION("GOOGLETRANSLATE(A5474, ""ar"", ""bn"")"),"তথাপি")</f>
        <v>তথাপি</v>
      </c>
    </row>
    <row r="5475">
      <c r="A5475" s="2" t="s">
        <v>4580</v>
      </c>
      <c r="B5475" s="3" t="str">
        <f>IFERROR(__xludf.DUMMYFUNCTION("GOOGLETRANSLATE(A5475, ""ar"", ""bn"")"),"পশ্চাদপসরণ")</f>
        <v>পশ্চাদপসরণ</v>
      </c>
    </row>
    <row r="5476">
      <c r="A5476" s="2" t="s">
        <v>4580</v>
      </c>
      <c r="B5476" s="3" t="str">
        <f>IFERROR(__xludf.DUMMYFUNCTION("GOOGLETRANSLATE(A5476, ""ar"", ""bn"")"),"পশ্চাদপসরণ")</f>
        <v>পশ্চাদপসরণ</v>
      </c>
    </row>
    <row r="5477">
      <c r="A5477" s="2" t="s">
        <v>7082</v>
      </c>
      <c r="B5477" s="3" t="str">
        <f>IFERROR(__xludf.DUMMYFUNCTION("GOOGLETRANSLATE(A5477, ""ar"", ""bn"")"),"ফিরে প্রাণচঞ্চল")</f>
        <v>ফিরে প্রাণচঞ্চল</v>
      </c>
    </row>
    <row r="5478">
      <c r="A5478" s="2" t="s">
        <v>4580</v>
      </c>
      <c r="B5478" s="3" t="str">
        <f>IFERROR(__xludf.DUMMYFUNCTION("GOOGLETRANSLATE(A5478, ""ar"", ""bn"")"),"পশ্চাদপসরণ")</f>
        <v>পশ্চাদপসরণ</v>
      </c>
    </row>
    <row r="5479">
      <c r="A5479" s="2" t="s">
        <v>4580</v>
      </c>
      <c r="B5479" s="3" t="str">
        <f>IFERROR(__xludf.DUMMYFUNCTION("GOOGLETRANSLATE(A5479, ""ar"", ""bn"")"),"পশ্চাদপসরণ")</f>
        <v>পশ্চাদপসরণ</v>
      </c>
    </row>
    <row r="5480">
      <c r="A5480" s="2" t="s">
        <v>7101</v>
      </c>
      <c r="B5480" s="3" t="str">
        <f>IFERROR(__xludf.DUMMYFUNCTION("GOOGLETRANSLATE(A5480, ""ar"", ""bn"")"),"রিগ্রেশন")</f>
        <v>রিগ্রেশন</v>
      </c>
    </row>
    <row r="5481">
      <c r="A5481" s="2" t="s">
        <v>7102</v>
      </c>
      <c r="B5481" s="3" t="str">
        <f>IFERROR(__xludf.DUMMYFUNCTION("GOOGLETRANSLATE(A5481, ""ar"", ""bn"")"),"প্রত্যাবর্তী")</f>
        <v>প্রত্যাবর্তী</v>
      </c>
    </row>
    <row r="5482">
      <c r="A5482" s="2" t="s">
        <v>7103</v>
      </c>
      <c r="B5482" s="3" t="str">
        <f>IFERROR(__xludf.DUMMYFUNCTION("GOOGLETRANSLATE(A5482, ""ar"", ""bn"")"),"অনুতাপ")</f>
        <v>অনুতাপ</v>
      </c>
    </row>
    <row r="5483">
      <c r="A5483" s="2" t="s">
        <v>7104</v>
      </c>
      <c r="B5483" s="3" t="str">
        <f>IFERROR(__xludf.DUMMYFUNCTION("GOOGLETRANSLATE(A5483, ""ar"", ""bn"")"),"নির্বিণ্ণ")</f>
        <v>নির্বিণ্ণ</v>
      </c>
    </row>
    <row r="5484">
      <c r="A5484" s="2" t="s">
        <v>7105</v>
      </c>
      <c r="B5484" s="3" t="str">
        <f>IFERROR(__xludf.DUMMYFUNCTION("GOOGLETRANSLATE(A5484, ""ar"", ""bn"")"),"দুর্ভাগ্যবশত")</f>
        <v>দুর্ভাগ্যবশত</v>
      </c>
    </row>
    <row r="5485">
      <c r="A5485" s="2" t="s">
        <v>7103</v>
      </c>
      <c r="B5485" s="3" t="str">
        <f>IFERROR(__xludf.DUMMYFUNCTION("GOOGLETRANSLATE(A5485, ""ar"", ""bn"")"),"অনুতাপ")</f>
        <v>অনুতাপ</v>
      </c>
    </row>
    <row r="5486">
      <c r="A5486" s="2" t="s">
        <v>6186</v>
      </c>
      <c r="B5486" s="3" t="str">
        <f>IFERROR(__xludf.DUMMYFUNCTION("GOOGLETRANSLATE(A5486, ""ar"", ""bn"")"),"অনুশোচীয়")</f>
        <v>অনুশোচীয়</v>
      </c>
    </row>
    <row r="5487">
      <c r="A5487" s="2" t="s">
        <v>7105</v>
      </c>
      <c r="B5487" s="3" t="str">
        <f>IFERROR(__xludf.DUMMYFUNCTION("GOOGLETRANSLATE(A5487, ""ar"", ""bn"")"),"দুর্ভাগ্যবশত")</f>
        <v>দুর্ভাগ্যবশত</v>
      </c>
    </row>
    <row r="5488">
      <c r="A5488" s="2" t="s">
        <v>7106</v>
      </c>
      <c r="B5488" s="3" t="str">
        <f>IFERROR(__xludf.DUMMYFUNCTION("GOOGLETRANSLATE(A5488, ""ar"", ""bn"")"),"অনুশোচনা")</f>
        <v>অনুশোচনা</v>
      </c>
    </row>
    <row r="5489">
      <c r="A5489" s="2" t="s">
        <v>7107</v>
      </c>
      <c r="B5489" s="3" t="str">
        <f>IFERROR(__xludf.DUMMYFUNCTION("GOOGLETRANSLATE(A5489, ""ar"", ""bn"")"),"অনুশোচনা")</f>
        <v>অনুশোচনা</v>
      </c>
    </row>
    <row r="5490">
      <c r="A5490" s="2" t="s">
        <v>4476</v>
      </c>
      <c r="B5490" s="3" t="str">
        <f>IFERROR(__xludf.DUMMYFUNCTION("GOOGLETRANSLATE(A5490, ""ar"", ""bn"")"),"অস্বীকার")</f>
        <v>অস্বীকার</v>
      </c>
    </row>
    <row r="5491">
      <c r="A5491" s="2" t="s">
        <v>7108</v>
      </c>
      <c r="B5491" s="3" t="str">
        <f>IFERROR(__xludf.DUMMYFUNCTION("GOOGLETRANSLATE(A5491, ""ar"", ""bn"")"),"অগ্রহণীয়")</f>
        <v>অগ্রহণীয়</v>
      </c>
    </row>
    <row r="5492">
      <c r="A5492" s="2" t="s">
        <v>4822</v>
      </c>
      <c r="B5492" s="3" t="str">
        <f>IFERROR(__xludf.DUMMYFUNCTION("GOOGLETRANSLATE(A5492, ""ar"", ""bn"")"),"প্রত্যাখ্যান")</f>
        <v>প্রত্যাখ্যান</v>
      </c>
    </row>
    <row r="5493">
      <c r="A5493" s="2" t="s">
        <v>7097</v>
      </c>
      <c r="B5493" s="3" t="str">
        <f>IFERROR(__xludf.DUMMYFUNCTION("GOOGLETRANSLATE(A5493, ""ar"", ""bn"")"),"প্রত্যাখ্যান")</f>
        <v>প্রত্যাখ্যান</v>
      </c>
    </row>
    <row r="5494">
      <c r="A5494" s="2" t="s">
        <v>7097</v>
      </c>
      <c r="B5494" s="3" t="str">
        <f>IFERROR(__xludf.DUMMYFUNCTION("GOOGLETRANSLATE(A5494, ""ar"", ""bn"")"),"প্রত্যাখ্যান")</f>
        <v>প্রত্যাখ্যান</v>
      </c>
    </row>
    <row r="5495">
      <c r="A5495" s="2" t="s">
        <v>7109</v>
      </c>
      <c r="B5495" s="3" t="str">
        <f>IFERROR(__xludf.DUMMYFUNCTION("GOOGLETRANSLATE(A5495, ""ar"", ""bn"")"),"রাজি")</f>
        <v>রাজি</v>
      </c>
    </row>
    <row r="5496">
      <c r="A5496" s="2" t="s">
        <v>7110</v>
      </c>
      <c r="B5496" s="3" t="str">
        <f>IFERROR(__xludf.DUMMYFUNCTION("GOOGLETRANSLATE(A5496, ""ar"", ""bn"")"),"পালটান")</f>
        <v>পালটান</v>
      </c>
    </row>
    <row r="5497">
      <c r="A5497" s="2" t="s">
        <v>7111</v>
      </c>
      <c r="B5497" s="3" t="str">
        <f>IFERROR(__xludf.DUMMYFUNCTION("GOOGLETRANSLATE(A5497, ""ar"", ""bn"")"),"পুনরায় প্রকাশ দেত্তয়া")</f>
        <v>পুনরায় প্রকাশ দেত্তয়া</v>
      </c>
    </row>
    <row r="5498">
      <c r="A5498" s="2" t="s">
        <v>7112</v>
      </c>
      <c r="B5498" s="3" t="str">
        <f>IFERROR(__xludf.DUMMYFUNCTION("GOOGLETRANSLATE(A5498, ""ar"", ""bn"")"),"অবস্থার অবনতি")</f>
        <v>অবস্থার অবনতি</v>
      </c>
    </row>
    <row r="5499">
      <c r="A5499" s="2" t="s">
        <v>7113</v>
      </c>
      <c r="B5499" s="3" t="str">
        <f>IFERROR(__xludf.DUMMYFUNCTION("GOOGLETRANSLATE(A5499, ""ar"", ""bn"")"),"অনিচ্ছা")</f>
        <v>অনিচ্ছা</v>
      </c>
    </row>
    <row r="5500">
      <c r="A5500" s="2" t="s">
        <v>7114</v>
      </c>
      <c r="B5500" s="3" t="str">
        <f>IFERROR(__xludf.DUMMYFUNCTION("GOOGLETRANSLATE(A5500, ""ar"", ""bn"")"),"দ্বিধাগ্রস্ত")</f>
        <v>দ্বিধাগ্রস্ত</v>
      </c>
    </row>
    <row r="5501">
      <c r="A5501" s="2" t="s">
        <v>7115</v>
      </c>
      <c r="B5501" s="3" t="str">
        <f>IFERROR(__xludf.DUMMYFUNCTION("GOOGLETRANSLATE(A5501, ""ar"", ""bn"")"),"অনিচ্ছায়")</f>
        <v>অনিচ্ছায়</v>
      </c>
    </row>
    <row r="5502">
      <c r="A5502" s="2" t="s">
        <v>7103</v>
      </c>
      <c r="B5502" s="3" t="str">
        <f>IFERROR(__xludf.DUMMYFUNCTION("GOOGLETRANSLATE(A5502, ""ar"", ""bn"")"),"অনুতাপ")</f>
        <v>অনুতাপ</v>
      </c>
    </row>
    <row r="5503">
      <c r="A5503" s="2" t="s">
        <v>7116</v>
      </c>
      <c r="B5503" s="3" t="str">
        <f>IFERROR(__xludf.DUMMYFUNCTION("GOOGLETRANSLATE(A5503, ""ar"", ""bn"")"),"অনুতপ্ত")</f>
        <v>অনুতপ্ত</v>
      </c>
    </row>
    <row r="5504">
      <c r="A5504" s="2" t="s">
        <v>7117</v>
      </c>
      <c r="B5504" s="3" t="str">
        <f>IFERROR(__xludf.DUMMYFUNCTION("GOOGLETRANSLATE(A5504, ""ar"", ""bn"")"),"দোষী অনুভব করছি")</f>
        <v>দোষী অনুভব করছি</v>
      </c>
    </row>
    <row r="5505">
      <c r="A5505" s="2" t="s">
        <v>3818</v>
      </c>
      <c r="B5505" s="3" t="str">
        <f>IFERROR(__xludf.DUMMYFUNCTION("GOOGLETRANSLATE(A5505, ""ar"", ""bn"")"),"পাশবিক")</f>
        <v>পাশবিক</v>
      </c>
    </row>
    <row r="5506">
      <c r="A5506" s="2" t="s">
        <v>6462</v>
      </c>
      <c r="B5506" s="3" t="str">
        <f>IFERROR(__xludf.DUMMYFUNCTION("GOOGLETRANSLATE(A5506, ""ar"", ""bn"")"),"ক্ষমাহীনভাবে")</f>
        <v>ক্ষমাহীনভাবে</v>
      </c>
    </row>
    <row r="5507">
      <c r="A5507" s="2" t="s">
        <v>7118</v>
      </c>
      <c r="B5507" s="3" t="str">
        <f>IFERROR(__xludf.DUMMYFUNCTION("GOOGLETRANSLATE(A5507, ""ar"", ""bn"")"),"অস্বীকার করা")</f>
        <v>অস্বীকার করা</v>
      </c>
    </row>
    <row r="5508">
      <c r="A5508" s="2" t="s">
        <v>7119</v>
      </c>
      <c r="B5508" s="3" t="str">
        <f>IFERROR(__xludf.DUMMYFUNCTION("GOOGLETRANSLATE(A5508, ""ar"", ""bn"")"),"পরিত্যক্ত")</f>
        <v>পরিত্যক্ত</v>
      </c>
    </row>
    <row r="5509">
      <c r="A5509" s="2" t="s">
        <v>7120</v>
      </c>
      <c r="B5509" s="3" t="str">
        <f>IFERROR(__xludf.DUMMYFUNCTION("GOOGLETRANSLATE(A5509, ""ar"", ""bn"")"),"আত্মত্যাগ")</f>
        <v>আত্মত্যাগ</v>
      </c>
    </row>
    <row r="5510">
      <c r="A5510" s="2" t="s">
        <v>7121</v>
      </c>
      <c r="B5510" s="3" t="str">
        <f>IFERROR(__xludf.DUMMYFUNCTION("GOOGLETRANSLATE(A5510, ""ar"", ""bn"")"),"renounces")</f>
        <v>renounces</v>
      </c>
    </row>
    <row r="5511">
      <c r="A5511" s="2" t="s">
        <v>3172</v>
      </c>
      <c r="B5511" s="3" t="str">
        <f>IFERROR(__xludf.DUMMYFUNCTION("GOOGLETRANSLATE(A5511, ""ar"", ""bn"")"),"অধিকার পরিত্যাগের ঘোষণা")</f>
        <v>অধিকার পরিত্যাগের ঘোষণা</v>
      </c>
    </row>
    <row r="5512">
      <c r="A5512" s="2" t="s">
        <v>7122</v>
      </c>
      <c r="B5512" s="3" t="str">
        <f>IFERROR(__xludf.DUMMYFUNCTION("GOOGLETRANSLATE(A5512, ""ar"", ""bn"")"),"ছাড়")</f>
        <v>ছাড়</v>
      </c>
    </row>
    <row r="5513">
      <c r="A5513" s="2" t="s">
        <v>3182</v>
      </c>
      <c r="B5513" s="3" t="str">
        <f>IFERROR(__xludf.DUMMYFUNCTION("GOOGLETRANSLATE(A5513, ""ar"", ""bn"")"),"বাতিল")</f>
        <v>বাতিল</v>
      </c>
    </row>
    <row r="5514">
      <c r="A5514" s="2" t="s">
        <v>3182</v>
      </c>
      <c r="B5514" s="3" t="str">
        <f>IFERROR(__xludf.DUMMYFUNCTION("GOOGLETRANSLATE(A5514, ""ar"", ""bn"")"),"বাতিল")</f>
        <v>বাতিল</v>
      </c>
    </row>
    <row r="5515">
      <c r="A5515" s="2" t="s">
        <v>3183</v>
      </c>
      <c r="B5515" s="3" t="str">
        <f>IFERROR(__xludf.DUMMYFUNCTION("GOOGLETRANSLATE(A5515, ""ar"", ""bn"")"),"ঘটিয়েছে")</f>
        <v>ঘটিয়েছে</v>
      </c>
    </row>
    <row r="5516">
      <c r="A5516" s="2" t="s">
        <v>7123</v>
      </c>
      <c r="B5516" s="3" t="str">
        <f>IFERROR(__xludf.DUMMYFUNCTION("GOOGLETRANSLATE(A5516, ""ar"", ""bn"")"),"বাতিল")</f>
        <v>বাতিল</v>
      </c>
    </row>
    <row r="5517">
      <c r="A5517" s="2" t="s">
        <v>7124</v>
      </c>
      <c r="B5517" s="3" t="str">
        <f>IFERROR(__xludf.DUMMYFUNCTION("GOOGLETRANSLATE(A5517, ""ar"", ""bn"")"),"নিন্দনীয়")</f>
        <v>নিন্দনীয়</v>
      </c>
    </row>
    <row r="5518">
      <c r="A5518" s="2" t="s">
        <v>7125</v>
      </c>
      <c r="B5518" s="3" t="str">
        <f>IFERROR(__xludf.DUMMYFUNCTION("GOOGLETRANSLATE(A5518, ""ar"", ""bn"")"),"চাপাচাপি")</f>
        <v>চাপাচাপি</v>
      </c>
    </row>
    <row r="5519">
      <c r="A5519" s="2" t="s">
        <v>7126</v>
      </c>
      <c r="B5519" s="3" t="str">
        <f>IFERROR(__xludf.DUMMYFUNCTION("GOOGLETRANSLATE(A5519, ""ar"", ""bn"")"),"অবদমিত")</f>
        <v>অবদমিত</v>
      </c>
    </row>
    <row r="5520">
      <c r="A5520" s="2" t="s">
        <v>7127</v>
      </c>
      <c r="B5520" s="3" t="str">
        <f>IFERROR(__xludf.DUMMYFUNCTION("GOOGLETRANSLATE(A5520, ""ar"", ""bn"")"),"শ্বাসরুদ্ধ করিয়া মারা")</f>
        <v>শ্বাসরুদ্ধ করিয়া মারা</v>
      </c>
    </row>
    <row r="5521">
      <c r="A5521" s="2" t="s">
        <v>7125</v>
      </c>
      <c r="B5521" s="3" t="str">
        <f>IFERROR(__xludf.DUMMYFUNCTION("GOOGLETRANSLATE(A5521, ""ar"", ""bn"")"),"চাপাচাপি")</f>
        <v>চাপাচাপি</v>
      </c>
    </row>
    <row r="5522">
      <c r="A5522" s="2" t="s">
        <v>7125</v>
      </c>
      <c r="B5522" s="3" t="str">
        <f>IFERROR(__xludf.DUMMYFUNCTION("GOOGLETRANSLATE(A5522, ""ar"", ""bn"")"),"চাপাচাপি")</f>
        <v>চাপাচাপি</v>
      </c>
    </row>
    <row r="5523">
      <c r="A5523" s="2" t="s">
        <v>6679</v>
      </c>
      <c r="B5523" s="3" t="str">
        <f>IFERROR(__xludf.DUMMYFUNCTION("GOOGLETRANSLATE(A5523, ""ar"", ""bn"")"),"দমন")</f>
        <v>দমন</v>
      </c>
    </row>
    <row r="5524">
      <c r="A5524" s="2" t="s">
        <v>7128</v>
      </c>
      <c r="B5524" s="3" t="str">
        <f>IFERROR(__xludf.DUMMYFUNCTION("GOOGLETRANSLATE(A5524, ""ar"", ""bn"")"),"উত্পীড়নকর")</f>
        <v>উত্পীড়নকর</v>
      </c>
    </row>
    <row r="5525">
      <c r="A5525" s="2" t="s">
        <v>7129</v>
      </c>
      <c r="B5525" s="3" t="str">
        <f>IFERROR(__xludf.DUMMYFUNCTION("GOOGLETRANSLATE(A5525, ""ar"", ""bn"")"),"উত্পীড়নকর")</f>
        <v>উত্পীড়নকর</v>
      </c>
    </row>
    <row r="5526">
      <c r="A5526" s="2" t="s">
        <v>3266</v>
      </c>
      <c r="B5526" s="3" t="str">
        <f>IFERROR(__xludf.DUMMYFUNCTION("GOOGLETRANSLATE(A5526, ""ar"", ""bn"")"),"ভর্ত্সনা")</f>
        <v>ভর্ত্সনা</v>
      </c>
    </row>
    <row r="5527">
      <c r="A5527" s="2" t="s">
        <v>3661</v>
      </c>
      <c r="B5527" s="3" t="str">
        <f>IFERROR(__xludf.DUMMYFUNCTION("GOOGLETRANSLATE(A5527, ""ar"", ""bn"")"),"দোষ")</f>
        <v>দোষ</v>
      </c>
    </row>
    <row r="5528">
      <c r="A5528" s="2" t="s">
        <v>3661</v>
      </c>
      <c r="B5528" s="3" t="str">
        <f>IFERROR(__xludf.DUMMYFUNCTION("GOOGLETRANSLATE(A5528, ""ar"", ""bn"")"),"দোষ")</f>
        <v>দোষ</v>
      </c>
    </row>
    <row r="5529">
      <c r="A5529" s="2" t="s">
        <v>7130</v>
      </c>
      <c r="B5529" s="3" t="str">
        <f>IFERROR(__xludf.DUMMYFUNCTION("GOOGLETRANSLATE(A5529, ""ar"", ""bn"")"),"কলঙ্কর")</f>
        <v>কলঙ্কর</v>
      </c>
    </row>
    <row r="5530">
      <c r="A5530" s="2" t="s">
        <v>7131</v>
      </c>
      <c r="B5530" s="3" t="str">
        <f>IFERROR(__xludf.DUMMYFUNCTION("GOOGLETRANSLATE(A5530, ""ar"", ""bn"")"),"কলঙ্কর ভাবে")</f>
        <v>কলঙ্কর ভাবে</v>
      </c>
    </row>
    <row r="5531">
      <c r="A5531" s="2" t="s">
        <v>7132</v>
      </c>
      <c r="B5531" s="3" t="str">
        <f>IFERROR(__xludf.DUMMYFUNCTION("GOOGLETRANSLATE(A5531, ""ar"", ""bn"")"),"নিন্দন")</f>
        <v>নিন্দন</v>
      </c>
    </row>
    <row r="5532">
      <c r="A5532" s="2" t="s">
        <v>4476</v>
      </c>
      <c r="B5532" s="3" t="str">
        <f>IFERROR(__xludf.DUMMYFUNCTION("GOOGLETRANSLATE(A5532, ""ar"", ""bn"")"),"অস্বীকার")</f>
        <v>অস্বীকার</v>
      </c>
    </row>
    <row r="5533">
      <c r="A5533" s="2" t="s">
        <v>7133</v>
      </c>
      <c r="B5533" s="3" t="str">
        <f>IFERROR(__xludf.DUMMYFUNCTION("GOOGLETRANSLATE(A5533, ""ar"", ""bn"")"),"Masqueraded")</f>
        <v>Masqueraded</v>
      </c>
    </row>
    <row r="5534">
      <c r="A5534" s="2" t="s">
        <v>7134</v>
      </c>
      <c r="B5534" s="3" t="str">
        <f>IFERROR(__xludf.DUMMYFUNCTION("GOOGLETRANSLATE(A5534, ""ar"", ""bn"")"),"অস্বীকার")</f>
        <v>অস্বীকার</v>
      </c>
    </row>
    <row r="5535">
      <c r="A5535" s="2" t="s">
        <v>3176</v>
      </c>
      <c r="B5535" s="3" t="str">
        <f>IFERROR(__xludf.DUMMYFUNCTION("GOOGLETRANSLATE(A5535, ""ar"", ""bn"")"),"ন্যক্কার")</f>
        <v>ন্যক্কার</v>
      </c>
    </row>
    <row r="5536">
      <c r="A5536" s="2" t="s">
        <v>3184</v>
      </c>
      <c r="B5536" s="3" t="str">
        <f>IFERROR(__xludf.DUMMYFUNCTION("GOOGLETRANSLATE(A5536, ""ar"", ""bn"")"),"ঘৃণ্য")</f>
        <v>ঘৃণ্য</v>
      </c>
    </row>
    <row r="5537">
      <c r="A5537" s="2" t="s">
        <v>7135</v>
      </c>
      <c r="B5537" s="3" t="str">
        <f>IFERROR(__xludf.DUMMYFUNCTION("GOOGLETRANSLATE(A5537, ""ar"", ""bn"")"),"কঁচুলী")</f>
        <v>কঁচুলী</v>
      </c>
    </row>
    <row r="5538">
      <c r="A5538" s="2" t="s">
        <v>7136</v>
      </c>
      <c r="B5538" s="3" t="str">
        <f>IFERROR(__xludf.DUMMYFUNCTION("GOOGLETRANSLATE(A5538, ""ar"", ""bn"")"),"নিরাকৃত")</f>
        <v>নিরাকৃত</v>
      </c>
    </row>
    <row r="5539">
      <c r="A5539" s="2" t="s">
        <v>4865</v>
      </c>
      <c r="B5539" s="3" t="str">
        <f>IFERROR(__xludf.DUMMYFUNCTION("GOOGLETRANSLATE(A5539, ""ar"", ""bn"")"),"ন্যক্কারজনক")</f>
        <v>ন্যক্কারজনক</v>
      </c>
    </row>
    <row r="5540">
      <c r="A5540" s="2" t="s">
        <v>3184</v>
      </c>
      <c r="B5540" s="3" t="str">
        <f>IFERROR(__xludf.DUMMYFUNCTION("GOOGLETRANSLATE(A5540, ""ar"", ""bn"")"),"ঘৃণ্য")</f>
        <v>ঘৃণ্য</v>
      </c>
    </row>
    <row r="5541">
      <c r="A5541" s="2" t="s">
        <v>7137</v>
      </c>
      <c r="B5541" s="3" t="str">
        <f>IFERROR(__xludf.DUMMYFUNCTION("GOOGLETRANSLATE(A5541, ""ar"", ""bn"")"),"বিরাগ")</f>
        <v>বিরাগ</v>
      </c>
    </row>
    <row r="5542">
      <c r="A5542" s="2" t="s">
        <v>7138</v>
      </c>
      <c r="B5542" s="3" t="str">
        <f>IFERROR(__xludf.DUMMYFUNCTION("GOOGLETRANSLATE(A5542, ""ar"", ""bn"")"),"ক্ষতিকর মনে করা")</f>
        <v>ক্ষতিকর মনে করা</v>
      </c>
    </row>
    <row r="5543">
      <c r="A5543" s="2" t="s">
        <v>4838</v>
      </c>
      <c r="B5543" s="3" t="str">
        <f>IFERROR(__xludf.DUMMYFUNCTION("GOOGLETRANSLATE(A5543, ""ar"", ""bn"")"),"অসন্তোষ")</f>
        <v>অসন্তোষ</v>
      </c>
    </row>
    <row r="5544">
      <c r="A5544" s="2" t="s">
        <v>7139</v>
      </c>
      <c r="B5544" s="3" t="str">
        <f>IFERROR(__xludf.DUMMYFUNCTION("GOOGLETRANSLATE(A5544, ""ar"", ""bn"")"),"উপভোগ্য")</f>
        <v>উপভোগ্য</v>
      </c>
    </row>
    <row r="5545">
      <c r="A5545" s="2" t="s">
        <v>7140</v>
      </c>
      <c r="B5545" s="3" t="str">
        <f>IFERROR(__xludf.DUMMYFUNCTION("GOOGLETRANSLATE(A5545, ""ar"", ""bn"")"),"অপমানবোধ নেওয়া")</f>
        <v>অপমানবোধ নেওয়া</v>
      </c>
    </row>
    <row r="5546">
      <c r="A5546" s="2" t="s">
        <v>4838</v>
      </c>
      <c r="B5546" s="3" t="str">
        <f>IFERROR(__xludf.DUMMYFUNCTION("GOOGLETRANSLATE(A5546, ""ar"", ""bn"")"),"অসন্তোষ")</f>
        <v>অসন্তোষ</v>
      </c>
    </row>
    <row r="5547">
      <c r="A5547" s="2" t="s">
        <v>7141</v>
      </c>
      <c r="B5547" s="3" t="str">
        <f>IFERROR(__xludf.DUMMYFUNCTION("GOOGLETRANSLATE(A5547, ""ar"", ""bn"")"),"অসন্তোষ")</f>
        <v>অসন্তোষ</v>
      </c>
    </row>
    <row r="5548">
      <c r="A5548" s="2" t="s">
        <v>3175</v>
      </c>
      <c r="B5548" s="3" t="str">
        <f>IFERROR(__xludf.DUMMYFUNCTION("GOOGLETRANSLATE(A5548, ""ar"", ""bn"")"),"ঘৃণা")</f>
        <v>ঘৃণা</v>
      </c>
    </row>
    <row r="5549">
      <c r="A5549" s="2" t="s">
        <v>6977</v>
      </c>
      <c r="B5549" s="3" t="str">
        <f>IFERROR(__xludf.DUMMYFUNCTION("GOOGLETRANSLATE(A5549, ""ar"", ""bn"")"),"পদত্যাগ")</f>
        <v>পদত্যাগ</v>
      </c>
    </row>
    <row r="5550">
      <c r="A5550" s="2" t="s">
        <v>7142</v>
      </c>
      <c r="B5550" s="3" t="str">
        <f>IFERROR(__xludf.DUMMYFUNCTION("GOOGLETRANSLATE(A5550, ""ar"", ""bn"")"),"পদত্যাগ")</f>
        <v>পদত্যাগ</v>
      </c>
    </row>
    <row r="5551">
      <c r="A5551" s="2" t="s">
        <v>7143</v>
      </c>
      <c r="B5551" s="3" t="str">
        <f>IFERROR(__xludf.DUMMYFUNCTION("GOOGLETRANSLATE(A5551, ""ar"", ""bn"")"),"পদত্যাগে")</f>
        <v>পদত্যাগে</v>
      </c>
    </row>
    <row r="5552">
      <c r="A5552" s="2" t="s">
        <v>7144</v>
      </c>
      <c r="B5552" s="3" t="str">
        <f>IFERROR(__xludf.DUMMYFUNCTION("GOOGLETRANSLATE(A5552, ""ar"", ""bn"")"),"বিদায়ী")</f>
        <v>বিদায়ী</v>
      </c>
    </row>
    <row r="5553">
      <c r="A5553" s="2" t="s">
        <v>7145</v>
      </c>
      <c r="B5553" s="3" t="str">
        <f>IFERROR(__xludf.DUMMYFUNCTION("GOOGLETRANSLATE(A5553, ""ar"", ""bn"")"),"আত্মসমর্পণ")</f>
        <v>আত্মসমর্পণ</v>
      </c>
    </row>
    <row r="5554">
      <c r="A5554" s="2" t="s">
        <v>7146</v>
      </c>
      <c r="B5554" s="3" t="str">
        <f>IFERROR(__xludf.DUMMYFUNCTION("GOOGLETRANSLATE(A5554, ""ar"", ""bn"")"),"পদত্যাগ")</f>
        <v>পদত্যাগ</v>
      </c>
    </row>
    <row r="5555">
      <c r="A5555" s="2" t="s">
        <v>7142</v>
      </c>
      <c r="B5555" s="3" t="str">
        <f>IFERROR(__xludf.DUMMYFUNCTION("GOOGLETRANSLATE(A5555, ""ar"", ""bn"")"),"পদত্যাগ")</f>
        <v>পদত্যাগ</v>
      </c>
    </row>
    <row r="5556">
      <c r="A5556" s="2" t="s">
        <v>7142</v>
      </c>
      <c r="B5556" s="3" t="str">
        <f>IFERROR(__xludf.DUMMYFUNCTION("GOOGLETRANSLATE(A5556, ""ar"", ""bn"")"),"পদত্যাগ")</f>
        <v>পদত্যাগ</v>
      </c>
    </row>
    <row r="5557">
      <c r="A5557" s="2" t="s">
        <v>7143</v>
      </c>
      <c r="B5557" s="3" t="str">
        <f>IFERROR(__xludf.DUMMYFUNCTION("GOOGLETRANSLATE(A5557, ""ar"", ""bn"")"),"পদত্যাগে")</f>
        <v>পদত্যাগে</v>
      </c>
    </row>
    <row r="5558">
      <c r="A5558" s="2" t="s">
        <v>7147</v>
      </c>
      <c r="B5558" s="3" t="str">
        <f>IFERROR(__xludf.DUMMYFUNCTION("GOOGLETRANSLATE(A5558, ""ar"", ""bn"")"),"বিষণ্ণতা")</f>
        <v>বিষণ্ণতা</v>
      </c>
    </row>
    <row r="5559">
      <c r="A5559" s="2" t="s">
        <v>7148</v>
      </c>
      <c r="B5559" s="3" t="str">
        <f>IFERROR(__xludf.DUMMYFUNCTION("GOOGLETRANSLATE(A5559, ""ar"", ""bn"")"),"অবিরত")</f>
        <v>অবিরত</v>
      </c>
    </row>
    <row r="5560">
      <c r="A5560" s="2" t="s">
        <v>7149</v>
      </c>
      <c r="B5560" s="3" t="str">
        <f>IFERROR(__xludf.DUMMYFUNCTION("GOOGLETRANSLATE(A5560, ""ar"", ""bn"")"),"অনিদ্রা")</f>
        <v>অনিদ্রা</v>
      </c>
    </row>
    <row r="5561">
      <c r="A5561" s="2" t="s">
        <v>7150</v>
      </c>
      <c r="B5561" s="3" t="str">
        <f>IFERROR(__xludf.DUMMYFUNCTION("GOOGLETRANSLATE(A5561, ""ar"", ""bn"")"),"সীমাবদ্ধতা")</f>
        <v>সীমাবদ্ধতা</v>
      </c>
    </row>
    <row r="5562">
      <c r="A5562" s="2" t="s">
        <v>7151</v>
      </c>
      <c r="B5562" s="3" t="str">
        <f>IFERROR(__xludf.DUMMYFUNCTION("GOOGLETRANSLATE(A5562, ""ar"", ""bn"")"),"সীমাবদ্ধ")</f>
        <v>সীমাবদ্ধ</v>
      </c>
    </row>
    <row r="5563">
      <c r="A5563" s="2" t="s">
        <v>4172</v>
      </c>
      <c r="B5563" s="3" t="str">
        <f>IFERROR(__xludf.DUMMYFUNCTION("GOOGLETRANSLATE(A5563, ""ar"", ""bn"")"),"সীমাবদ্ধতা")</f>
        <v>সীমাবদ্ধতা</v>
      </c>
    </row>
    <row r="5564">
      <c r="A5564" s="2" t="s">
        <v>4172</v>
      </c>
      <c r="B5564" s="3" t="str">
        <f>IFERROR(__xludf.DUMMYFUNCTION("GOOGLETRANSLATE(A5564, ""ar"", ""bn"")"),"সীমাবদ্ধতা")</f>
        <v>সীমাবদ্ধতা</v>
      </c>
    </row>
    <row r="5565">
      <c r="A5565" s="2" t="s">
        <v>4173</v>
      </c>
      <c r="B5565" s="3" t="str">
        <f>IFERROR(__xludf.DUMMYFUNCTION("GOOGLETRANSLATE(A5565, ""ar"", ""bn"")"),"সীমাবদ্ধতা")</f>
        <v>সীমাবদ্ধতা</v>
      </c>
    </row>
    <row r="5566">
      <c r="A5566" s="2" t="s">
        <v>7152</v>
      </c>
      <c r="B5566" s="3" t="str">
        <f>IFERROR(__xludf.DUMMYFUNCTION("GOOGLETRANSLATE(A5566, ""ar"", ""bn"")"),"নিয়ন্ত্রক")</f>
        <v>নিয়ন্ত্রক</v>
      </c>
    </row>
    <row r="5567">
      <c r="A5567" s="2" t="s">
        <v>7153</v>
      </c>
      <c r="B5567" s="3" t="str">
        <f>IFERROR(__xludf.DUMMYFUNCTION("GOOGLETRANSLATE(A5567, ""ar"", ""bn"")"),"minimalistic")</f>
        <v>minimalistic</v>
      </c>
    </row>
    <row r="5568">
      <c r="A5568" s="2" t="s">
        <v>7154</v>
      </c>
      <c r="B5568" s="3" t="str">
        <f>IFERROR(__xludf.DUMMYFUNCTION("GOOGLETRANSLATE(A5568, ""ar"", ""bn"")"),"সীমাবদ্ধ করে")</f>
        <v>সীমাবদ্ধ করে</v>
      </c>
    </row>
    <row r="5569">
      <c r="A5569" s="2" t="s">
        <v>3457</v>
      </c>
      <c r="B5569" s="3" t="str">
        <f>IFERROR(__xludf.DUMMYFUNCTION("GOOGLETRANSLATE(A5569, ""ar"", ""bn"")"),"প্রতিশোধ")</f>
        <v>প্রতিশোধ</v>
      </c>
    </row>
    <row r="5570">
      <c r="A5570" s="2" t="s">
        <v>3458</v>
      </c>
      <c r="B5570" s="3" t="str">
        <f>IFERROR(__xludf.DUMMYFUNCTION("GOOGLETRANSLATE(A5570, ""ar"", ""bn"")"),"প্রতিশোধ")</f>
        <v>প্রতিশোধ</v>
      </c>
    </row>
    <row r="5571">
      <c r="A5571" s="2" t="s">
        <v>3461</v>
      </c>
      <c r="B5571" s="3" t="str">
        <f>IFERROR(__xludf.DUMMYFUNCTION("GOOGLETRANSLATE(A5571, ""ar"", ""bn"")"),"প্রতিশোধ")</f>
        <v>প্রতিশোধ</v>
      </c>
    </row>
    <row r="5572">
      <c r="A5572" s="2" t="s">
        <v>7155</v>
      </c>
      <c r="B5572" s="3" t="str">
        <f>IFERROR(__xludf.DUMMYFUNCTION("GOOGLETRANSLATE(A5572, ""ar"", ""bn"")"),"প্রতিশোধ")</f>
        <v>প্রতিশোধ</v>
      </c>
    </row>
    <row r="5573">
      <c r="A5573" s="2" t="s">
        <v>7156</v>
      </c>
      <c r="B5573" s="3" t="str">
        <f>IFERROR(__xludf.DUMMYFUNCTION("GOOGLETRANSLATE(A5573, ""ar"", ""bn"")"),"প্রতিশোধ")</f>
        <v>প্রতিশোধ</v>
      </c>
    </row>
    <row r="5574">
      <c r="A5574" s="2" t="s">
        <v>7157</v>
      </c>
      <c r="B5574" s="3" t="str">
        <f>IFERROR(__xludf.DUMMYFUNCTION("GOOGLETRANSLATE(A5574, ""ar"", ""bn"")"),"প্রতিদানক্ষম")</f>
        <v>প্রতিদানক্ষম</v>
      </c>
    </row>
    <row r="5575">
      <c r="A5575" s="2" t="s">
        <v>4538</v>
      </c>
      <c r="B5575" s="3" t="str">
        <f>IFERROR(__xludf.DUMMYFUNCTION("GOOGLETRANSLATE(A5575, ""ar"", ""bn"")"),"বিলম্ব")</f>
        <v>বিলম্ব</v>
      </c>
    </row>
    <row r="5576">
      <c r="A5576" s="2" t="s">
        <v>4540</v>
      </c>
      <c r="B5576" s="3" t="str">
        <f>IFERROR(__xludf.DUMMYFUNCTION("GOOGLETRANSLATE(A5576, ""ar"", ""bn"")"),"retardant")</f>
        <v>retardant</v>
      </c>
    </row>
    <row r="5577">
      <c r="A5577" s="2" t="s">
        <v>7158</v>
      </c>
      <c r="B5577" s="3" t="str">
        <f>IFERROR(__xludf.DUMMYFUNCTION("GOOGLETRANSLATE(A5577, ""ar"", ""bn"")"),"প্রতিবন্ধক")</f>
        <v>প্রতিবন্ধক</v>
      </c>
    </row>
    <row r="5578">
      <c r="A5578" s="2" t="s">
        <v>7159</v>
      </c>
      <c r="B5578" s="3" t="str">
        <f>IFERROR(__xludf.DUMMYFUNCTION("GOOGLETRANSLATE(A5578, ""ar"", ""bn"")"),"মন্দীভূত")</f>
        <v>মন্দীভূত</v>
      </c>
    </row>
    <row r="5579">
      <c r="A5579" s="2" t="s">
        <v>6023</v>
      </c>
      <c r="B5579" s="3" t="str">
        <f>IFERROR(__xludf.DUMMYFUNCTION("GOOGLETRANSLATE(A5579, ""ar"", ""bn"")"),"দমনমূলক")</f>
        <v>দমনমূলক</v>
      </c>
    </row>
    <row r="5580">
      <c r="A5580" s="2" t="s">
        <v>7160</v>
      </c>
      <c r="B5580" s="3" t="str">
        <f>IFERROR(__xludf.DUMMYFUNCTION("GOOGLETRANSLATE(A5580, ""ar"", ""bn"")"),"বিলম্ব")</f>
        <v>বিলম্ব</v>
      </c>
    </row>
    <row r="5581">
      <c r="A5581" s="2" t="s">
        <v>7161</v>
      </c>
      <c r="B5581" s="3" t="str">
        <f>IFERROR(__xludf.DUMMYFUNCTION("GOOGLETRANSLATE(A5581, ""ar"", ""bn"")"),"বমি")</f>
        <v>বমি</v>
      </c>
    </row>
    <row r="5582">
      <c r="A5582" s="2" t="s">
        <v>7162</v>
      </c>
      <c r="B5582" s="3" t="str">
        <f>IFERROR(__xludf.DUMMYFUNCTION("GOOGLETRANSLATE(A5582, ""ar"", ""bn"")"),"বিবেকের দংশন")</f>
        <v>বিবেকের দংশন</v>
      </c>
    </row>
    <row r="5583">
      <c r="A5583" s="2" t="s">
        <v>7163</v>
      </c>
      <c r="B5583" s="3" t="str">
        <f>IFERROR(__xludf.DUMMYFUNCTION("GOOGLETRANSLATE(A5583, ""ar"", ""bn"")"),"অবসর গ্রহণ")</f>
        <v>অবসর গ্রহণ</v>
      </c>
    </row>
    <row r="5584">
      <c r="A5584" s="2" t="s">
        <v>7164</v>
      </c>
      <c r="B5584" s="3" t="str">
        <f>IFERROR(__xludf.DUMMYFUNCTION("GOOGLETRANSLATE(A5584, ""ar"", ""bn"")"),"অবসরপ্রাপ্ত و")</f>
        <v>অবসরপ্রাপ্ত و</v>
      </c>
    </row>
    <row r="5585">
      <c r="A5585" s="2" t="s">
        <v>7164</v>
      </c>
      <c r="B5585" s="3" t="str">
        <f>IFERROR(__xludf.DUMMYFUNCTION("GOOGLETRANSLATE(A5585, ""ar"", ""bn"")"),"অবসরপ্রাপ্ত و")</f>
        <v>অবসরপ্রাপ্ত و</v>
      </c>
    </row>
    <row r="5586">
      <c r="A5586" s="2" t="s">
        <v>7163</v>
      </c>
      <c r="B5586" s="3" t="str">
        <f>IFERROR(__xludf.DUMMYFUNCTION("GOOGLETRANSLATE(A5586, ""ar"", ""bn"")"),"অবসর গ্রহণ")</f>
        <v>অবসর গ্রহণ</v>
      </c>
    </row>
    <row r="5587">
      <c r="A5587" s="2" t="s">
        <v>7165</v>
      </c>
      <c r="B5587" s="3" t="str">
        <f>IFERROR(__xludf.DUMMYFUNCTION("GOOGLETRANSLATE(A5587, ""ar"", ""bn"")"),"অবসর গ্রহণ")</f>
        <v>অবসর গ্রহণ</v>
      </c>
    </row>
    <row r="5588">
      <c r="A5588" s="2" t="s">
        <v>7166</v>
      </c>
      <c r="B5588" s="3" t="str">
        <f>IFERROR(__xludf.DUMMYFUNCTION("GOOGLETRANSLATE(A5588, ""ar"", ""bn"")"),"বিদায়")</f>
        <v>বিদায়</v>
      </c>
    </row>
    <row r="5589">
      <c r="A5589" s="2" t="s">
        <v>4580</v>
      </c>
      <c r="B5589" s="3" t="str">
        <f>IFERROR(__xludf.DUMMYFUNCTION("GOOGLETRANSLATE(A5589, ""ar"", ""bn"")"),"পশ্চাদপসরণ")</f>
        <v>পশ্চাদপসরণ</v>
      </c>
    </row>
    <row r="5590">
      <c r="A5590" s="2" t="s">
        <v>4580</v>
      </c>
      <c r="B5590" s="3" t="str">
        <f>IFERROR(__xludf.DUMMYFUNCTION("GOOGLETRANSLATE(A5590, ""ar"", ""bn"")"),"পশ্চাদপসরণ")</f>
        <v>পশ্চাদপসরণ</v>
      </c>
    </row>
    <row r="5591">
      <c r="A5591" s="2" t="s">
        <v>4580</v>
      </c>
      <c r="B5591" s="3" t="str">
        <f>IFERROR(__xludf.DUMMYFUNCTION("GOOGLETRANSLATE(A5591, ""ar"", ""bn"")"),"পশ্চাদপসরণ")</f>
        <v>পশ্চাদপসরণ</v>
      </c>
    </row>
    <row r="5592">
      <c r="A5592" s="2" t="s">
        <v>7167</v>
      </c>
      <c r="B5592" s="3" t="str">
        <f>IFERROR(__xludf.DUMMYFUNCTION("GOOGLETRANSLATE(A5592, ""ar"", ""bn"")"),"retreats")</f>
        <v>retreats</v>
      </c>
    </row>
    <row r="5593">
      <c r="A5593" s="2" t="s">
        <v>7156</v>
      </c>
      <c r="B5593" s="3" t="str">
        <f>IFERROR(__xludf.DUMMYFUNCTION("GOOGLETRANSLATE(A5593, ""ar"", ""bn"")"),"প্রতিশোধ")</f>
        <v>প্রতিশোধ</v>
      </c>
    </row>
    <row r="5594">
      <c r="A5594" s="2" t="s">
        <v>3457</v>
      </c>
      <c r="B5594" s="3" t="str">
        <f>IFERROR(__xludf.DUMMYFUNCTION("GOOGLETRANSLATE(A5594, ""ar"", ""bn"")"),"প্রতিশোধ")</f>
        <v>প্রতিশোধ</v>
      </c>
    </row>
    <row r="5595">
      <c r="A5595" s="2" t="s">
        <v>3459</v>
      </c>
      <c r="B5595" s="3" t="str">
        <f>IFERROR(__xludf.DUMMYFUNCTION("GOOGLETRANSLATE(A5595, ""ar"", ""bn"")"),"যে ব্যক্তি প্রতিহিংসা গ্রহণ করে")</f>
        <v>যে ব্যক্তি প্রতিহিংসা গ্রহণ করে</v>
      </c>
    </row>
    <row r="5596">
      <c r="A5596" s="2" t="s">
        <v>7168</v>
      </c>
      <c r="B5596" s="3" t="str">
        <f>IFERROR(__xludf.DUMMYFUNCTION("GOOGLETRANSLATE(A5596, ""ar"", ""bn"")"),"Revenges")</f>
        <v>Revenges</v>
      </c>
    </row>
    <row r="5597">
      <c r="A5597" s="2" t="s">
        <v>7169</v>
      </c>
      <c r="B5597" s="3" t="str">
        <f>IFERROR(__xludf.DUMMYFUNCTION("GOOGLETRANSLATE(A5597, ""ar"", ""bn"")"),"ফিরে যাও")</f>
        <v>ফিরে যাও</v>
      </c>
    </row>
    <row r="5598">
      <c r="A5598" s="2" t="s">
        <v>7170</v>
      </c>
      <c r="B5598" s="3" t="str">
        <f>IFERROR(__xludf.DUMMYFUNCTION("GOOGLETRANSLATE(A5598, ""ar"", ""bn"")"),"সে ফিরে এসেছিল")</f>
        <v>সে ফিরে এসেছিল</v>
      </c>
    </row>
    <row r="5599">
      <c r="A5599" s="2" t="s">
        <v>7171</v>
      </c>
      <c r="B5599" s="3" t="str">
        <f>IFERROR(__xludf.DUMMYFUNCTION("GOOGLETRANSLATE(A5599, ""ar"", ""bn"")"),"ফিরতি")</f>
        <v>ফিরতি</v>
      </c>
    </row>
    <row r="5600">
      <c r="A5600" s="2" t="s">
        <v>7172</v>
      </c>
      <c r="B5600" s="3" t="str">
        <f>IFERROR(__xludf.DUMMYFUNCTION("GOOGLETRANSLATE(A5600, ""ar"", ""bn"")"),"প্রত্যাবর্তন")</f>
        <v>প্রত্যাবর্তন</v>
      </c>
    </row>
    <row r="5601">
      <c r="A5601" s="2" t="s">
        <v>5000</v>
      </c>
      <c r="B5601" s="3" t="str">
        <f>IFERROR(__xludf.DUMMYFUNCTION("GOOGLETRANSLATE(A5601, ""ar"", ""bn"")"),"উত্তোলন")</f>
        <v>উত্তোলন</v>
      </c>
    </row>
    <row r="5602">
      <c r="A5602" s="2" t="s">
        <v>3182</v>
      </c>
      <c r="B5602" s="3" t="str">
        <f>IFERROR(__xludf.DUMMYFUNCTION("GOOGLETRANSLATE(A5602, ""ar"", ""bn"")"),"বাতিল")</f>
        <v>বাতিল</v>
      </c>
    </row>
    <row r="5603">
      <c r="A5603" s="2" t="s">
        <v>6661</v>
      </c>
      <c r="B5603" s="3" t="str">
        <f>IFERROR(__xludf.DUMMYFUNCTION("GOOGLETRANSLATE(A5603, ""ar"", ""bn"")"),"বলাত্কারী")</f>
        <v>বলাত্কারী</v>
      </c>
    </row>
    <row r="5604">
      <c r="A5604" s="2" t="s">
        <v>7173</v>
      </c>
      <c r="B5604" s="3" t="str">
        <f>IFERROR(__xludf.DUMMYFUNCTION("GOOGLETRANSLATE(A5604, ""ar"", ""bn"")"),"বাতিল করা")</f>
        <v>বাতিল করা</v>
      </c>
    </row>
    <row r="5605">
      <c r="A5605" s="2" t="s">
        <v>2174</v>
      </c>
      <c r="B5605" s="3" t="str">
        <f>IFERROR(__xludf.DUMMYFUNCTION("GOOGLETRANSLATE(A5605, ""ar"", ""bn"")"),"বিপ্লব")</f>
        <v>বিপ্লব</v>
      </c>
    </row>
    <row r="5606">
      <c r="A5606" s="2" t="s">
        <v>7174</v>
      </c>
      <c r="B5606" s="3" t="str">
        <f>IFERROR(__xludf.DUMMYFUNCTION("GOOGLETRANSLATE(A5606, ""ar"", ""bn"")"),"প্রতিশোধ")</f>
        <v>প্রতিশোধ</v>
      </c>
    </row>
    <row r="5607">
      <c r="A5607" s="2" t="s">
        <v>2177</v>
      </c>
      <c r="B5607" s="3" t="str">
        <f>IFERROR(__xludf.DUMMYFUNCTION("GOOGLETRANSLATE(A5607, ""ar"", ""bn"")"),"বৈপ্লবিক")</f>
        <v>বৈপ্লবিক</v>
      </c>
    </row>
    <row r="5608">
      <c r="A5608" s="2" t="s">
        <v>7175</v>
      </c>
      <c r="B5608" s="3" t="str">
        <f>IFERROR(__xludf.DUMMYFUNCTION("GOOGLETRANSLATE(A5608, ""ar"", ""bn"")"),"কদর্যভাবে")</f>
        <v>কদর্যভাবে</v>
      </c>
    </row>
    <row r="5609">
      <c r="A5609" s="2" t="s">
        <v>3307</v>
      </c>
      <c r="B5609" s="3" t="str">
        <f>IFERROR(__xludf.DUMMYFUNCTION("GOOGLETRANSLATE(A5609, ""ar"", ""bn"")"),"বিপ্লব")</f>
        <v>বিপ্লব</v>
      </c>
    </row>
    <row r="5610">
      <c r="A5610" s="2" t="s">
        <v>2174</v>
      </c>
      <c r="B5610" s="3" t="str">
        <f>IFERROR(__xludf.DUMMYFUNCTION("GOOGLETRANSLATE(A5610, ""ar"", ""bn"")"),"বিপ্লব")</f>
        <v>বিপ্লব</v>
      </c>
    </row>
    <row r="5611">
      <c r="A5611" s="2" t="s">
        <v>7069</v>
      </c>
      <c r="B5611" s="3" t="str">
        <f>IFERROR(__xludf.DUMMYFUNCTION("GOOGLETRANSLATE(A5611, ""ar"", ""bn"")"),"বিদ্রোহীদের")</f>
        <v>বিদ্রোহীদের</v>
      </c>
    </row>
    <row r="5612">
      <c r="A5612" s="2" t="s">
        <v>2177</v>
      </c>
      <c r="B5612" s="3" t="str">
        <f>IFERROR(__xludf.DUMMYFUNCTION("GOOGLETRANSLATE(A5612, ""ar"", ""bn"")"),"বৈপ্লবিক")</f>
        <v>বৈপ্লবিক</v>
      </c>
    </row>
    <row r="5613">
      <c r="A5613" s="2" t="s">
        <v>2174</v>
      </c>
      <c r="B5613" s="3" t="str">
        <f>IFERROR(__xludf.DUMMYFUNCTION("GOOGLETRANSLATE(A5613, ""ar"", ""bn"")"),"বিপ্লব")</f>
        <v>বিপ্লব</v>
      </c>
    </row>
    <row r="5614">
      <c r="A5614" s="2" t="s">
        <v>2174</v>
      </c>
      <c r="B5614" s="3" t="str">
        <f>IFERROR(__xludf.DUMMYFUNCTION("GOOGLETRANSLATE(A5614, ""ar"", ""bn"")"),"বিপ্লব")</f>
        <v>বিপ্লব</v>
      </c>
    </row>
    <row r="5615">
      <c r="A5615" s="2" t="s">
        <v>7176</v>
      </c>
      <c r="B5615" s="3" t="str">
        <f>IFERROR(__xludf.DUMMYFUNCTION("GOOGLETRANSLATE(A5615, ""ar"", ""bn"")"),"একটি বিপ্লব ঘটবে")</f>
        <v>একটি বিপ্লব ঘটবে</v>
      </c>
    </row>
    <row r="5616">
      <c r="A5616" s="2" t="s">
        <v>2174</v>
      </c>
      <c r="B5616" s="3" t="str">
        <f>IFERROR(__xludf.DUMMYFUNCTION("GOOGLETRANSLATE(A5616, ""ar"", ""bn"")"),"বিপ্লব")</f>
        <v>বিপ্লব</v>
      </c>
    </row>
    <row r="5617">
      <c r="A5617" s="2" t="s">
        <v>3307</v>
      </c>
      <c r="B5617" s="3" t="str">
        <f>IFERROR(__xludf.DUMMYFUNCTION("GOOGLETRANSLATE(A5617, ""ar"", ""bn"")"),"বিপ্লব")</f>
        <v>বিপ্লব</v>
      </c>
    </row>
    <row r="5618">
      <c r="A5618" s="2" t="s">
        <v>4915</v>
      </c>
      <c r="B5618" s="3" t="str">
        <f>IFERROR(__xludf.DUMMYFUNCTION("GOOGLETRANSLATE(A5618, ""ar"", ""bn"")"),"পরিত্রাণ পেতে")</f>
        <v>পরিত্রাণ পেতে</v>
      </c>
    </row>
    <row r="5619">
      <c r="A5619" s="2" t="s">
        <v>7177</v>
      </c>
      <c r="B5619" s="3" t="str">
        <f>IFERROR(__xludf.DUMMYFUNCTION("GOOGLETRANSLATE(A5619, ""ar"", ""bn"")"),"স্টপ")</f>
        <v>স্টপ</v>
      </c>
    </row>
    <row r="5620">
      <c r="A5620" s="2" t="s">
        <v>7178</v>
      </c>
      <c r="B5620" s="3" t="str">
        <f>IFERROR(__xludf.DUMMYFUNCTION("GOOGLETRANSLATE(A5620, ""ar"", ""bn"")"),"চালালে")</f>
        <v>চালালে</v>
      </c>
    </row>
    <row r="5621">
      <c r="A5621" s="2" t="s">
        <v>7179</v>
      </c>
      <c r="B5621" s="3" t="str">
        <f>IFERROR(__xludf.DUMMYFUNCTION("GOOGLETRANSLATE(A5621, ""ar"", ""bn"")"),"প্রদর্শণের")</f>
        <v>প্রদর্শণের</v>
      </c>
    </row>
    <row r="5622">
      <c r="A5622" s="2" t="s">
        <v>7180</v>
      </c>
      <c r="B5622" s="3" t="str">
        <f>IFERROR(__xludf.DUMMYFUNCTION("GOOGLETRANSLATE(A5622, ""ar"", ""bn"")"),"রহস্য")</f>
        <v>রহস্য</v>
      </c>
    </row>
    <row r="5623">
      <c r="A5623" s="2" t="s">
        <v>7181</v>
      </c>
      <c r="B5623" s="3" t="str">
        <f>IFERROR(__xludf.DUMMYFUNCTION("GOOGLETRANSLATE(A5623, ""ar"", ""bn"")"),"এটি চেরা")</f>
        <v>এটি চেরা</v>
      </c>
    </row>
    <row r="5624">
      <c r="A5624" s="2" t="s">
        <v>7182</v>
      </c>
      <c r="B5624" s="3" t="str">
        <f>IFERROR(__xludf.DUMMYFUNCTION("GOOGLETRANSLATE(A5624, ""ar"", ""bn"")"),"পাজল")</f>
        <v>পাজল</v>
      </c>
    </row>
    <row r="5625">
      <c r="A5625" s="2" t="s">
        <v>7183</v>
      </c>
      <c r="B5625" s="3" t="str">
        <f>IFERROR(__xludf.DUMMYFUNCTION("GOOGLETRANSLATE(A5625, ""ar"", ""bn"")"),"বৃষ্টি")</f>
        <v>বৃষ্টি</v>
      </c>
    </row>
    <row r="5626">
      <c r="A5626" s="2" t="s">
        <v>7184</v>
      </c>
      <c r="B5626" s="3" t="str">
        <f>IFERROR(__xludf.DUMMYFUNCTION("GOOGLETRANSLATE(A5626, ""ar"", ""bn"")"),"অশ্বারোহণ")</f>
        <v>অশ্বারোহণ</v>
      </c>
    </row>
    <row r="5627">
      <c r="A5627" s="2" t="s">
        <v>6769</v>
      </c>
      <c r="B5627" s="3" t="str">
        <f>IFERROR(__xludf.DUMMYFUNCTION("GOOGLETRANSLATE(A5627, ""ar"", ""bn"")"),"যাত্রী")</f>
        <v>যাত্রী</v>
      </c>
    </row>
    <row r="5628">
      <c r="A5628" s="2" t="s">
        <v>7185</v>
      </c>
      <c r="B5628" s="3" t="str">
        <f>IFERROR(__xludf.DUMMYFUNCTION("GOOGLETRANSLATE(A5628, ""ar"", ""bn"")"),"রাইডার্স")</f>
        <v>রাইডার্স</v>
      </c>
    </row>
    <row r="5629">
      <c r="A5629" s="2" t="s">
        <v>7186</v>
      </c>
      <c r="B5629" s="3" t="str">
        <f>IFERROR(__xludf.DUMMYFUNCTION("GOOGLETRANSLATE(A5629, ""ar"", ""bn"")"),"অশ্বারোহন")</f>
        <v>অশ্বারোহন</v>
      </c>
    </row>
    <row r="5630">
      <c r="A5630" s="2" t="s">
        <v>7187</v>
      </c>
      <c r="B5630" s="3" t="str">
        <f>IFERROR(__xludf.DUMMYFUNCTION("GOOGLETRANSLATE(A5630, ""ar"", ""bn"")"),"মাউন্টেন এর শিখর")</f>
        <v>মাউন্টেন এর শিখর</v>
      </c>
    </row>
    <row r="5631">
      <c r="A5631" s="2" t="s">
        <v>7188</v>
      </c>
      <c r="B5631" s="3" t="str">
        <f>IFERROR(__xludf.DUMMYFUNCTION("GOOGLETRANSLATE(A5631, ""ar"", ""bn"")"),"fluted")</f>
        <v>fluted</v>
      </c>
    </row>
    <row r="5632">
      <c r="A5632" s="2" t="s">
        <v>7189</v>
      </c>
      <c r="B5632" s="3" t="str">
        <f>IFERROR(__xludf.DUMMYFUNCTION("GOOGLETRANSLATE(A5632, ""ar"", ""bn"")"),"হিলস")</f>
        <v>হিলস</v>
      </c>
    </row>
    <row r="5633">
      <c r="A5633" s="2" t="s">
        <v>4619</v>
      </c>
      <c r="B5633" s="3" t="str">
        <f>IFERROR(__xludf.DUMMYFUNCTION("GOOGLETRANSLATE(A5633, ""ar"", ""bn"")"),"উপহাস")</f>
        <v>উপহাস</v>
      </c>
    </row>
    <row r="5634">
      <c r="A5634" s="2" t="s">
        <v>4617</v>
      </c>
      <c r="B5634" s="3" t="str">
        <f>IFERROR(__xludf.DUMMYFUNCTION("GOOGLETRANSLATE(A5634, ""ar"", ""bn"")"),"অবহসিত")</f>
        <v>অবহসিত</v>
      </c>
    </row>
    <row r="5635">
      <c r="A5635" s="2" t="s">
        <v>4618</v>
      </c>
      <c r="B5635" s="3" t="str">
        <f>IFERROR(__xludf.DUMMYFUNCTION("GOOGLETRANSLATE(A5635, ""ar"", ""bn"")"),"ঠাট্টা")</f>
        <v>ঠাট্টা</v>
      </c>
    </row>
    <row r="5636">
      <c r="A5636" s="2" t="s">
        <v>4854</v>
      </c>
      <c r="B5636" s="3" t="str">
        <f>IFERROR(__xludf.DUMMYFUNCTION("GOOGLETRANSLATE(A5636, ""ar"", ""bn"")"),"ঘৃণা")</f>
        <v>ঘৃণা</v>
      </c>
    </row>
    <row r="5637">
      <c r="A5637" s="2" t="s">
        <v>3212</v>
      </c>
      <c r="B5637" s="3" t="str">
        <f>IFERROR(__xludf.DUMMYFUNCTION("GOOGLETRANSLATE(A5637, ""ar"", ""bn"")"),"নিরীহ")</f>
        <v>নিরীহ</v>
      </c>
    </row>
    <row r="5638">
      <c r="A5638" s="2" t="s">
        <v>7190</v>
      </c>
      <c r="B5638" s="3" t="str">
        <f>IFERROR(__xludf.DUMMYFUNCTION("GOOGLETRANSLATE(A5638, ""ar"", ""bn"")"),"ridiculously")</f>
        <v>ridiculously</v>
      </c>
    </row>
    <row r="5639">
      <c r="A5639" s="2" t="s">
        <v>6271</v>
      </c>
      <c r="B5639" s="3" t="str">
        <f>IFERROR(__xludf.DUMMYFUNCTION("GOOGLETRANSLATE(A5639, ""ar"", ""bn"")"),"Wackiness")</f>
        <v>Wackiness</v>
      </c>
    </row>
    <row r="5640">
      <c r="A5640" s="2" t="s">
        <v>7186</v>
      </c>
      <c r="B5640" s="3" t="str">
        <f>IFERROR(__xludf.DUMMYFUNCTION("GOOGLETRANSLATE(A5640, ""ar"", ""bn"")"),"অশ্বারোহন")</f>
        <v>অশ্বারোহন</v>
      </c>
    </row>
    <row r="5641">
      <c r="A5641" s="2" t="s">
        <v>7184</v>
      </c>
      <c r="B5641" s="3" t="str">
        <f>IFERROR(__xludf.DUMMYFUNCTION("GOOGLETRANSLATE(A5641, ""ar"", ""bn"")"),"অশ্বারোহণ")</f>
        <v>অশ্বারোহণ</v>
      </c>
    </row>
    <row r="5642">
      <c r="A5642" s="2" t="s">
        <v>7191</v>
      </c>
      <c r="B5642" s="3" t="str">
        <f>IFERROR(__xludf.DUMMYFUNCTION("GOOGLETRANSLATE(A5642, ""ar"", ""bn"")"),"উপসংহারে")</f>
        <v>উপসংহারে</v>
      </c>
    </row>
    <row r="5643">
      <c r="A5643" s="2" t="s">
        <v>4619</v>
      </c>
      <c r="B5643" s="3" t="str">
        <f>IFERROR(__xludf.DUMMYFUNCTION("GOOGLETRANSLATE(A5643, ""ar"", ""bn"")"),"উপহাস")</f>
        <v>উপহাস</v>
      </c>
    </row>
    <row r="5644">
      <c r="A5644" s="2" t="s">
        <v>4617</v>
      </c>
      <c r="B5644" s="3" t="str">
        <f>IFERROR(__xludf.DUMMYFUNCTION("GOOGLETRANSLATE(A5644, ""ar"", ""bn"")"),"অবহসিত")</f>
        <v>অবহসিত</v>
      </c>
    </row>
    <row r="5645">
      <c r="A5645" s="2" t="s">
        <v>4618</v>
      </c>
      <c r="B5645" s="3" t="str">
        <f>IFERROR(__xludf.DUMMYFUNCTION("GOOGLETRANSLATE(A5645, ""ar"", ""bn"")"),"ঠাট্টা")</f>
        <v>ঠাট্টা</v>
      </c>
    </row>
    <row r="5646">
      <c r="A5646" s="2" t="s">
        <v>4854</v>
      </c>
      <c r="B5646" s="3" t="str">
        <f>IFERROR(__xludf.DUMMYFUNCTION("GOOGLETRANSLATE(A5646, ""ar"", ""bn"")"),"ঘৃণা")</f>
        <v>ঘৃণা</v>
      </c>
    </row>
    <row r="5647">
      <c r="A5647" s="2" t="s">
        <v>3212</v>
      </c>
      <c r="B5647" s="3" t="str">
        <f>IFERROR(__xludf.DUMMYFUNCTION("GOOGLETRANSLATE(A5647, ""ar"", ""bn"")"),"নিরীহ")</f>
        <v>নিরীহ</v>
      </c>
    </row>
    <row r="5648">
      <c r="A5648" s="2" t="s">
        <v>7190</v>
      </c>
      <c r="B5648" s="3" t="str">
        <f>IFERROR(__xludf.DUMMYFUNCTION("GOOGLETRANSLATE(A5648, ""ar"", ""bn"")"),"ridiculously")</f>
        <v>ridiculously</v>
      </c>
    </row>
    <row r="5649">
      <c r="A5649" s="2" t="s">
        <v>6271</v>
      </c>
      <c r="B5649" s="3" t="str">
        <f>IFERROR(__xludf.DUMMYFUNCTION("GOOGLETRANSLATE(A5649, ""ar"", ""bn"")"),"Wackiness")</f>
        <v>Wackiness</v>
      </c>
    </row>
    <row r="5650">
      <c r="A5650" s="2" t="s">
        <v>7192</v>
      </c>
      <c r="B5650" s="3" t="str">
        <f>IFERROR(__xludf.DUMMYFUNCTION("GOOGLETRANSLATE(A5650, ""ar"", ""bn"")"),"অনমনীয়")</f>
        <v>অনমনীয়</v>
      </c>
    </row>
    <row r="5651">
      <c r="A5651" s="2" t="s">
        <v>7193</v>
      </c>
      <c r="B5651" s="3" t="str">
        <f>IFERROR(__xludf.DUMMYFUNCTION("GOOGLETRANSLATE(A5651, ""ar"", ""bn"")"),"নিষ্ক্রিয়তা")</f>
        <v>নিষ্ক্রিয়তা</v>
      </c>
    </row>
    <row r="5652">
      <c r="A5652" s="2" t="s">
        <v>7194</v>
      </c>
      <c r="B5652" s="3" t="str">
        <f>IFERROR(__xludf.DUMMYFUNCTION("GOOGLETRANSLATE(A5652, ""ar"", ""bn"")"),"কঠোরতা")</f>
        <v>কঠোরতা</v>
      </c>
    </row>
    <row r="5653">
      <c r="A5653" s="2" t="s">
        <v>7192</v>
      </c>
      <c r="B5653" s="3" t="str">
        <f>IFERROR(__xludf.DUMMYFUNCTION("GOOGLETRANSLATE(A5653, ""ar"", ""bn"")"),"অনমনীয়")</f>
        <v>অনমনীয়</v>
      </c>
    </row>
    <row r="5654">
      <c r="A5654" s="2" t="s">
        <v>7195</v>
      </c>
      <c r="B5654" s="3" t="str">
        <f>IFERROR(__xludf.DUMMYFUNCTION("GOOGLETRANSLATE(A5654, ""ar"", ""bn"")"),"চেরা")</f>
        <v>চেরা</v>
      </c>
    </row>
    <row r="5655">
      <c r="A5655" s="2" t="s">
        <v>7196</v>
      </c>
      <c r="B5655" s="3" t="str">
        <f>IFERROR(__xludf.DUMMYFUNCTION("GOOGLETRANSLATE(A5655, ""ar"", ""bn"")"),"পরিণত")</f>
        <v>পরিণত</v>
      </c>
    </row>
    <row r="5656">
      <c r="A5656" s="2" t="s">
        <v>7197</v>
      </c>
      <c r="B5656" s="3" t="str">
        <f>IFERROR(__xludf.DUMMYFUNCTION("GOOGLETRANSLATE(A5656, ""ar"", ""bn"")"),"পাকা")</f>
        <v>পাকা</v>
      </c>
    </row>
    <row r="5657">
      <c r="A5657" s="2" t="s">
        <v>7198</v>
      </c>
      <c r="B5657" s="3" t="str">
        <f>IFERROR(__xludf.DUMMYFUNCTION("GOOGLETRANSLATE(A5657, ""ar"", ""bn"")"),"পূর্ণবিকশিত")</f>
        <v>পূর্ণবিকশিত</v>
      </c>
    </row>
    <row r="5658">
      <c r="A5658" s="2" t="s">
        <v>7199</v>
      </c>
      <c r="B5658" s="3" t="str">
        <f>IFERROR(__xludf.DUMMYFUNCTION("GOOGLETRANSLATE(A5658, ""ar"", ""bn"")"),"পরিপক্বতা")</f>
        <v>পরিপক্বতা</v>
      </c>
    </row>
    <row r="5659">
      <c r="A5659" s="2" t="s">
        <v>7200</v>
      </c>
      <c r="B5659" s="3" t="str">
        <f>IFERROR(__xludf.DUMMYFUNCTION("GOOGLETRANSLATE(A5659, ""ar"", ""bn"")"),"যৌক্তিকতা")</f>
        <v>যৌক্তিকতা</v>
      </c>
    </row>
    <row r="5660">
      <c r="A5660" s="2" t="s">
        <v>7201</v>
      </c>
      <c r="B5660" s="3" t="str">
        <f>IFERROR(__xludf.DUMMYFUNCTION("GOOGLETRANSLATE(A5660, ""ar"", ""bn"")"),"ইতর ফুটন্ত অবস্থা")</f>
        <v>ইতর ফুটন্ত অবস্থা</v>
      </c>
    </row>
    <row r="5661">
      <c r="A5661" s="2" t="s">
        <v>7202</v>
      </c>
      <c r="B5661" s="3" t="str">
        <f>IFERROR(__xludf.DUMMYFUNCTION("GOOGLETRANSLATE(A5661, ""ar"", ""bn"")"),"বড় হইয়া উঠা")</f>
        <v>বড় হইয়া উঠা</v>
      </c>
    </row>
    <row r="5662">
      <c r="A5662" s="2" t="s">
        <v>7196</v>
      </c>
      <c r="B5662" s="3" t="str">
        <f>IFERROR(__xludf.DUMMYFUNCTION("GOOGLETRANSLATE(A5662, ""ar"", ""bn"")"),"পরিণত")</f>
        <v>পরিণত</v>
      </c>
    </row>
    <row r="5663">
      <c r="A5663" s="2" t="s">
        <v>7203</v>
      </c>
      <c r="B5663" s="3" t="str">
        <f>IFERROR(__xludf.DUMMYFUNCTION("GOOGLETRANSLATE(A5663, ""ar"", ""bn"")"),"আপ স্ন্যাপ")</f>
        <v>আপ স্ন্যাপ</v>
      </c>
    </row>
    <row r="5664">
      <c r="A5664" s="2" t="s">
        <v>7074</v>
      </c>
      <c r="B5664" s="3" t="str">
        <f>IFERROR(__xludf.DUMMYFUNCTION("GOOGLETRANSLATE(A5664, ""ar"", ""bn"")"),"উত্তর")</f>
        <v>উত্তর</v>
      </c>
    </row>
    <row r="5665">
      <c r="A5665" s="2" t="s">
        <v>7204</v>
      </c>
      <c r="B5665" s="3" t="str">
        <f>IFERROR(__xludf.DUMMYFUNCTION("GOOGLETRANSLATE(A5665, ""ar"", ""bn"")"),"টুটা")</f>
        <v>টুটা</v>
      </c>
    </row>
    <row r="5666">
      <c r="A5666" s="2" t="s">
        <v>7205</v>
      </c>
      <c r="B5666" s="3" t="str">
        <f>IFERROR(__xludf.DUMMYFUNCTION("GOOGLETRANSLATE(A5666, ""ar"", ""bn"")"),"চিড় কারক")</f>
        <v>চিড় কারক</v>
      </c>
    </row>
    <row r="5667">
      <c r="A5667" s="2" t="s">
        <v>4347</v>
      </c>
      <c r="B5667" s="3" t="str">
        <f>IFERROR(__xludf.DUMMYFUNCTION("GOOGLETRANSLATE(A5667, ""ar"", ""bn"")"),"crushers")</f>
        <v>crushers</v>
      </c>
    </row>
    <row r="5668">
      <c r="A5668" s="2" t="s">
        <v>7206</v>
      </c>
      <c r="B5668" s="3" t="str">
        <f>IFERROR(__xludf.DUMMYFUNCTION("GOOGLETRANSLATE(A5668, ""ar"", ""bn"")"),"নিচে বিচ্ছিন্নকরণ")</f>
        <v>নিচে বিচ্ছিন্নকরণ</v>
      </c>
    </row>
    <row r="5669">
      <c r="A5669" s="2" t="s">
        <v>7207</v>
      </c>
      <c r="B5669" s="3" t="str">
        <f>IFERROR(__xludf.DUMMYFUNCTION("GOOGLETRANSLATE(A5669, ""ar"", ""bn"")"),"লহরী")</f>
        <v>লহরী</v>
      </c>
    </row>
    <row r="5670">
      <c r="A5670" s="2" t="s">
        <v>7208</v>
      </c>
      <c r="B5670" s="3" t="str">
        <f>IFERROR(__xludf.DUMMYFUNCTION("GOOGLETRANSLATE(A5670, ""ar"", ""bn"")"),"crispy")</f>
        <v>crispy</v>
      </c>
    </row>
    <row r="5671">
      <c r="A5671" s="2" t="s">
        <v>7209</v>
      </c>
      <c r="B5671" s="3" t="str">
        <f>IFERROR(__xludf.DUMMYFUNCTION("GOOGLETRANSLATE(A5671, ""ar"", ""bn"")"),"ঢেউখেলানো")</f>
        <v>ঢেউখেলানো</v>
      </c>
    </row>
    <row r="5672">
      <c r="A5672" s="2" t="s">
        <v>7210</v>
      </c>
      <c r="B5672" s="3" t="str">
        <f>IFERROR(__xludf.DUMMYFUNCTION("GOOGLETRANSLATE(A5672, ""ar"", ""bn"")"),"waving")</f>
        <v>waving</v>
      </c>
    </row>
    <row r="5673">
      <c r="A5673" s="2" t="s">
        <v>7211</v>
      </c>
      <c r="B5673" s="3" t="str">
        <f>IFERROR(__xludf.DUMMYFUNCTION("GOOGLETRANSLATE(A5673, ""ar"", ""bn"")"),"rips")</f>
        <v>rips</v>
      </c>
    </row>
    <row r="5674">
      <c r="A5674" s="2" t="s">
        <v>4408</v>
      </c>
      <c r="B5674" s="3" t="str">
        <f>IFERROR(__xludf.DUMMYFUNCTION("GOOGLETRANSLATE(A5674, ""ar"", ""bn"")"),"ঝুঁকি")</f>
        <v>ঝুঁকি</v>
      </c>
    </row>
    <row r="5675">
      <c r="A5675" s="2" t="s">
        <v>7212</v>
      </c>
      <c r="B5675" s="3" t="str">
        <f>IFERROR(__xludf.DUMMYFUNCTION("GOOGLETRANSLATE(A5675, ""ar"", ""bn"")"),"ঝুঁকি")</f>
        <v>ঝুঁকি</v>
      </c>
    </row>
    <row r="5676">
      <c r="A5676" s="2" t="s">
        <v>7213</v>
      </c>
      <c r="B5676" s="3" t="str">
        <f>IFERROR(__xludf.DUMMYFUNCTION("GOOGLETRANSLATE(A5676, ""ar"", ""bn"")"),"ঝুঁকি")</f>
        <v>ঝুঁকি</v>
      </c>
    </row>
    <row r="5677">
      <c r="A5677" s="2" t="s">
        <v>5600</v>
      </c>
      <c r="B5677" s="3" t="str">
        <f>IFERROR(__xludf.DUMMYFUNCTION("GOOGLETRANSLATE(A5677, ""ar"", ""bn"")"),"সবচাইতে বিপদজনক")</f>
        <v>সবচাইতে বিপদজনক</v>
      </c>
    </row>
    <row r="5678">
      <c r="A5678" s="2" t="s">
        <v>6781</v>
      </c>
      <c r="B5678" s="3" t="str">
        <f>IFERROR(__xludf.DUMMYFUNCTION("GOOGLETRANSLATE(A5678, ""ar"", ""bn"")"),"ঝুঁকি")</f>
        <v>ঝুঁকি</v>
      </c>
    </row>
    <row r="5679">
      <c r="A5679" s="2" t="s">
        <v>5752</v>
      </c>
      <c r="B5679" s="3" t="str">
        <f>IFERROR(__xludf.DUMMYFUNCTION("GOOGLETRANSLATE(A5679, ""ar"", ""bn"")"),"ঝুঁকি")</f>
        <v>ঝুঁকি</v>
      </c>
    </row>
    <row r="5680">
      <c r="A5680" s="2" t="s">
        <v>5753</v>
      </c>
      <c r="B5680" s="3" t="str">
        <f>IFERROR(__xludf.DUMMYFUNCTION("GOOGLETRANSLATE(A5680, ""ar"", ""bn"")"),"ঝুঁকি")</f>
        <v>ঝুঁকি</v>
      </c>
    </row>
    <row r="5681">
      <c r="A5681" s="2" t="s">
        <v>6779</v>
      </c>
      <c r="B5681" s="3" t="str">
        <f>IFERROR(__xludf.DUMMYFUNCTION("GOOGLETRANSLATE(A5681, ""ar"", ""bn"")"),"বিপদ পূর্ণ")</f>
        <v>বিপদ পূর্ণ</v>
      </c>
    </row>
    <row r="5682">
      <c r="A5682" s="2" t="s">
        <v>6779</v>
      </c>
      <c r="B5682" s="3" t="str">
        <f>IFERROR(__xludf.DUMMYFUNCTION("GOOGLETRANSLATE(A5682, ""ar"", ""bn"")"),"বিপদ পূর্ণ")</f>
        <v>বিপদ পূর্ণ</v>
      </c>
    </row>
    <row r="5683">
      <c r="A5683" s="2" t="s">
        <v>7214</v>
      </c>
      <c r="B5683" s="3" t="str">
        <f>IFERROR(__xludf.DUMMYFUNCTION("GOOGLETRANSLATE(A5683, ""ar"", ""bn"")"),"প্রতিদ্বন্দ্বী")</f>
        <v>প্রতিদ্বন্দ্বী</v>
      </c>
    </row>
    <row r="5684">
      <c r="A5684" s="2" t="s">
        <v>7215</v>
      </c>
      <c r="B5684" s="3" t="str">
        <f>IFERROR(__xludf.DUMMYFUNCTION("GOOGLETRANSLATE(A5684, ""ar"", ""bn"")"),"Rivaled")</f>
        <v>Rivaled</v>
      </c>
    </row>
    <row r="5685">
      <c r="A5685" s="2" t="s">
        <v>4187</v>
      </c>
      <c r="B5685" s="3" t="str">
        <f>IFERROR(__xludf.DUMMYFUNCTION("GOOGLETRANSLATE(A5685, ""ar"", ""bn"")"),"প্রতিযোগিতা করা")</f>
        <v>প্রতিযোগিতা করা</v>
      </c>
    </row>
    <row r="5686">
      <c r="A5686" s="2" t="s">
        <v>7216</v>
      </c>
      <c r="B5686" s="3" t="str">
        <f>IFERROR(__xludf.DUMMYFUNCTION("GOOGLETRANSLATE(A5686, ""ar"", ""bn"")"),"কম্পিটিসনস")</f>
        <v>কম্পিটিসনস</v>
      </c>
    </row>
    <row r="5687">
      <c r="A5687" s="2" t="s">
        <v>7217</v>
      </c>
      <c r="B5687" s="3" t="str">
        <f>IFERROR(__xludf.DUMMYFUNCTION("GOOGLETRANSLATE(A5687, ""ar"", ""bn"")"),"প্রতিযোগিতা")</f>
        <v>প্রতিযোগিতা</v>
      </c>
    </row>
    <row r="5688">
      <c r="A5688" s="2" t="s">
        <v>3950</v>
      </c>
      <c r="B5688" s="3" t="str">
        <f>IFERROR(__xludf.DUMMYFUNCTION("GOOGLETRANSLATE(A5688, ""ar"", ""bn"")"),"প্রতিদ্বন্দ্বী")</f>
        <v>প্রতিদ্বন্দ্বী</v>
      </c>
    </row>
    <row r="5689">
      <c r="A5689" s="2" t="s">
        <v>7217</v>
      </c>
      <c r="B5689" s="3" t="str">
        <f>IFERROR(__xludf.DUMMYFUNCTION("GOOGLETRANSLATE(A5689, ""ar"", ""bn"")"),"প্রতিযোগিতা")</f>
        <v>প্রতিযোগিতা</v>
      </c>
    </row>
    <row r="5690">
      <c r="A5690" s="2" t="s">
        <v>7218</v>
      </c>
      <c r="B5690" s="3" t="str">
        <f>IFERROR(__xludf.DUMMYFUNCTION("GOOGLETRANSLATE(A5690, ""ar"", ""bn"")"),"চোর")</f>
        <v>চোর</v>
      </c>
    </row>
    <row r="5691">
      <c r="A5691" s="2" t="s">
        <v>7219</v>
      </c>
      <c r="B5691" s="3" t="str">
        <f>IFERROR(__xludf.DUMMYFUNCTION("GOOGLETRANSLATE(A5691, ""ar"", ""bn"")"),"চুরি")</f>
        <v>চুরি</v>
      </c>
    </row>
    <row r="5692">
      <c r="A5692" s="2" t="s">
        <v>7220</v>
      </c>
      <c r="B5692" s="3" t="str">
        <f>IFERROR(__xludf.DUMMYFUNCTION("GOOGLETRANSLATE(A5692, ""ar"", ""bn"")"),"তস্কররা")</f>
        <v>তস্কররা</v>
      </c>
    </row>
    <row r="5693">
      <c r="A5693" s="2" t="s">
        <v>7221</v>
      </c>
      <c r="B5693" s="3" t="str">
        <f>IFERROR(__xludf.DUMMYFUNCTION("GOOGLETRANSLATE(A5693, ""ar"", ""bn"")"),"চুরি")</f>
        <v>চুরি</v>
      </c>
    </row>
    <row r="5694">
      <c r="A5694" s="2" t="s">
        <v>7222</v>
      </c>
      <c r="B5694" s="3" t="str">
        <f>IFERROR(__xludf.DUMMYFUNCTION("GOOGLETRANSLATE(A5694, ""ar"", ""bn"")"),"দুর্বৃত্ত")</f>
        <v>দুর্বৃত্ত</v>
      </c>
    </row>
    <row r="5695">
      <c r="A5695" s="2" t="s">
        <v>5460</v>
      </c>
      <c r="B5695" s="3" t="str">
        <f>IFERROR(__xludf.DUMMYFUNCTION("GOOGLETRANSLATE(A5695, ""ar"", ""bn"")"),"কেলেঙ্কারি")</f>
        <v>কেলেঙ্কারি</v>
      </c>
    </row>
    <row r="5696">
      <c r="A5696" s="2" t="s">
        <v>5462</v>
      </c>
      <c r="B5696" s="3" t="str">
        <f>IFERROR(__xludf.DUMMYFUNCTION("GOOGLETRANSLATE(A5696, ""ar"", ""bn"")"),"জোচ্চোরদের")</f>
        <v>জোচ্চোরদের</v>
      </c>
    </row>
    <row r="5697">
      <c r="A5697" s="2" t="s">
        <v>7223</v>
      </c>
      <c r="B5697" s="3" t="str">
        <f>IFERROR(__xludf.DUMMYFUNCTION("GOOGLETRANSLATE(A5697, ""ar"", ""bn"")"),"পচা")</f>
        <v>পচা</v>
      </c>
    </row>
    <row r="5698">
      <c r="A5698" s="2" t="s">
        <v>7224</v>
      </c>
      <c r="B5698" s="3" t="str">
        <f>IFERROR(__xludf.DUMMYFUNCTION("GOOGLETRANSLATE(A5698, ""ar"", ""bn"")"),"রোটা")</f>
        <v>রোটা</v>
      </c>
    </row>
    <row r="5699">
      <c r="A5699" s="2" t="s">
        <v>7225</v>
      </c>
      <c r="B5699" s="3" t="str">
        <f>IFERROR(__xludf.DUMMYFUNCTION("GOOGLETRANSLATE(A5699, ""ar"", ""bn"")"),"ঘূর্ণমান")</f>
        <v>ঘূর্ণমান</v>
      </c>
    </row>
    <row r="5700">
      <c r="A5700" s="2" t="s">
        <v>7226</v>
      </c>
      <c r="B5700" s="3" t="str">
        <f>IFERROR(__xludf.DUMMYFUNCTION("GOOGLETRANSLATE(A5700, ""ar"", ""bn"")"),"পুনর্ব্যবহারযোগ্য")</f>
        <v>পুনর্ব্যবহারযোগ্য</v>
      </c>
    </row>
    <row r="5701">
      <c r="A5701" s="2" t="s">
        <v>7227</v>
      </c>
      <c r="B5701" s="3" t="str">
        <f>IFERROR(__xludf.DUMMYFUNCTION("GOOGLETRANSLATE(A5701, ""ar"", ""bn"")"),"ঘূর্ণন")</f>
        <v>ঘূর্ণন</v>
      </c>
    </row>
    <row r="5702">
      <c r="A5702" s="2" t="s">
        <v>7228</v>
      </c>
      <c r="B5702" s="3" t="str">
        <f>IFERROR(__xludf.DUMMYFUNCTION("GOOGLETRANSLATE(A5702, ""ar"", ""bn"")"),"গোল আকৃতি")</f>
        <v>গোল আকৃতি</v>
      </c>
    </row>
    <row r="5703">
      <c r="A5703" s="2" t="s">
        <v>7229</v>
      </c>
      <c r="B5703" s="3" t="str">
        <f>IFERROR(__xludf.DUMMYFUNCTION("GOOGLETRANSLATE(A5703, ""ar"", ""bn"")"),"পর্যায়ক্রমে")</f>
        <v>পর্যায়ক্রমে</v>
      </c>
    </row>
    <row r="5704">
      <c r="A5704" s="2" t="s">
        <v>7225</v>
      </c>
      <c r="B5704" s="3" t="str">
        <f>IFERROR(__xludf.DUMMYFUNCTION("GOOGLETRANSLATE(A5704, ""ar"", ""bn"")"),"ঘূর্ণমান")</f>
        <v>ঘূর্ণমান</v>
      </c>
    </row>
    <row r="5705">
      <c r="A5705" s="2" t="s">
        <v>7227</v>
      </c>
      <c r="B5705" s="3" t="str">
        <f>IFERROR(__xludf.DUMMYFUNCTION("GOOGLETRANSLATE(A5705, ""ar"", ""bn"")"),"ঘূর্ণন")</f>
        <v>ঘূর্ণন</v>
      </c>
    </row>
    <row r="5706">
      <c r="A5706" s="2" t="s">
        <v>7230</v>
      </c>
      <c r="B5706" s="3" t="str">
        <f>IFERROR(__xludf.DUMMYFUNCTION("GOOGLETRANSLATE(A5706, ""ar"", ""bn"")"),"ঘূর্ণমান")</f>
        <v>ঘূর্ণমান</v>
      </c>
    </row>
    <row r="5707">
      <c r="A5707" s="2" t="s">
        <v>7229</v>
      </c>
      <c r="B5707" s="3" t="str">
        <f>IFERROR(__xludf.DUMMYFUNCTION("GOOGLETRANSLATE(A5707, ""ar"", ""bn"")"),"পর্যায়ক্রমে")</f>
        <v>পর্যায়ক্রমে</v>
      </c>
    </row>
    <row r="5708">
      <c r="A5708" s="2" t="s">
        <v>7227</v>
      </c>
      <c r="B5708" s="3" t="str">
        <f>IFERROR(__xludf.DUMMYFUNCTION("GOOGLETRANSLATE(A5708, ""ar"", ""bn"")"),"ঘূর্ণন")</f>
        <v>ঘূর্ণন</v>
      </c>
    </row>
    <row r="5709">
      <c r="A5709" s="2" t="s">
        <v>7231</v>
      </c>
      <c r="B5709" s="3" t="str">
        <f>IFERROR(__xludf.DUMMYFUNCTION("GOOGLETRANSLATE(A5709, ""ar"", ""bn"")"),"চক্রকার")</f>
        <v>চক্রকার</v>
      </c>
    </row>
    <row r="5710">
      <c r="A5710" s="2" t="s">
        <v>7232</v>
      </c>
      <c r="B5710" s="3" t="str">
        <f>IFERROR(__xludf.DUMMYFUNCTION("GOOGLETRANSLATE(A5710, ""ar"", ""bn"")"),"roundabouts")</f>
        <v>roundabouts</v>
      </c>
    </row>
    <row r="5711">
      <c r="A5711" s="2" t="s">
        <v>7233</v>
      </c>
      <c r="B5711" s="3" t="str">
        <f>IFERROR(__xludf.DUMMYFUNCTION("GOOGLETRANSLATE(A5711, ""ar"", ""bn"")"),"বৃত্তাকার")</f>
        <v>বৃত্তাকার</v>
      </c>
    </row>
    <row r="5712">
      <c r="A5712" s="2" t="s">
        <v>7234</v>
      </c>
      <c r="B5712" s="3" t="str">
        <f>IFERROR(__xludf.DUMMYFUNCTION("GOOGLETRANSLATE(A5712, ""ar"", ""bn"")"),"দৈনন্দিন")</f>
        <v>দৈনন্দিন</v>
      </c>
    </row>
    <row r="5713">
      <c r="A5713" s="2" t="s">
        <v>7225</v>
      </c>
      <c r="B5713" s="3" t="str">
        <f>IFERROR(__xludf.DUMMYFUNCTION("GOOGLETRANSLATE(A5713, ""ar"", ""bn"")"),"ঘূর্ণমান")</f>
        <v>ঘূর্ণমান</v>
      </c>
    </row>
    <row r="5714">
      <c r="A5714" s="2" t="s">
        <v>7232</v>
      </c>
      <c r="B5714" s="3" t="str">
        <f>IFERROR(__xludf.DUMMYFUNCTION("GOOGLETRANSLATE(A5714, ""ar"", ""bn"")"),"roundabouts")</f>
        <v>roundabouts</v>
      </c>
    </row>
    <row r="5715">
      <c r="A5715" s="2" t="s">
        <v>7235</v>
      </c>
      <c r="B5715" s="3" t="str">
        <f>IFERROR(__xludf.DUMMYFUNCTION("GOOGLETRANSLATE(A5715, ""ar"", ""bn"")"),"rots")</f>
        <v>rots</v>
      </c>
    </row>
    <row r="5716">
      <c r="A5716" s="2" t="s">
        <v>7236</v>
      </c>
      <c r="B5716" s="3" t="str">
        <f>IFERROR(__xludf.DUMMYFUNCTION("GOOGLETRANSLATE(A5716, ""ar"", ""bn"")"),"Rotted")</f>
        <v>Rotted</v>
      </c>
    </row>
    <row r="5717">
      <c r="A5717" s="2" t="s">
        <v>4210</v>
      </c>
      <c r="B5717" s="3" t="str">
        <f>IFERROR(__xludf.DUMMYFUNCTION("GOOGLETRANSLATE(A5717, ""ar"", ""bn"")"),"দূষিত")</f>
        <v>দূষিত</v>
      </c>
    </row>
    <row r="5718">
      <c r="A5718" s="2" t="s">
        <v>7087</v>
      </c>
      <c r="B5718" s="3" t="str">
        <f>IFERROR(__xludf.DUMMYFUNCTION("GOOGLETRANSLATE(A5718, ""ar"", ""bn"")"),"moldiness")</f>
        <v>moldiness</v>
      </c>
    </row>
    <row r="5719">
      <c r="A5719" s="2" t="s">
        <v>7237</v>
      </c>
      <c r="B5719" s="3" t="str">
        <f>IFERROR(__xludf.DUMMYFUNCTION("GOOGLETRANSLATE(A5719, ""ar"", ""bn"")"),"বাজে ব্যক্তি")</f>
        <v>বাজে ব্যক্তি</v>
      </c>
    </row>
    <row r="5720">
      <c r="A5720" s="2" t="s">
        <v>7238</v>
      </c>
      <c r="B5720" s="3" t="str">
        <f>IFERROR(__xludf.DUMMYFUNCTION("GOOGLETRANSLATE(A5720, ""ar"", ""bn"")"),"পচ")</f>
        <v>পচ</v>
      </c>
    </row>
    <row r="5721">
      <c r="A5721" s="2" t="s">
        <v>7239</v>
      </c>
      <c r="B5721" s="3" t="str">
        <f>IFERROR(__xludf.DUMMYFUNCTION("GOOGLETRANSLATE(A5721, ""ar"", ""bn"")"),"বৃত্তাকার")</f>
        <v>বৃত্তাকার</v>
      </c>
    </row>
    <row r="5722">
      <c r="A5722" s="2" t="s">
        <v>7240</v>
      </c>
      <c r="B5722" s="3" t="str">
        <f>IFERROR(__xludf.DUMMYFUNCTION("GOOGLETRANSLATE(A5722, ""ar"", ""bn"")"),"বৃত্তাকার ছাদযুক্ত ঘর")</f>
        <v>বৃত্তাকার ছাদযুক্ত ঘর</v>
      </c>
    </row>
    <row r="5723">
      <c r="A5723" s="2" t="s">
        <v>5336</v>
      </c>
      <c r="B5723" s="3" t="str">
        <f>IFERROR(__xludf.DUMMYFUNCTION("GOOGLETRANSLATE(A5723, ""ar"", ""bn"")"),"স্থূলতা")</f>
        <v>স্থূলতা</v>
      </c>
    </row>
    <row r="5724">
      <c r="A5724" s="2" t="s">
        <v>4210</v>
      </c>
      <c r="B5724" s="3" t="str">
        <f>IFERROR(__xludf.DUMMYFUNCTION("GOOGLETRANSLATE(A5724, ""ar"", ""bn"")"),"দূষিত")</f>
        <v>দূষিত</v>
      </c>
    </row>
    <row r="5725">
      <c r="A5725" s="2" t="s">
        <v>7087</v>
      </c>
      <c r="B5725" s="3" t="str">
        <f>IFERROR(__xludf.DUMMYFUNCTION("GOOGLETRANSLATE(A5725, ""ar"", ""bn"")"),"moldiness")</f>
        <v>moldiness</v>
      </c>
    </row>
    <row r="5726">
      <c r="A5726" s="2" t="s">
        <v>4021</v>
      </c>
      <c r="B5726" s="3" t="str">
        <f>IFERROR(__xludf.DUMMYFUNCTION("GOOGLETRANSLATE(A5726, ""ar"", ""bn"")"),"মোটামুটি")</f>
        <v>মোটামুটি</v>
      </c>
    </row>
    <row r="5727">
      <c r="A5727" s="2" t="s">
        <v>7241</v>
      </c>
      <c r="B5727" s="3" t="str">
        <f>IFERROR(__xludf.DUMMYFUNCTION("GOOGLETRANSLATE(A5727, ""ar"", ""bn"")"),"তুষ")</f>
        <v>তুষ</v>
      </c>
    </row>
    <row r="5728">
      <c r="A5728" s="2" t="s">
        <v>7242</v>
      </c>
      <c r="B5728" s="3" t="str">
        <f>IFERROR(__xludf.DUMMYFUNCTION("GOOGLETRANSLATE(A5728, ""ar"", ""bn"")"),"আচরণ")</f>
        <v>আচরণ</v>
      </c>
    </row>
    <row r="5729">
      <c r="A5729" s="2" t="s">
        <v>4021</v>
      </c>
      <c r="B5729" s="3" t="str">
        <f>IFERROR(__xludf.DUMMYFUNCTION("GOOGLETRANSLATE(A5729, ""ar"", ""bn"")"),"মোটামুটি")</f>
        <v>মোটামুটি</v>
      </c>
    </row>
    <row r="5730">
      <c r="A5730" s="2" t="s">
        <v>7243</v>
      </c>
      <c r="B5730" s="3" t="str">
        <f>IFERROR(__xludf.DUMMYFUNCTION("GOOGLETRANSLATE(A5730, ""ar"", ""bn"")"),"কর্কশ")</f>
        <v>কর্কশ</v>
      </c>
    </row>
    <row r="5731">
      <c r="A5731" s="2" t="s">
        <v>7244</v>
      </c>
      <c r="B5731" s="3" t="str">
        <f>IFERROR(__xludf.DUMMYFUNCTION("GOOGLETRANSLATE(A5731, ""ar"", ""bn"")"),"rougher")</f>
        <v>rougher</v>
      </c>
    </row>
    <row r="5732">
      <c r="A5732" s="2" t="s">
        <v>7245</v>
      </c>
      <c r="B5732" s="3" t="str">
        <f>IFERROR(__xludf.DUMMYFUNCTION("GOOGLETRANSLATE(A5732, ""ar"", ""bn"")"),"Roughest")</f>
        <v>Roughest</v>
      </c>
    </row>
    <row r="5733">
      <c r="A5733" s="2" t="s">
        <v>7246</v>
      </c>
      <c r="B5733" s="3" t="str">
        <f>IFERROR(__xludf.DUMMYFUNCTION("GOOGLETRANSLATE(A5733, ""ar"", ""bn"")"),"roughing")</f>
        <v>roughing</v>
      </c>
    </row>
    <row r="5734">
      <c r="A5734" s="2" t="s">
        <v>7247</v>
      </c>
      <c r="B5734" s="3" t="str">
        <f>IFERROR(__xludf.DUMMYFUNCTION("GOOGLETRANSLATE(A5734, ""ar"", ""bn"")"),"প্রায়")</f>
        <v>প্রায়</v>
      </c>
    </row>
    <row r="5735">
      <c r="A5735" s="2" t="s">
        <v>4023</v>
      </c>
      <c r="B5735" s="3" t="str">
        <f>IFERROR(__xludf.DUMMYFUNCTION("GOOGLETRANSLATE(A5735, ""ar"", ""bn"")"),"বন্ধুরতা")</f>
        <v>বন্ধুরতা</v>
      </c>
    </row>
    <row r="5736">
      <c r="A5736" s="2" t="s">
        <v>7248</v>
      </c>
      <c r="B5736" s="3" t="str">
        <f>IFERROR(__xludf.DUMMYFUNCTION("GOOGLETRANSLATE(A5736, ""ar"", ""bn"")"),"Roughs")</f>
        <v>Roughs</v>
      </c>
    </row>
    <row r="5737">
      <c r="A5737" s="2" t="s">
        <v>7249</v>
      </c>
      <c r="B5737" s="3" t="str">
        <f>IFERROR(__xludf.DUMMYFUNCTION("GOOGLETRANSLATE(A5737, ""ar"", ""bn"")"),"প্রাচীর")</f>
        <v>প্রাচীর</v>
      </c>
    </row>
    <row r="5738">
      <c r="A5738" s="2" t="s">
        <v>7250</v>
      </c>
      <c r="B5738" s="3" t="str">
        <f>IFERROR(__xludf.DUMMYFUNCTION("GOOGLETRANSLATE(A5738, ""ar"", ""bn"")"),"ঘুরা")</f>
        <v>ঘুরা</v>
      </c>
    </row>
    <row r="5739">
      <c r="A5739" s="2" t="s">
        <v>7232</v>
      </c>
      <c r="B5739" s="3" t="str">
        <f>IFERROR(__xludf.DUMMYFUNCTION("GOOGLETRANSLATE(A5739, ""ar"", ""bn"")"),"roundabouts")</f>
        <v>roundabouts</v>
      </c>
    </row>
    <row r="5740">
      <c r="A5740" s="2" t="s">
        <v>5543</v>
      </c>
      <c r="B5740" s="3" t="str">
        <f>IFERROR(__xludf.DUMMYFUNCTION("GOOGLETRANSLATE(A5740, ""ar"", ""bn"")"),"আবর্জনা")</f>
        <v>আবর্জনা</v>
      </c>
    </row>
    <row r="5741">
      <c r="A5741" s="2" t="s">
        <v>4617</v>
      </c>
      <c r="B5741" s="3" t="str">
        <f>IFERROR(__xludf.DUMMYFUNCTION("GOOGLETRANSLATE(A5741, ""ar"", ""bn"")"),"অবহসিত")</f>
        <v>অবহসিত</v>
      </c>
    </row>
    <row r="5742">
      <c r="A5742" s="2" t="s">
        <v>7251</v>
      </c>
      <c r="B5742" s="3" t="str">
        <f>IFERROR(__xludf.DUMMYFUNCTION("GOOGLETRANSLATE(A5742, ""ar"", ""bn"")"),"অবজ্ঞাসূচক")</f>
        <v>অবজ্ঞাসূচক</v>
      </c>
    </row>
    <row r="5743">
      <c r="A5743" s="2" t="s">
        <v>6557</v>
      </c>
      <c r="B5743" s="3" t="str">
        <f>IFERROR(__xludf.DUMMYFUNCTION("GOOGLETRANSLATE(A5743, ""ar"", ""bn"")"),"মূঢ়")</f>
        <v>মূঢ়</v>
      </c>
    </row>
    <row r="5744">
      <c r="A5744" s="2" t="s">
        <v>3816</v>
      </c>
      <c r="B5744" s="3" t="str">
        <f>IFERROR(__xludf.DUMMYFUNCTION("GOOGLETRANSLATE(A5744, ""ar"", ""bn"")"),"অভদ্র")</f>
        <v>অভদ্র</v>
      </c>
    </row>
    <row r="5745">
      <c r="A5745" s="2" t="s">
        <v>3782</v>
      </c>
      <c r="B5745" s="3" t="str">
        <f>IFERROR(__xludf.DUMMYFUNCTION("GOOGLETRANSLATE(A5745, ""ar"", ""bn"")"),"নির্ভয়ে")</f>
        <v>নির্ভয়ে</v>
      </c>
    </row>
    <row r="5746">
      <c r="A5746" s="2" t="s">
        <v>3714</v>
      </c>
      <c r="B5746" s="3" t="str">
        <f>IFERROR(__xludf.DUMMYFUNCTION("GOOGLETRANSLATE(A5746, ""ar"", ""bn"")"),"কর্কশতা")</f>
        <v>কর্কশতা</v>
      </c>
    </row>
    <row r="5747">
      <c r="A5747" s="2" t="s">
        <v>7252</v>
      </c>
      <c r="B5747" s="3" t="str">
        <f>IFERROR(__xludf.DUMMYFUNCTION("GOOGLETRANSLATE(A5747, ""ar"", ""bn"")"),"Roder")</f>
        <v>Roder</v>
      </c>
    </row>
    <row r="5748">
      <c r="A5748" s="2" t="s">
        <v>7253</v>
      </c>
      <c r="B5748" s="3" t="str">
        <f>IFERROR(__xludf.DUMMYFUNCTION("GOOGLETRANSLATE(A5748, ""ar"", ""bn"")"),"saucier")</f>
        <v>saucier</v>
      </c>
    </row>
    <row r="5749">
      <c r="A5749" s="2" t="s">
        <v>6187</v>
      </c>
      <c r="B5749" s="3" t="str">
        <f>IFERROR(__xludf.DUMMYFUNCTION("GOOGLETRANSLATE(A5749, ""ar"", ""bn"")"),"দুঃখিত")</f>
        <v>দুঃখিত</v>
      </c>
    </row>
    <row r="5750">
      <c r="A5750" s="2" t="s">
        <v>5609</v>
      </c>
      <c r="B5750" s="3" t="str">
        <f>IFERROR(__xludf.DUMMYFUNCTION("GOOGLETRANSLATE(A5750, ""ar"", ""bn"")"),"দু: খিত")</f>
        <v>দু: খিত</v>
      </c>
    </row>
    <row r="5751">
      <c r="A5751" s="2" t="s">
        <v>7254</v>
      </c>
      <c r="B5751" s="3" t="str">
        <f>IFERROR(__xludf.DUMMYFUNCTION("GOOGLETRANSLATE(A5751, ""ar"", ""bn"")"),"দু: খপূর্ণ ভাবে")</f>
        <v>দু: খপূর্ণ ভাবে</v>
      </c>
    </row>
    <row r="5752">
      <c r="A5752" s="2" t="s">
        <v>7107</v>
      </c>
      <c r="B5752" s="3" t="str">
        <f>IFERROR(__xludf.DUMMYFUNCTION("GOOGLETRANSLATE(A5752, ""ar"", ""bn"")"),"অনুশোচনা")</f>
        <v>অনুশোচনা</v>
      </c>
    </row>
    <row r="5753">
      <c r="A5753" s="2" t="s">
        <v>7255</v>
      </c>
      <c r="B5753" s="3" t="str">
        <f>IFERROR(__xludf.DUMMYFUNCTION("GOOGLETRANSLATE(A5753, ""ar"", ""bn"")"),"rues")</f>
        <v>rues</v>
      </c>
    </row>
    <row r="5754">
      <c r="A5754" s="2" t="s">
        <v>3530</v>
      </c>
      <c r="B5754" s="3" t="str">
        <f>IFERROR(__xludf.DUMMYFUNCTION("GOOGLETRANSLATE(A5754, ""ar"", ""bn"")"),"আদিম")</f>
        <v>আদিম</v>
      </c>
    </row>
    <row r="5755">
      <c r="A5755" s="2" t="s">
        <v>7256</v>
      </c>
      <c r="B5755" s="3" t="str">
        <f>IFERROR(__xludf.DUMMYFUNCTION("GOOGLETRANSLATE(A5755, ""ar"", ""bn"")"),"দুষ্ট")</f>
        <v>দুষ্ট</v>
      </c>
    </row>
    <row r="5756">
      <c r="A5756" s="2" t="s">
        <v>4628</v>
      </c>
      <c r="B5756" s="3" t="str">
        <f>IFERROR(__xludf.DUMMYFUNCTION("GOOGLETRANSLATE(A5756, ""ar"", ""bn"")"),"সর্বনাশ")</f>
        <v>সর্বনাশ</v>
      </c>
    </row>
    <row r="5757">
      <c r="A5757" s="2" t="s">
        <v>4628</v>
      </c>
      <c r="B5757" s="3" t="str">
        <f>IFERROR(__xludf.DUMMYFUNCTION("GOOGLETRANSLATE(A5757, ""ar"", ""bn"")"),"সর্বনাশ")</f>
        <v>সর্বনাশ</v>
      </c>
    </row>
    <row r="5758">
      <c r="A5758" s="2" t="s">
        <v>7257</v>
      </c>
      <c r="B5758" s="3" t="str">
        <f>IFERROR(__xludf.DUMMYFUNCTION("GOOGLETRANSLATE(A5758, ""ar"", ""bn"")"),"তশ রত")</f>
        <v>তশ রত</v>
      </c>
    </row>
    <row r="5759">
      <c r="A5759" s="2" t="s">
        <v>7258</v>
      </c>
      <c r="B5759" s="3" t="str">
        <f>IFERROR(__xludf.DUMMYFUNCTION("GOOGLETRANSLATE(A5759, ""ar"", ""bn"")"),"ছারখার")</f>
        <v>ছারখার</v>
      </c>
    </row>
    <row r="5760">
      <c r="A5760" s="2" t="s">
        <v>7259</v>
      </c>
      <c r="B5760" s="3" t="str">
        <f>IFERROR(__xludf.DUMMYFUNCTION("GOOGLETRANSLATE(A5760, ""ar"", ""bn"")"),"ধ্বংসাত্মক")</f>
        <v>ধ্বংসাত্মক</v>
      </c>
    </row>
    <row r="5761">
      <c r="A5761" s="2" t="s">
        <v>7260</v>
      </c>
      <c r="B5761" s="3" t="str">
        <f>IFERROR(__xludf.DUMMYFUNCTION("GOOGLETRANSLATE(A5761, ""ar"", ""bn"")"),"অন্তর্ঘাত")</f>
        <v>অন্তর্ঘাত</v>
      </c>
    </row>
    <row r="5762">
      <c r="A5762" s="2" t="s">
        <v>7261</v>
      </c>
      <c r="B5762" s="3" t="str">
        <f>IFERROR(__xludf.DUMMYFUNCTION("GOOGLETRANSLATE(A5762, ""ar"", ""bn"")"),"জীর্ণ")</f>
        <v>জীর্ণ</v>
      </c>
    </row>
    <row r="5763">
      <c r="A5763" s="2" t="s">
        <v>4641</v>
      </c>
      <c r="B5763" s="3" t="str">
        <f>IFERROR(__xludf.DUMMYFUNCTION("GOOGLETRANSLATE(A5763, ""ar"", ""bn"")"),"ধ্বংসাত্মক")</f>
        <v>ধ্বংসাত্মক</v>
      </c>
    </row>
    <row r="5764">
      <c r="A5764" s="2" t="s">
        <v>7262</v>
      </c>
      <c r="B5764" s="3" t="str">
        <f>IFERROR(__xludf.DUMMYFUNCTION("GOOGLETRANSLATE(A5764, ""ar"", ""bn"")"),"ধ্বংসাবশেষ")</f>
        <v>ধ্বংসাবশেষ</v>
      </c>
    </row>
    <row r="5765">
      <c r="A5765" s="2" t="s">
        <v>7263</v>
      </c>
      <c r="B5765" s="3" t="str">
        <f>IFERROR(__xludf.DUMMYFUNCTION("GOOGLETRANSLATE(A5765, ""ar"", ""bn"")"),"frizzy")</f>
        <v>frizzy</v>
      </c>
    </row>
    <row r="5766">
      <c r="A5766" s="2" t="s">
        <v>7264</v>
      </c>
      <c r="B5766" s="3" t="str">
        <f>IFERROR(__xludf.DUMMYFUNCTION("GOOGLETRANSLATE(A5766, ""ar"", ""bn"")"),"কোঁকড়া")</f>
        <v>কোঁকড়া</v>
      </c>
    </row>
    <row r="5767">
      <c r="A5767" s="2" t="s">
        <v>3198</v>
      </c>
      <c r="B5767" s="3" t="str">
        <f>IFERROR(__xludf.DUMMYFUNCTION("GOOGLETRANSLATE(A5767, ""ar"", ""bn"")"),"পলায়ন")</f>
        <v>পলায়ন</v>
      </c>
    </row>
    <row r="5768">
      <c r="A5768" s="2" t="s">
        <v>7265</v>
      </c>
      <c r="B5768" s="3" t="str">
        <f>IFERROR(__xludf.DUMMYFUNCTION("GOOGLETRANSLATE(A5768, ""ar"", ""bn"")"),"বিদারণ")</f>
        <v>বিদারণ</v>
      </c>
    </row>
    <row r="5769">
      <c r="A5769" s="2" t="s">
        <v>7204</v>
      </c>
      <c r="B5769" s="3" t="str">
        <f>IFERROR(__xludf.DUMMYFUNCTION("GOOGLETRANSLATE(A5769, ""ar"", ""bn"")"),"টুটা")</f>
        <v>টুটা</v>
      </c>
    </row>
    <row r="5770">
      <c r="A5770" s="2" t="s">
        <v>7266</v>
      </c>
      <c r="B5770" s="3" t="str">
        <f>IFERROR(__xludf.DUMMYFUNCTION("GOOGLETRANSLATE(A5770, ""ar"", ""bn"")"),"ফেটে")</f>
        <v>ফেটে</v>
      </c>
    </row>
    <row r="5771">
      <c r="A5771" s="2" t="s">
        <v>7267</v>
      </c>
      <c r="B5771" s="3" t="str">
        <f>IFERROR(__xludf.DUMMYFUNCTION("GOOGLETRANSLATE(A5771, ""ar"", ""bn"")"),"বিবর্ণ")</f>
        <v>বিবর্ণ</v>
      </c>
    </row>
    <row r="5772">
      <c r="A5772" s="2" t="s">
        <v>4335</v>
      </c>
      <c r="B5772" s="3" t="str">
        <f>IFERROR(__xludf.DUMMYFUNCTION("GOOGLETRANSLATE(A5772, ""ar"", ""bn"")"),"কঠোর")</f>
        <v>কঠোর</v>
      </c>
    </row>
    <row r="5773">
      <c r="A5773" s="2" t="s">
        <v>6462</v>
      </c>
      <c r="B5773" s="3" t="str">
        <f>IFERROR(__xludf.DUMMYFUNCTION("GOOGLETRANSLATE(A5773, ""ar"", ""bn"")"),"ক্ষমাহীনভাবে")</f>
        <v>ক্ষমাহীনভাবে</v>
      </c>
    </row>
    <row r="5774">
      <c r="A5774" s="2" t="s">
        <v>7268</v>
      </c>
      <c r="B5774" s="3" t="str">
        <f>IFERROR(__xludf.DUMMYFUNCTION("GOOGLETRANSLATE(A5774, ""ar"", ""bn"")"),"নির্মমতার")</f>
        <v>নির্মমতার</v>
      </c>
    </row>
    <row r="5775">
      <c r="A5775" s="2" t="s">
        <v>7260</v>
      </c>
      <c r="B5775" s="3" t="str">
        <f>IFERROR(__xludf.DUMMYFUNCTION("GOOGLETRANSLATE(A5775, ""ar"", ""bn"")"),"অন্তর্ঘাত")</f>
        <v>অন্তর্ঘাত</v>
      </c>
    </row>
    <row r="5776">
      <c r="A5776" s="2" t="s">
        <v>7260</v>
      </c>
      <c r="B5776" s="3" t="str">
        <f>IFERROR(__xludf.DUMMYFUNCTION("GOOGLETRANSLATE(A5776, ""ar"", ""bn"")"),"অন্তর্ঘাত")</f>
        <v>অন্তর্ঘাত</v>
      </c>
    </row>
    <row r="5777">
      <c r="A5777" s="2" t="s">
        <v>7269</v>
      </c>
      <c r="B5777" s="3" t="str">
        <f>IFERROR(__xludf.DUMMYFUNCTION("GOOGLETRANSLATE(A5777, ""ar"", ""bn"")"),"অন্তর্ঘাত")</f>
        <v>অন্তর্ঘাত</v>
      </c>
    </row>
    <row r="5778">
      <c r="A5778" s="2" t="s">
        <v>5609</v>
      </c>
      <c r="B5778" s="3" t="str">
        <f>IFERROR(__xludf.DUMMYFUNCTION("GOOGLETRANSLATE(A5778, ""ar"", ""bn"")"),"দু: খিত")</f>
        <v>দু: খিত</v>
      </c>
    </row>
    <row r="5779">
      <c r="A5779" s="2" t="s">
        <v>5606</v>
      </c>
      <c r="B5779" s="3" t="str">
        <f>IFERROR(__xludf.DUMMYFUNCTION("GOOGLETRANSLATE(A5779, ""ar"", ""bn"")"),"Sadnes")</f>
        <v>Sadnes</v>
      </c>
    </row>
    <row r="5780">
      <c r="A5780" s="2" t="s">
        <v>4419</v>
      </c>
      <c r="B5780" s="3" t="str">
        <f>IFERROR(__xludf.DUMMYFUNCTION("GOOGLETRANSLATE(A5780, ""ar"", ""bn"")"),"রহস্যময়ভাবে")</f>
        <v>রহস্যময়ভাবে</v>
      </c>
    </row>
    <row r="5781">
      <c r="A5781" s="2" t="s">
        <v>4609</v>
      </c>
      <c r="B5781" s="3" t="str">
        <f>IFERROR(__xludf.DUMMYFUNCTION("GOOGLETRANSLATE(A5781, ""ar"", ""bn"")"),"দূর্বল")</f>
        <v>দূর্বল</v>
      </c>
    </row>
    <row r="5782">
      <c r="A5782" s="2" t="s">
        <v>7270</v>
      </c>
      <c r="B5782" s="3" t="str">
        <f>IFERROR(__xludf.DUMMYFUNCTION("GOOGLETRANSLATE(A5782, ""ar"", ""bn"")"),"আমি দুঃখি ছিলাম")</f>
        <v>আমি দুঃখি ছিলাম</v>
      </c>
    </row>
    <row r="5783">
      <c r="A5783" s="2" t="s">
        <v>5750</v>
      </c>
      <c r="B5783" s="3" t="str">
        <f>IFERROR(__xludf.DUMMYFUNCTION("GOOGLETRANSLATE(A5783, ""ar"", ""bn"")"),"দু: খ")</f>
        <v>দু: খ</v>
      </c>
    </row>
    <row r="5784">
      <c r="A5784" s="2" t="s">
        <v>3675</v>
      </c>
      <c r="B5784" s="3" t="str">
        <f>IFERROR(__xludf.DUMMYFUNCTION("GOOGLETRANSLATE(A5784, ""ar"", ""bn"")"),"সবচাইতে দুঃখজনক")</f>
        <v>সবচাইতে দুঃখজনক</v>
      </c>
    </row>
    <row r="5785">
      <c r="A5785" s="2" t="s">
        <v>7271</v>
      </c>
      <c r="B5785" s="3" t="str">
        <f>IFERROR(__xludf.DUMMYFUNCTION("GOOGLETRANSLATE(A5785, ""ar"", ""bn"")"),"জিন")</f>
        <v>জিন</v>
      </c>
    </row>
    <row r="5786">
      <c r="A5786" s="2" t="s">
        <v>7272</v>
      </c>
      <c r="B5786" s="3" t="str">
        <f>IFERROR(__xludf.DUMMYFUNCTION("GOOGLETRANSLATE(A5786, ""ar"", ""bn"")"),"শুঁটি")</f>
        <v>শুঁটি</v>
      </c>
    </row>
    <row r="5787">
      <c r="A5787" s="2" t="s">
        <v>7273</v>
      </c>
      <c r="B5787" s="3" t="str">
        <f>IFERROR(__xludf.DUMMYFUNCTION("GOOGLETRANSLATE(A5787, ""ar"", ""bn"")"),"পরিচালনায়")</f>
        <v>পরিচালনায়</v>
      </c>
    </row>
    <row r="5788">
      <c r="A5788" s="2" t="s">
        <v>3872</v>
      </c>
      <c r="B5788" s="3" t="str">
        <f>IFERROR(__xludf.DUMMYFUNCTION("GOOGLETRANSLATE(A5788, ""ar"", ""bn"")"),"ওভারলোড")</f>
        <v>ওভারলোড</v>
      </c>
    </row>
    <row r="5789">
      <c r="A5789" s="2" t="s">
        <v>7274</v>
      </c>
      <c r="B5789" s="3" t="str">
        <f>IFERROR(__xludf.DUMMYFUNCTION("GOOGLETRANSLATE(A5789, ""ar"", ""bn"")"),"saddler")</f>
        <v>saddler</v>
      </c>
    </row>
    <row r="5790">
      <c r="A5790" s="2" t="s">
        <v>7275</v>
      </c>
      <c r="B5790" s="3" t="str">
        <f>IFERROR(__xludf.DUMMYFUNCTION("GOOGLETRANSLATE(A5790, ""ar"", ""bn"")"),"জিন রাখার ঘর")</f>
        <v>জিন রাখার ঘর</v>
      </c>
    </row>
    <row r="5791">
      <c r="A5791" s="2" t="s">
        <v>7276</v>
      </c>
      <c r="B5791" s="3" t="str">
        <f>IFERROR(__xludf.DUMMYFUNCTION("GOOGLETRANSLATE(A5791, ""ar"", ""bn"")"),"saddles")</f>
        <v>saddles</v>
      </c>
    </row>
    <row r="5792">
      <c r="A5792" s="2" t="s">
        <v>7277</v>
      </c>
      <c r="B5792" s="3" t="str">
        <f>IFERROR(__xludf.DUMMYFUNCTION("GOOGLETRANSLATE(A5792, ""ar"", ""bn"")"),"Saddling")</f>
        <v>Saddling</v>
      </c>
    </row>
    <row r="5793">
      <c r="A5793" s="2" t="s">
        <v>7278</v>
      </c>
      <c r="B5793" s="3" t="str">
        <f>IFERROR(__xludf.DUMMYFUNCTION("GOOGLETRANSLATE(A5793, ""ar"", ""bn"")"),"ধর্ষকাম")</f>
        <v>ধর্ষকাম</v>
      </c>
    </row>
    <row r="5794">
      <c r="A5794" s="2" t="s">
        <v>7279</v>
      </c>
      <c r="B5794" s="3" t="str">
        <f>IFERROR(__xludf.DUMMYFUNCTION("GOOGLETRANSLATE(A5794, ""ar"", ""bn"")"),"ধর্ষকামী")</f>
        <v>ধর্ষকামী</v>
      </c>
    </row>
    <row r="5795">
      <c r="A5795" s="2" t="s">
        <v>7279</v>
      </c>
      <c r="B5795" s="3" t="str">
        <f>IFERROR(__xludf.DUMMYFUNCTION("GOOGLETRANSLATE(A5795, ""ar"", ""bn"")"),"ধর্ষকামী")</f>
        <v>ধর্ষকামী</v>
      </c>
    </row>
    <row r="5796">
      <c r="A5796" s="2" t="s">
        <v>7280</v>
      </c>
      <c r="B5796" s="3" t="str">
        <f>IFERROR(__xludf.DUMMYFUNCTION("GOOGLETRANSLATE(A5796, ""ar"", ""bn"")"),"সঙ্গে ধর্ষকামী")</f>
        <v>সঙ্গে ধর্ষকামী</v>
      </c>
    </row>
    <row r="5797">
      <c r="A5797" s="2" t="s">
        <v>7281</v>
      </c>
      <c r="B5797" s="3" t="str">
        <f>IFERROR(__xludf.DUMMYFUNCTION("GOOGLETRANSLATE(A5797, ""ar"", ""bn"")"),"Sadists")</f>
        <v>Sadists</v>
      </c>
    </row>
    <row r="5798">
      <c r="A5798" s="2" t="s">
        <v>7105</v>
      </c>
      <c r="B5798" s="3" t="str">
        <f>IFERROR(__xludf.DUMMYFUNCTION("GOOGLETRANSLATE(A5798, ""ar"", ""bn"")"),"দুর্ভাগ্যবশত")</f>
        <v>দুর্ভাগ্যবশত</v>
      </c>
    </row>
    <row r="5799">
      <c r="A5799" s="2" t="s">
        <v>5606</v>
      </c>
      <c r="B5799" s="3" t="str">
        <f>IFERROR(__xludf.DUMMYFUNCTION("GOOGLETRANSLATE(A5799, ""ar"", ""bn"")"),"Sadnes")</f>
        <v>Sadnes</v>
      </c>
    </row>
    <row r="5800">
      <c r="A5800" s="2" t="s">
        <v>7282</v>
      </c>
      <c r="B5800" s="3" t="str">
        <f>IFERROR(__xludf.DUMMYFUNCTION("GOOGLETRANSLATE(A5800, ""ar"", ""bn"")"),"Sadomasochism")</f>
        <v>Sadomasochism</v>
      </c>
    </row>
    <row r="5801">
      <c r="A5801" s="2" t="s">
        <v>7279</v>
      </c>
      <c r="B5801" s="3" t="str">
        <f>IFERROR(__xludf.DUMMYFUNCTION("GOOGLETRANSLATE(A5801, ""ar"", ""bn"")"),"ধর্ষকামী")</f>
        <v>ধর্ষকামী</v>
      </c>
    </row>
    <row r="5802">
      <c r="A5802" s="2" t="s">
        <v>5606</v>
      </c>
      <c r="B5802" s="3" t="str">
        <f>IFERROR(__xludf.DUMMYFUNCTION("GOOGLETRANSLATE(A5802, ""ar"", ""bn"")"),"Sadnes")</f>
        <v>Sadnes</v>
      </c>
    </row>
    <row r="5803">
      <c r="A5803" s="2" t="s">
        <v>4419</v>
      </c>
      <c r="B5803" s="3" t="str">
        <f>IFERROR(__xludf.DUMMYFUNCTION("GOOGLETRANSLATE(A5803, ""ar"", ""bn"")"),"রহস্যময়ভাবে")</f>
        <v>রহস্যময়ভাবে</v>
      </c>
    </row>
    <row r="5804">
      <c r="A5804" s="2" t="s">
        <v>4609</v>
      </c>
      <c r="B5804" s="3" t="str">
        <f>IFERROR(__xludf.DUMMYFUNCTION("GOOGLETRANSLATE(A5804, ""ar"", ""bn"")"),"দূর্বল")</f>
        <v>দূর্বল</v>
      </c>
    </row>
    <row r="5805">
      <c r="A5805" s="2" t="s">
        <v>7270</v>
      </c>
      <c r="B5805" s="3" t="str">
        <f>IFERROR(__xludf.DUMMYFUNCTION("GOOGLETRANSLATE(A5805, ""ar"", ""bn"")"),"আমি দুঃখি ছিলাম")</f>
        <v>আমি দুঃখি ছিলাম</v>
      </c>
    </row>
    <row r="5806">
      <c r="A5806" s="2" t="s">
        <v>5750</v>
      </c>
      <c r="B5806" s="3" t="str">
        <f>IFERROR(__xludf.DUMMYFUNCTION("GOOGLETRANSLATE(A5806, ""ar"", ""bn"")"),"দু: খ")</f>
        <v>দু: খ</v>
      </c>
    </row>
    <row r="5807">
      <c r="A5807" s="2" t="s">
        <v>3675</v>
      </c>
      <c r="B5807" s="3" t="str">
        <f>IFERROR(__xludf.DUMMYFUNCTION("GOOGLETRANSLATE(A5807, ""ar"", ""bn"")"),"সবচাইতে দুঃখজনক")</f>
        <v>সবচাইতে দুঃখজনক</v>
      </c>
    </row>
    <row r="5808">
      <c r="A5808" s="2" t="s">
        <v>7105</v>
      </c>
      <c r="B5808" s="3" t="str">
        <f>IFERROR(__xludf.DUMMYFUNCTION("GOOGLETRANSLATE(A5808, ""ar"", ""bn"")"),"দুর্ভাগ্যবশত")</f>
        <v>দুর্ভাগ্যবশত</v>
      </c>
    </row>
    <row r="5809">
      <c r="A5809" s="2" t="s">
        <v>5606</v>
      </c>
      <c r="B5809" s="3" t="str">
        <f>IFERROR(__xludf.DUMMYFUNCTION("GOOGLETRANSLATE(A5809, ""ar"", ""bn"")"),"Sadnes")</f>
        <v>Sadnes</v>
      </c>
    </row>
    <row r="5810">
      <c r="A5810" s="2" t="s">
        <v>7283</v>
      </c>
      <c r="B5810" s="3" t="str">
        <f>IFERROR(__xludf.DUMMYFUNCTION("GOOGLETRANSLATE(A5810, ""ar"", ""bn"")"),"পাশে ঝুলিয়া পড়া")</f>
        <v>পাশে ঝুলিয়া পড়া</v>
      </c>
    </row>
    <row r="5811">
      <c r="A5811" s="2" t="s">
        <v>7284</v>
      </c>
      <c r="B5811" s="3" t="str">
        <f>IFERROR(__xludf.DUMMYFUNCTION("GOOGLETRANSLATE(A5811, ""ar"", ""bn"")"),"কাহিনী")</f>
        <v>কাহিনী</v>
      </c>
    </row>
    <row r="5812">
      <c r="A5812" s="2" t="s">
        <v>7285</v>
      </c>
      <c r="B5812" s="3" t="str">
        <f>IFERROR(__xludf.DUMMYFUNCTION("GOOGLETRANSLATE(A5812, ""ar"", ""bn"")"),"বুদ্ধিমান")</f>
        <v>বুদ্ধিমান</v>
      </c>
    </row>
    <row r="5813">
      <c r="A5813" s="2" t="s">
        <v>7286</v>
      </c>
      <c r="B5813" s="3" t="str">
        <f>IFERROR(__xludf.DUMMYFUNCTION("GOOGLETRANSLATE(A5813, ""ar"", ""bn"")"),"সদ্বিবেচনা")</f>
        <v>সদ্বিবেচনা</v>
      </c>
    </row>
    <row r="5814">
      <c r="A5814" s="2" t="s">
        <v>7287</v>
      </c>
      <c r="B5814" s="3" t="str">
        <f>IFERROR(__xludf.DUMMYFUNCTION("GOOGLETRANSLATE(A5814, ""ar"", ""bn"")"),"মহাকাব্য")</f>
        <v>মহাকাব্য</v>
      </c>
    </row>
    <row r="5815">
      <c r="A5815" s="2" t="s">
        <v>7288</v>
      </c>
      <c r="B5815" s="3" t="str">
        <f>IFERROR(__xludf.DUMMYFUNCTION("GOOGLETRANSLATE(A5815, ""ar"", ""bn"")"),"ঋষি")</f>
        <v>ঋষি</v>
      </c>
    </row>
    <row r="5816">
      <c r="A5816" s="2" t="s">
        <v>7289</v>
      </c>
      <c r="B5816" s="3" t="str">
        <f>IFERROR(__xludf.DUMMYFUNCTION("GOOGLETRANSLATE(A5816, ""ar"", ""bn"")"),"বিজ্ঞতার সঙ্গে")</f>
        <v>বিজ্ঞতার সঙ্গে</v>
      </c>
    </row>
    <row r="5817">
      <c r="A5817" s="2" t="s">
        <v>7290</v>
      </c>
      <c r="B5817" s="3" t="str">
        <f>IFERROR(__xludf.DUMMYFUNCTION("GOOGLETRANSLATE(A5817, ""ar"", ""bn"")"),"প্রবীণদের")</f>
        <v>প্রবীণদের</v>
      </c>
    </row>
    <row r="5818">
      <c r="A5818" s="2" t="s">
        <v>7291</v>
      </c>
      <c r="B5818" s="3" t="str">
        <f>IFERROR(__xludf.DUMMYFUNCTION("GOOGLETRANSLATE(A5818, ""ar"", ""bn"")"),"Overhung")</f>
        <v>Overhung</v>
      </c>
    </row>
    <row r="5819">
      <c r="A5819" s="2" t="s">
        <v>7292</v>
      </c>
      <c r="B5819" s="3" t="str">
        <f>IFERROR(__xludf.DUMMYFUNCTION("GOOGLETRANSLATE(A5819, ""ar"", ""bn"")"),"জবুথবু সং")</f>
        <v>জবুথবু সং</v>
      </c>
    </row>
    <row r="5820">
      <c r="A5820" s="2" t="s">
        <v>7293</v>
      </c>
      <c r="B5820" s="3" t="str">
        <f>IFERROR(__xludf.DUMMYFUNCTION("GOOGLETRANSLATE(A5820, ""ar"", ""bn"")"),"সাগু")</f>
        <v>সাগু</v>
      </c>
    </row>
    <row r="5821">
      <c r="A5821" s="2" t="s">
        <v>5021</v>
      </c>
      <c r="B5821" s="3" t="str">
        <f>IFERROR(__xludf.DUMMYFUNCTION("GOOGLETRANSLATE(A5821, ""ar"", ""bn"")"),"Sags")</f>
        <v>Sags</v>
      </c>
    </row>
    <row r="5822">
      <c r="A5822" s="2" t="s">
        <v>5035</v>
      </c>
      <c r="B5822" s="3" t="str">
        <f>IFERROR(__xludf.DUMMYFUNCTION("GOOGLETRANSLATE(A5822, ""ar"", ""bn"")"),"ডুবন্ত")</f>
        <v>ডুবন্ত</v>
      </c>
    </row>
    <row r="5823">
      <c r="A5823" s="2" t="s">
        <v>5281</v>
      </c>
      <c r="B5823" s="3" t="str">
        <f>IFERROR(__xludf.DUMMYFUNCTION("GOOGLETRANSLATE(A5823, ""ar"", ""bn"")"),"দুর্বল")</f>
        <v>দুর্বল</v>
      </c>
    </row>
    <row r="5824">
      <c r="A5824" s="2" t="s">
        <v>7294</v>
      </c>
      <c r="B5824" s="3" t="str">
        <f>IFERROR(__xludf.DUMMYFUNCTION("GOOGLETRANSLATE(A5824, ""ar"", ""bn"")"),"বিচক্ষণ")</f>
        <v>বিচক্ষণ</v>
      </c>
    </row>
    <row r="5825">
      <c r="A5825" s="2" t="s">
        <v>7295</v>
      </c>
      <c r="B5825" s="3" t="str">
        <f>IFERROR(__xludf.DUMMYFUNCTION("GOOGLETRANSLATE(A5825, ""ar"", ""bn"")"),"কচি চারাগাছ")</f>
        <v>কচি চারাগাছ</v>
      </c>
    </row>
    <row r="5826">
      <c r="A5826" s="2" t="s">
        <v>7296</v>
      </c>
      <c r="B5826" s="3" t="str">
        <f>IFERROR(__xludf.DUMMYFUNCTION("GOOGLETRANSLATE(A5826, ""ar"", ""bn"")"),"চারা")</f>
        <v>চারা</v>
      </c>
    </row>
    <row r="5827">
      <c r="A5827" s="2" t="s">
        <v>7297</v>
      </c>
      <c r="B5827" s="3" t="str">
        <f>IFERROR(__xludf.DUMMYFUNCTION("GOOGLETRANSLATE(A5827, ""ar"", ""bn"")"),"ড্রেন")</f>
        <v>ড্রেন</v>
      </c>
    </row>
    <row r="5828">
      <c r="A5828" s="2" t="s">
        <v>7298</v>
      </c>
      <c r="B5828" s="3" t="str">
        <f>IFERROR(__xludf.DUMMYFUNCTION("GOOGLETRANSLATE(A5828, ""ar"", ""bn"")"),"ঘোমটা")</f>
        <v>ঘোমটা</v>
      </c>
    </row>
    <row r="5829">
      <c r="A5829" s="2" t="s">
        <v>7299</v>
      </c>
      <c r="B5829" s="3" t="str">
        <f>IFERROR(__xludf.DUMMYFUNCTION("GOOGLETRANSLATE(A5829, ""ar"", ""bn"")"),"বিস্ফোরক বিশেষজ্ঞদের")</f>
        <v>বিস্ফোরক বিশেষজ্ঞদের</v>
      </c>
    </row>
    <row r="5830">
      <c r="A5830" s="2" t="s">
        <v>7300</v>
      </c>
      <c r="B5830" s="3" t="str">
        <f>IFERROR(__xludf.DUMMYFUNCTION("GOOGLETRANSLATE(A5830, ""ar"", ""bn"")"),"নীলকান্তমণি")</f>
        <v>নীলকান্তমণি</v>
      </c>
    </row>
    <row r="5831">
      <c r="A5831" s="2" t="s">
        <v>7301</v>
      </c>
      <c r="B5831" s="3" t="str">
        <f>IFERROR(__xludf.DUMMYFUNCTION("GOOGLETRANSLATE(A5831, ""ar"", ""bn"")"),"পর্যন্ত ঘটাতে")</f>
        <v>পর্যন্ত ঘটাতে</v>
      </c>
    </row>
    <row r="5832">
      <c r="A5832" s="2" t="s">
        <v>7302</v>
      </c>
      <c r="B5832" s="3" t="str">
        <f>IFERROR(__xludf.DUMMYFUNCTION("GOOGLETRANSLATE(A5832, ""ar"", ""bn"")"),"নষ্ট")</f>
        <v>নষ্ট</v>
      </c>
    </row>
    <row r="5833">
      <c r="A5833" s="2" t="s">
        <v>7303</v>
      </c>
      <c r="B5833" s="3" t="str">
        <f>IFERROR(__xludf.DUMMYFUNCTION("GOOGLETRANSLATE(A5833, ""ar"", ""bn"")"),"Juicers")</f>
        <v>Juicers</v>
      </c>
    </row>
    <row r="5834">
      <c r="A5834" s="2" t="s">
        <v>4619</v>
      </c>
      <c r="B5834" s="3" t="str">
        <f>IFERROR(__xludf.DUMMYFUNCTION("GOOGLETRANSLATE(A5834, ""ar"", ""bn"")"),"উপহাস")</f>
        <v>উপহাস</v>
      </c>
    </row>
    <row r="5835">
      <c r="A5835" s="2" t="s">
        <v>7304</v>
      </c>
      <c r="B5835" s="3" t="str">
        <f>IFERROR(__xludf.DUMMYFUNCTION("GOOGLETRANSLATE(A5835, ""ar"", ""bn"")"),"taunts")</f>
        <v>taunts</v>
      </c>
    </row>
    <row r="5836">
      <c r="A5836" s="2" t="s">
        <v>4396</v>
      </c>
      <c r="B5836" s="3" t="str">
        <f>IFERROR(__xludf.DUMMYFUNCTION("GOOGLETRANSLATE(A5836, ""ar"", ""bn"")"),"তীব্র ব্যঙ্গপূর্ণ")</f>
        <v>তীব্র ব্যঙ্গপূর্ণ</v>
      </c>
    </row>
    <row r="5837">
      <c r="A5837" s="2" t="s">
        <v>6535</v>
      </c>
      <c r="B5837" s="3" t="str">
        <f>IFERROR(__xludf.DUMMYFUNCTION("GOOGLETRANSLATE(A5837, ""ar"", ""bn"")"),"বিদ্রূপকারী")</f>
        <v>বিদ্রূপকারী</v>
      </c>
    </row>
    <row r="5838">
      <c r="A5838" s="2" t="s">
        <v>4698</v>
      </c>
      <c r="B5838" s="3" t="str">
        <f>IFERROR(__xludf.DUMMYFUNCTION("GOOGLETRANSLATE(A5838, ""ar"", ""bn"")"),"শয়তান")</f>
        <v>শয়তান</v>
      </c>
    </row>
    <row r="5839">
      <c r="A5839" s="2" t="s">
        <v>7305</v>
      </c>
      <c r="B5839" s="3" t="str">
        <f>IFERROR(__xludf.DUMMYFUNCTION("GOOGLETRANSLATE(A5839, ""ar"", ""bn"")"),"পাপাত্মা")</f>
        <v>পাপাত্মা</v>
      </c>
    </row>
    <row r="5840">
      <c r="A5840" s="2" t="s">
        <v>7305</v>
      </c>
      <c r="B5840" s="3" t="str">
        <f>IFERROR(__xludf.DUMMYFUNCTION("GOOGLETRANSLATE(A5840, ""ar"", ""bn"")"),"পাপাত্মা")</f>
        <v>পাপাত্মা</v>
      </c>
    </row>
    <row r="5841">
      <c r="A5841" s="2" t="s">
        <v>7306</v>
      </c>
      <c r="B5841" s="3" t="str">
        <f>IFERROR(__xludf.DUMMYFUNCTION("GOOGLETRANSLATE(A5841, ""ar"", ""bn"")"),"Satanism")</f>
        <v>Satanism</v>
      </c>
    </row>
    <row r="5842">
      <c r="A5842" s="2" t="s">
        <v>3818</v>
      </c>
      <c r="B5842" s="3" t="str">
        <f>IFERROR(__xludf.DUMMYFUNCTION("GOOGLETRANSLATE(A5842, ""ar"", ""bn"")"),"পাশবিক")</f>
        <v>পাশবিক</v>
      </c>
    </row>
    <row r="5843">
      <c r="A5843" s="2" t="s">
        <v>3431</v>
      </c>
      <c r="B5843" s="3" t="str">
        <f>IFERROR(__xludf.DUMMYFUNCTION("GOOGLETRANSLATE(A5843, ""ar"", ""bn"")"),"আক্রমণ")</f>
        <v>আক্রমণ</v>
      </c>
    </row>
    <row r="5844">
      <c r="A5844" s="2" t="s">
        <v>3820</v>
      </c>
      <c r="B5844" s="3" t="str">
        <f>IFERROR(__xludf.DUMMYFUNCTION("GOOGLETRANSLATE(A5844, ""ar"", ""bn"")"),"নিষ্ঠুরভাবে")</f>
        <v>নিষ্ঠুরভাবে</v>
      </c>
    </row>
    <row r="5845">
      <c r="A5845" s="2" t="s">
        <v>3534</v>
      </c>
      <c r="B5845" s="3" t="str">
        <f>IFERROR(__xludf.DUMMYFUNCTION("GOOGLETRANSLATE(A5845, ""ar"", ""bn"")"),"বর্বরতার")</f>
        <v>বর্বরতার</v>
      </c>
    </row>
    <row r="5846">
      <c r="A5846" s="2" t="s">
        <v>7307</v>
      </c>
      <c r="B5846" s="3" t="str">
        <f>IFERROR(__xludf.DUMMYFUNCTION("GOOGLETRANSLATE(A5846, ""ar"", ""bn"")"),"অসভ্য")</f>
        <v>অসভ্য</v>
      </c>
    </row>
    <row r="5847">
      <c r="A5847" s="2" t="s">
        <v>3884</v>
      </c>
      <c r="B5847" s="3" t="str">
        <f>IFERROR(__xludf.DUMMYFUNCTION("GOOGLETRANSLATE(A5847, ""ar"", ""bn"")"),"পোড়া")</f>
        <v>পোড়া</v>
      </c>
    </row>
    <row r="5848">
      <c r="A5848" s="2" t="s">
        <v>7308</v>
      </c>
      <c r="B5848" s="3" t="str">
        <f>IFERROR(__xludf.DUMMYFUNCTION("GOOGLETRANSLATE(A5848, ""ar"", ""bn"")"),"Unpasteurized")</f>
        <v>Unpasteurized</v>
      </c>
    </row>
    <row r="5849">
      <c r="A5849" s="2" t="s">
        <v>7309</v>
      </c>
      <c r="B5849" s="3" t="str">
        <f>IFERROR(__xludf.DUMMYFUNCTION("GOOGLETRANSLATE(A5849, ""ar"", ""bn"")"),"পুড়ন")</f>
        <v>পুড়ন</v>
      </c>
    </row>
    <row r="5850">
      <c r="A5850" s="2" t="s">
        <v>3891</v>
      </c>
      <c r="B5850" s="3" t="str">
        <f>IFERROR(__xludf.DUMMYFUNCTION("GOOGLETRANSLATE(A5850, ""ar"", ""bn"")"),"বার্নস")</f>
        <v>বার্নস</v>
      </c>
    </row>
    <row r="5851">
      <c r="A5851" s="2" t="s">
        <v>7310</v>
      </c>
      <c r="B5851" s="3" t="str">
        <f>IFERROR(__xludf.DUMMYFUNCTION("GOOGLETRANSLATE(A5851, ""ar"", ""bn"")"),"কলঙ্ক")</f>
        <v>কলঙ্ক</v>
      </c>
    </row>
    <row r="5852">
      <c r="A5852" s="2" t="s">
        <v>3402</v>
      </c>
      <c r="B5852" s="3" t="str">
        <f>IFERROR(__xludf.DUMMYFUNCTION("GOOGLETRANSLATE(A5852, ""ar"", ""bn"")"),"জঘন্য")</f>
        <v>জঘন্য</v>
      </c>
    </row>
    <row r="5853">
      <c r="A5853" s="2" t="s">
        <v>5397</v>
      </c>
      <c r="B5853" s="3" t="str">
        <f>IFERROR(__xludf.DUMMYFUNCTION("GOOGLETRANSLATE(A5853, ""ar"", ""bn"")"),"ঘোর")</f>
        <v>ঘোর</v>
      </c>
    </row>
    <row r="5854">
      <c r="A5854" s="2" t="s">
        <v>5397</v>
      </c>
      <c r="B5854" s="3" t="str">
        <f>IFERROR(__xludf.DUMMYFUNCTION("GOOGLETRANSLATE(A5854, ""ar"", ""bn"")"),"ঘোর")</f>
        <v>ঘোর</v>
      </c>
    </row>
    <row r="5855">
      <c r="A5855" s="2" t="s">
        <v>7311</v>
      </c>
      <c r="B5855" s="3" t="str">
        <f>IFERROR(__xludf.DUMMYFUNCTION("GOOGLETRANSLATE(A5855, ""ar"", ""bn"")"),"কেলেঙ্কারিতে")</f>
        <v>কেলেঙ্কারিতে</v>
      </c>
    </row>
    <row r="5856">
      <c r="A5856" s="2" t="s">
        <v>7312</v>
      </c>
      <c r="B5856" s="3" t="str">
        <f>IFERROR(__xludf.DUMMYFUNCTION("GOOGLETRANSLATE(A5856, ""ar"", ""bn"")"),"বলির পাঁঠা")</f>
        <v>বলির পাঁঠা</v>
      </c>
    </row>
    <row r="5857">
      <c r="A5857" s="2" t="s">
        <v>7313</v>
      </c>
      <c r="B5857" s="3" t="str">
        <f>IFERROR(__xludf.DUMMYFUNCTION("GOOGLETRANSLATE(A5857, ""ar"", ""bn"")"),"বলির পাঁঠা")</f>
        <v>বলির পাঁঠা</v>
      </c>
    </row>
    <row r="5858">
      <c r="A5858" s="2" t="s">
        <v>6562</v>
      </c>
      <c r="B5858" s="3" t="str">
        <f>IFERROR(__xludf.DUMMYFUNCTION("GOOGLETRANSLATE(A5858, ""ar"", ""bn"")"),"খুঁত")</f>
        <v>খুঁত</v>
      </c>
    </row>
    <row r="5859">
      <c r="A5859" s="2" t="s">
        <v>7314</v>
      </c>
      <c r="B5859" s="3" t="str">
        <f>IFERROR(__xludf.DUMMYFUNCTION("GOOGLETRANSLATE(A5859, ""ar"", ""bn"")"),"গুবরে-পোকাবিশেষ")</f>
        <v>গুবরে-পোকাবিশেষ</v>
      </c>
    </row>
    <row r="5860">
      <c r="A5860" s="2" t="s">
        <v>7315</v>
      </c>
      <c r="B5860" s="3" t="str">
        <f>IFERROR(__xludf.DUMMYFUNCTION("GOOGLETRANSLATE(A5860, ""ar"", ""bn"")"),"বিরল")</f>
        <v>বিরল</v>
      </c>
    </row>
    <row r="5861">
      <c r="A5861" s="2" t="s">
        <v>7316</v>
      </c>
      <c r="B5861" s="3" t="str">
        <f>IFERROR(__xludf.DUMMYFUNCTION("GOOGLETRANSLATE(A5861, ""ar"", ""bn"")"),"সবে মাত্র")</f>
        <v>সবে মাত্র</v>
      </c>
    </row>
    <row r="5862">
      <c r="A5862" s="2" t="s">
        <v>7317</v>
      </c>
      <c r="B5862" s="3" t="str">
        <f>IFERROR(__xludf.DUMMYFUNCTION("GOOGLETRANSLATE(A5862, ""ar"", ""bn"")"),"অসাধারণত্ব")</f>
        <v>অসাধারণত্ব</v>
      </c>
    </row>
    <row r="5863">
      <c r="A5863" s="2" t="s">
        <v>7317</v>
      </c>
      <c r="B5863" s="3" t="str">
        <f>IFERROR(__xludf.DUMMYFUNCTION("GOOGLETRANSLATE(A5863, ""ar"", ""bn"")"),"অসাধারণত্ব")</f>
        <v>অসাধারণত্ব</v>
      </c>
    </row>
    <row r="5864">
      <c r="A5864" s="2" t="s">
        <v>7317</v>
      </c>
      <c r="B5864" s="3" t="str">
        <f>IFERROR(__xludf.DUMMYFUNCTION("GOOGLETRANSLATE(A5864, ""ar"", ""bn"")"),"অসাধারণত্ব")</f>
        <v>অসাধারণত্ব</v>
      </c>
    </row>
    <row r="5865">
      <c r="A5865" s="2" t="s">
        <v>7317</v>
      </c>
      <c r="B5865" s="3" t="str">
        <f>IFERROR(__xludf.DUMMYFUNCTION("GOOGLETRANSLATE(A5865, ""ar"", ""bn"")"),"অসাধারণত্ব")</f>
        <v>অসাধারণত্ব</v>
      </c>
    </row>
    <row r="5866">
      <c r="A5866" s="2" t="s">
        <v>4522</v>
      </c>
      <c r="B5866" s="3" t="str">
        <f>IFERROR(__xludf.DUMMYFUNCTION("GOOGLETRANSLATE(A5866, ""ar"", ""bn"")"),"স্বল্পতা")</f>
        <v>স্বল্পতা</v>
      </c>
    </row>
    <row r="5867">
      <c r="A5867" s="2" t="s">
        <v>4882</v>
      </c>
      <c r="B5867" s="3" t="str">
        <f>IFERROR(__xludf.DUMMYFUNCTION("GOOGLETRANSLATE(A5867, ""ar"", ""bn"")"),"আতঙ্ক")</f>
        <v>আতঙ্ক</v>
      </c>
    </row>
    <row r="5868">
      <c r="A5868" s="2" t="s">
        <v>7318</v>
      </c>
      <c r="B5868" s="3" t="str">
        <f>IFERROR(__xludf.DUMMYFUNCTION("GOOGLETRANSLATE(A5868, ""ar"", ""bn"")"),"কাকতাড়ুয়া")</f>
        <v>কাকতাড়ুয়া</v>
      </c>
    </row>
    <row r="5869">
      <c r="A5869" s="2" t="s">
        <v>7319</v>
      </c>
      <c r="B5869" s="3" t="str">
        <f>IFERROR(__xludf.DUMMYFUNCTION("GOOGLETRANSLATE(A5869, ""ar"", ""bn"")"),"কাকতাড়ুয়া")</f>
        <v>কাকতাড়ুয়া</v>
      </c>
    </row>
    <row r="5870">
      <c r="A5870" s="2" t="s">
        <v>7320</v>
      </c>
      <c r="B5870" s="3" t="str">
        <f>IFERROR(__xludf.DUMMYFUNCTION("GOOGLETRANSLATE(A5870, ""ar"", ""bn"")"),"ভীত")</f>
        <v>ভীত</v>
      </c>
    </row>
    <row r="5871">
      <c r="A5871" s="2" t="s">
        <v>3469</v>
      </c>
      <c r="B5871" s="3" t="str">
        <f>IFERROR(__xludf.DUMMYFUNCTION("GOOGLETRANSLATE(A5871, ""ar"", ""bn"")"),"ভয়ের")</f>
        <v>ভয়ের</v>
      </c>
    </row>
    <row r="5872">
      <c r="A5872" s="2" t="s">
        <v>7321</v>
      </c>
      <c r="B5872" s="3" t="str">
        <f>IFERROR(__xludf.DUMMYFUNCTION("GOOGLETRANSLATE(A5872, ""ar"", ""bn"")"),"আতঙ্ক")</f>
        <v>আতঙ্ক</v>
      </c>
    </row>
    <row r="5873">
      <c r="A5873" s="2" t="s">
        <v>3328</v>
      </c>
      <c r="B5873" s="3" t="str">
        <f>IFERROR(__xludf.DUMMYFUNCTION("GOOGLETRANSLATE(A5873, ""ar"", ""bn"")"),"ভয়")</f>
        <v>ভয়</v>
      </c>
    </row>
    <row r="5874">
      <c r="A5874" s="2" t="s">
        <v>7322</v>
      </c>
      <c r="B5874" s="3" t="str">
        <f>IFERROR(__xludf.DUMMYFUNCTION("GOOGLETRANSLATE(A5874, ""ar"", ""bn"")"),"ওড়না")</f>
        <v>ওড়না</v>
      </c>
    </row>
    <row r="5875">
      <c r="A5875" s="2" t="s">
        <v>7322</v>
      </c>
      <c r="B5875" s="3" t="str">
        <f>IFERROR(__xludf.DUMMYFUNCTION("GOOGLETRANSLATE(A5875, ""ar"", ""bn"")"),"ওড়না")</f>
        <v>ওড়না</v>
      </c>
    </row>
    <row r="5876">
      <c r="A5876" s="2" t="s">
        <v>7323</v>
      </c>
      <c r="B5876" s="3" t="str">
        <f>IFERROR(__xludf.DUMMYFUNCTION("GOOGLETRANSLATE(A5876, ""ar"", ""bn"")"),"scarier")</f>
        <v>scarier</v>
      </c>
    </row>
    <row r="5877">
      <c r="A5877" s="2" t="s">
        <v>7324</v>
      </c>
      <c r="B5877" s="3" t="str">
        <f>IFERROR(__xludf.DUMMYFUNCTION("GOOGLETRANSLATE(A5877, ""ar"", ""bn"")"),"স্যাকারিয়েস্ট")</f>
        <v>স্যাকারিয়েস্ট</v>
      </c>
    </row>
    <row r="5878">
      <c r="A5878" s="2" t="s">
        <v>7325</v>
      </c>
      <c r="B5878" s="3" t="str">
        <f>IFERROR(__xludf.DUMMYFUNCTION("GOOGLETRANSLATE(A5878, ""ar"", ""bn"")"),"Scarified")</f>
        <v>Scarified</v>
      </c>
    </row>
    <row r="5879">
      <c r="A5879" s="2" t="s">
        <v>7326</v>
      </c>
      <c r="B5879" s="3" t="str">
        <f>IFERROR(__xludf.DUMMYFUNCTION("GOOGLETRANSLATE(A5879, ""ar"", ""bn"")"),"তীব্রভাবে সমালোচনা করা")</f>
        <v>তীব্রভাবে সমালোচনা করা</v>
      </c>
    </row>
    <row r="5880">
      <c r="A5880" s="2" t="s">
        <v>7327</v>
      </c>
      <c r="B5880" s="3" t="str">
        <f>IFERROR(__xludf.DUMMYFUNCTION("GOOGLETRANSLATE(A5880, ""ar"", ""bn"")"),"আঁচড়ের দাগ")</f>
        <v>আঁচড়ের দাগ</v>
      </c>
    </row>
    <row r="5881">
      <c r="A5881" s="2" t="s">
        <v>7328</v>
      </c>
      <c r="B5881" s="3" t="str">
        <f>IFERROR(__xludf.DUMMYFUNCTION("GOOGLETRANSLATE(A5881, ""ar"", ""bn"")"),"সমীপবর্তী")</f>
        <v>সমীপবর্তী</v>
      </c>
    </row>
    <row r="5882">
      <c r="A5882" s="2" t="s">
        <v>7329</v>
      </c>
      <c r="B5882" s="3" t="str">
        <f>IFERROR(__xludf.DUMMYFUNCTION("GOOGLETRANSLATE(A5882, ""ar"", ""bn"")"),"scaring")</f>
        <v>scaring</v>
      </c>
    </row>
    <row r="5883">
      <c r="A5883" s="2" t="s">
        <v>7330</v>
      </c>
      <c r="B5883" s="3" t="str">
        <f>IFERROR(__xludf.DUMMYFUNCTION("GOOGLETRANSLATE(A5883, ""ar"", ""bn"")"),"আরক্ত")</f>
        <v>আরক্ত</v>
      </c>
    </row>
    <row r="5884">
      <c r="A5884" s="2" t="s">
        <v>7331</v>
      </c>
      <c r="B5884" s="3" t="str">
        <f>IFERROR(__xludf.DUMMYFUNCTION("GOOGLETRANSLATE(A5884, ""ar"", ""bn"")"),"টক্টকে লাল")</f>
        <v>টক্টকে লাল</v>
      </c>
    </row>
    <row r="5885">
      <c r="A5885" s="2" t="s">
        <v>7332</v>
      </c>
      <c r="B5885" s="3" t="str">
        <f>IFERROR(__xludf.DUMMYFUNCTION("GOOGLETRANSLATE(A5885, ""ar"", ""bn"")"),"বন্ধুরতা")</f>
        <v>বন্ধুরতা</v>
      </c>
    </row>
    <row r="5886">
      <c r="A5886" s="2" t="s">
        <v>7333</v>
      </c>
      <c r="B5886" s="3" t="str">
        <f>IFERROR(__xludf.DUMMYFUNCTION("GOOGLETRANSLATE(A5886, ""ar"", ""bn"")"),"scars")</f>
        <v>scars</v>
      </c>
    </row>
    <row r="5887">
      <c r="A5887" s="2" t="s">
        <v>7334</v>
      </c>
      <c r="B5887" s="3" t="str">
        <f>IFERROR(__xludf.DUMMYFUNCTION("GOOGLETRANSLATE(A5887, ""ar"", ""bn"")"),"দাগ")</f>
        <v>দাগ</v>
      </c>
    </row>
    <row r="5888">
      <c r="A5888" s="2" t="s">
        <v>7333</v>
      </c>
      <c r="B5888" s="3" t="str">
        <f>IFERROR(__xludf.DUMMYFUNCTION("GOOGLETRANSLATE(A5888, ""ar"", ""bn"")"),"scars")</f>
        <v>scars</v>
      </c>
    </row>
    <row r="5889">
      <c r="A5889" s="2" t="s">
        <v>7335</v>
      </c>
      <c r="B5889" s="3" t="str">
        <f>IFERROR(__xludf.DUMMYFUNCTION("GOOGLETRANSLATE(A5889, ""ar"", ""bn"")"),"scarves")</f>
        <v>scarves</v>
      </c>
    </row>
    <row r="5890">
      <c r="A5890" s="2" t="s">
        <v>3469</v>
      </c>
      <c r="B5890" s="3" t="str">
        <f>IFERROR(__xludf.DUMMYFUNCTION("GOOGLETRANSLATE(A5890, ""ar"", ""bn"")"),"ভয়ের")</f>
        <v>ভয়ের</v>
      </c>
    </row>
    <row r="5891">
      <c r="A5891" s="2" t="s">
        <v>4522</v>
      </c>
      <c r="B5891" s="3" t="str">
        <f>IFERROR(__xludf.DUMMYFUNCTION("GOOGLETRANSLATE(A5891, ""ar"", ""bn"")"),"স্বল্পতা")</f>
        <v>স্বল্পতা</v>
      </c>
    </row>
    <row r="5892">
      <c r="A5892" s="2" t="s">
        <v>4882</v>
      </c>
      <c r="B5892" s="3" t="str">
        <f>IFERROR(__xludf.DUMMYFUNCTION("GOOGLETRANSLATE(A5892, ""ar"", ""bn"")"),"আতঙ্ক")</f>
        <v>আতঙ্ক</v>
      </c>
    </row>
    <row r="5893">
      <c r="A5893" s="2" t="s">
        <v>7318</v>
      </c>
      <c r="B5893" s="3" t="str">
        <f>IFERROR(__xludf.DUMMYFUNCTION("GOOGLETRANSLATE(A5893, ""ar"", ""bn"")"),"কাকতাড়ুয়া")</f>
        <v>কাকতাড়ুয়া</v>
      </c>
    </row>
    <row r="5894">
      <c r="A5894" s="2" t="s">
        <v>7319</v>
      </c>
      <c r="B5894" s="3" t="str">
        <f>IFERROR(__xludf.DUMMYFUNCTION("GOOGLETRANSLATE(A5894, ""ar"", ""bn"")"),"কাকতাড়ুয়া")</f>
        <v>কাকতাড়ুয়া</v>
      </c>
    </row>
    <row r="5895">
      <c r="A5895" s="2" t="s">
        <v>7320</v>
      </c>
      <c r="B5895" s="3" t="str">
        <f>IFERROR(__xludf.DUMMYFUNCTION("GOOGLETRANSLATE(A5895, ""ar"", ""bn"")"),"ভীত")</f>
        <v>ভীত</v>
      </c>
    </row>
    <row r="5896">
      <c r="A5896" s="2" t="s">
        <v>3469</v>
      </c>
      <c r="B5896" s="3" t="str">
        <f>IFERROR(__xludf.DUMMYFUNCTION("GOOGLETRANSLATE(A5896, ""ar"", ""bn"")"),"ভয়ের")</f>
        <v>ভয়ের</v>
      </c>
    </row>
    <row r="5897">
      <c r="A5897" s="2" t="s">
        <v>7321</v>
      </c>
      <c r="B5897" s="3" t="str">
        <f>IFERROR(__xludf.DUMMYFUNCTION("GOOGLETRANSLATE(A5897, ""ar"", ""bn"")"),"আতঙ্ক")</f>
        <v>আতঙ্ক</v>
      </c>
    </row>
    <row r="5898">
      <c r="A5898" s="2" t="s">
        <v>3328</v>
      </c>
      <c r="B5898" s="3" t="str">
        <f>IFERROR(__xludf.DUMMYFUNCTION("GOOGLETRANSLATE(A5898, ""ar"", ""bn"")"),"ভয়")</f>
        <v>ভয়</v>
      </c>
    </row>
    <row r="5899">
      <c r="A5899" s="2" t="s">
        <v>3469</v>
      </c>
      <c r="B5899" s="3" t="str">
        <f>IFERROR(__xludf.DUMMYFUNCTION("GOOGLETRANSLATE(A5899, ""ar"", ""bn"")"),"ভয়ের")</f>
        <v>ভয়ের</v>
      </c>
    </row>
    <row r="5900">
      <c r="A5900" s="2" t="s">
        <v>7321</v>
      </c>
      <c r="B5900" s="3" t="str">
        <f>IFERROR(__xludf.DUMMYFUNCTION("GOOGLETRANSLATE(A5900, ""ar"", ""bn"")"),"আতঙ্ক")</f>
        <v>আতঙ্ক</v>
      </c>
    </row>
    <row r="5901">
      <c r="A5901" s="2" t="s">
        <v>7324</v>
      </c>
      <c r="B5901" s="3" t="str">
        <f>IFERROR(__xludf.DUMMYFUNCTION("GOOGLETRANSLATE(A5901, ""ar"", ""bn"")"),"স্যাকারিয়েস্ট")</f>
        <v>স্যাকারিয়েস্ট</v>
      </c>
    </row>
    <row r="5902">
      <c r="A5902" s="2" t="s">
        <v>7329</v>
      </c>
      <c r="B5902" s="3" t="str">
        <f>IFERROR(__xludf.DUMMYFUNCTION("GOOGLETRANSLATE(A5902, ""ar"", ""bn"")"),"scaring")</f>
        <v>scaring</v>
      </c>
    </row>
    <row r="5903">
      <c r="A5903" s="2" t="s">
        <v>3469</v>
      </c>
      <c r="B5903" s="3" t="str">
        <f>IFERROR(__xludf.DUMMYFUNCTION("GOOGLETRANSLATE(A5903, ""ar"", ""bn"")"),"ভয়ের")</f>
        <v>ভয়ের</v>
      </c>
    </row>
    <row r="5904">
      <c r="A5904" s="2" t="s">
        <v>7336</v>
      </c>
      <c r="B5904" s="3" t="str">
        <f>IFERROR(__xludf.DUMMYFUNCTION("GOOGLETRANSLATE(A5904, ""ar"", ""bn"")"),"সন্দেহবাদী")</f>
        <v>সন্দেহবাদী</v>
      </c>
    </row>
    <row r="5905">
      <c r="A5905" s="2" t="s">
        <v>7337</v>
      </c>
      <c r="B5905" s="3" t="str">
        <f>IFERROR(__xludf.DUMMYFUNCTION("GOOGLETRANSLATE(A5905, ""ar"", ""bn"")"),"সন্দেহপ্রবণ")</f>
        <v>সন্দেহপ্রবণ</v>
      </c>
    </row>
    <row r="5906">
      <c r="A5906" s="2" t="s">
        <v>7338</v>
      </c>
      <c r="B5906" s="3" t="str">
        <f>IFERROR(__xludf.DUMMYFUNCTION("GOOGLETRANSLATE(A5906, ""ar"", ""bn"")"),"Sceptically")</f>
        <v>Sceptically</v>
      </c>
    </row>
    <row r="5907">
      <c r="A5907" s="2" t="s">
        <v>4987</v>
      </c>
      <c r="B5907" s="3" t="str">
        <f>IFERROR(__xludf.DUMMYFUNCTION("GOOGLETRANSLATE(A5907, ""ar"", ""bn"")"),"সন্দেহ")</f>
        <v>সন্দেহ</v>
      </c>
    </row>
    <row r="5908">
      <c r="A5908" s="2" t="s">
        <v>7339</v>
      </c>
      <c r="B5908" s="3" t="str">
        <f>IFERROR(__xludf.DUMMYFUNCTION("GOOGLETRANSLATE(A5908, ""ar"", ""bn"")"),"সংশয়বাদীরা")</f>
        <v>সংশয়বাদীরা</v>
      </c>
    </row>
    <row r="5909">
      <c r="A5909" s="2" t="s">
        <v>7340</v>
      </c>
      <c r="B5909" s="3" t="str">
        <f>IFERROR(__xludf.DUMMYFUNCTION("GOOGLETRANSLATE(A5909, ""ar"", ""bn"")"),"অবহেলা করবে")</f>
        <v>অবহেলা করবে</v>
      </c>
    </row>
    <row r="5910">
      <c r="A5910" s="2" t="s">
        <v>7341</v>
      </c>
      <c r="B5910" s="3" t="str">
        <f>IFERROR(__xludf.DUMMYFUNCTION("GOOGLETRANSLATE(A5910, ""ar"", ""bn"")"),"উপহসিত")</f>
        <v>উপহসিত</v>
      </c>
    </row>
    <row r="5911">
      <c r="A5911" s="2" t="s">
        <v>4618</v>
      </c>
      <c r="B5911" s="3" t="str">
        <f>IFERROR(__xludf.DUMMYFUNCTION("GOOGLETRANSLATE(A5911, ""ar"", ""bn"")"),"ঠাট্টা")</f>
        <v>ঠাট্টা</v>
      </c>
    </row>
    <row r="5912">
      <c r="A5912" s="2" t="s">
        <v>7342</v>
      </c>
      <c r="B5912" s="3" t="str">
        <f>IFERROR(__xludf.DUMMYFUNCTION("GOOGLETRANSLATE(A5912, ""ar"", ""bn"")"),"তিরস্কার করা")</f>
        <v>তিরস্কার করা</v>
      </c>
    </row>
    <row r="5913">
      <c r="A5913" s="2" t="s">
        <v>3980</v>
      </c>
      <c r="B5913" s="3" t="str">
        <f>IFERROR(__xludf.DUMMYFUNCTION("GOOGLETRANSLATE(A5913, ""ar"", ""bn"")"),"টুকা")</f>
        <v>টুকা</v>
      </c>
    </row>
    <row r="5914">
      <c r="A5914" s="2" t="s">
        <v>7343</v>
      </c>
      <c r="B5914" s="3" t="str">
        <f>IFERROR(__xludf.DUMMYFUNCTION("GOOGLETRANSLATE(A5914, ""ar"", ""bn"")"),"Scolder")</f>
        <v>Scolder</v>
      </c>
    </row>
    <row r="5915">
      <c r="A5915" s="2" t="s">
        <v>3944</v>
      </c>
      <c r="B5915" s="3" t="str">
        <f>IFERROR(__xludf.DUMMYFUNCTION("GOOGLETRANSLATE(A5915, ""ar"", ""bn"")"),"তীব্র তিরস্কার")</f>
        <v>তীব্র তিরস্কার</v>
      </c>
    </row>
    <row r="5916">
      <c r="A5916" s="2" t="s">
        <v>7344</v>
      </c>
      <c r="B5916" s="3" t="str">
        <f>IFERROR(__xludf.DUMMYFUNCTION("GOOGLETRANSLATE(A5916, ""ar"", ""bn"")"),"scolds")</f>
        <v>scolds</v>
      </c>
    </row>
    <row r="5917">
      <c r="A5917" s="2" t="s">
        <v>7345</v>
      </c>
      <c r="B5917" s="3" t="str">
        <f>IFERROR(__xludf.DUMMYFUNCTION("GOOGLETRANSLATE(A5917, ""ar"", ""bn"")"),"দু: সহ তাপ")</f>
        <v>দু: সহ তাপ</v>
      </c>
    </row>
    <row r="5918">
      <c r="A5918" s="2" t="s">
        <v>7346</v>
      </c>
      <c r="B5918" s="3" t="str">
        <f>IFERROR(__xludf.DUMMYFUNCTION("GOOGLETRANSLATE(A5918, ""ar"", ""bn"")"),"পোড়া")</f>
        <v>পোড়া</v>
      </c>
    </row>
    <row r="5919">
      <c r="A5919" s="2" t="s">
        <v>7347</v>
      </c>
      <c r="B5919" s="3" t="str">
        <f>IFERROR(__xludf.DUMMYFUNCTION("GOOGLETRANSLATE(A5919, ""ar"", ""bn"")"),"গরম দিন")</f>
        <v>গরম দিন</v>
      </c>
    </row>
    <row r="5920">
      <c r="A5920" s="2" t="s">
        <v>7348</v>
      </c>
      <c r="B5920" s="3" t="str">
        <f>IFERROR(__xludf.DUMMYFUNCTION("GOOGLETRANSLATE(A5920, ""ar"", ""bn"")"),"Scorches")</f>
        <v>Scorches</v>
      </c>
    </row>
    <row r="5921">
      <c r="A5921" s="2" t="s">
        <v>3885</v>
      </c>
      <c r="B5921" s="3" t="str">
        <f>IFERROR(__xludf.DUMMYFUNCTION("GOOGLETRANSLATE(A5921, ""ar"", ""bn"")"),"দহনকারী")</f>
        <v>দহনকারী</v>
      </c>
    </row>
    <row r="5922">
      <c r="A5922" s="2" t="s">
        <v>4619</v>
      </c>
      <c r="B5922" s="3" t="str">
        <f>IFERROR(__xludf.DUMMYFUNCTION("GOOGLETRANSLATE(A5922, ""ar"", ""bn"")"),"উপহাস")</f>
        <v>উপহাস</v>
      </c>
    </row>
    <row r="5923">
      <c r="A5923" s="2" t="s">
        <v>7349</v>
      </c>
      <c r="B5923" s="3" t="str">
        <f>IFERROR(__xludf.DUMMYFUNCTION("GOOGLETRANSLATE(A5923, ""ar"", ""bn"")"),"তুচ্ছ")</f>
        <v>তুচ্ছ</v>
      </c>
    </row>
    <row r="5924">
      <c r="A5924" s="2" t="s">
        <v>7350</v>
      </c>
      <c r="B5924" s="3" t="str">
        <f>IFERROR(__xludf.DUMMYFUNCTION("GOOGLETRANSLATE(A5924, ""ar"", ""bn"")"),"ঘৃণাপূর্ণ")</f>
        <v>ঘৃণাপূর্ণ</v>
      </c>
    </row>
    <row r="5925">
      <c r="A5925" s="2" t="s">
        <v>7351</v>
      </c>
      <c r="B5925" s="3" t="str">
        <f>IFERROR(__xludf.DUMMYFUNCTION("GOOGLETRANSLATE(A5925, ""ar"", ""bn"")"),"ঘৃণাপূর্ণভাবে")</f>
        <v>ঘৃণাপূর্ণভাবে</v>
      </c>
    </row>
    <row r="5926">
      <c r="A5926" s="2" t="s">
        <v>7352</v>
      </c>
      <c r="B5926" s="3" t="str">
        <f>IFERROR(__xludf.DUMMYFUNCTION("GOOGLETRANSLATE(A5926, ""ar"", ""bn"")"),"Contempts")</f>
        <v>Contempts</v>
      </c>
    </row>
    <row r="5927">
      <c r="A5927" s="2" t="s">
        <v>7353</v>
      </c>
      <c r="B5927" s="3" t="str">
        <f>IFERROR(__xludf.DUMMYFUNCTION("GOOGLETRANSLATE(A5927, ""ar"", ""bn"")"),"ছদ্মবেশ")</f>
        <v>ছদ্মবেশ</v>
      </c>
    </row>
    <row r="5928">
      <c r="A5928" s="2" t="s">
        <v>7006</v>
      </c>
      <c r="B5928" s="3" t="str">
        <f>IFERROR(__xludf.DUMMYFUNCTION("GOOGLETRANSLATE(A5928, ""ar"", ""bn"")"),"দুর্জন")</f>
        <v>দুর্জন</v>
      </c>
    </row>
    <row r="5929">
      <c r="A5929" s="2" t="s">
        <v>7008</v>
      </c>
      <c r="B5929" s="3" t="str">
        <f>IFERROR(__xludf.DUMMYFUNCTION("GOOGLETRANSLATE(A5929, ""ar"", ""bn"")"),"ভিলেন")</f>
        <v>ভিলেন</v>
      </c>
    </row>
    <row r="5930">
      <c r="A5930" s="2" t="s">
        <v>6854</v>
      </c>
      <c r="B5930" s="3" t="str">
        <f>IFERROR(__xludf.DUMMYFUNCTION("GOOGLETRANSLATE(A5930, ""ar"", ""bn"")"),"চোখ রাঙ্গান")</f>
        <v>চোখ রাঙ্গান</v>
      </c>
    </row>
    <row r="5931">
      <c r="A5931" s="2" t="s">
        <v>7354</v>
      </c>
      <c r="B5931" s="3" t="str">
        <f>IFERROR(__xludf.DUMMYFUNCTION("GOOGLETRANSLATE(A5931, ""ar"", ""bn"")"),"soled")</f>
        <v>soled</v>
      </c>
    </row>
    <row r="5932">
      <c r="A5932" s="2" t="s">
        <v>5483</v>
      </c>
      <c r="B5932" s="3" t="str">
        <f>IFERROR(__xludf.DUMMYFUNCTION("GOOGLETRANSLATE(A5932, ""ar"", ""bn"")"),"frowning")</f>
        <v>frowning</v>
      </c>
    </row>
    <row r="5933">
      <c r="A5933" s="2" t="s">
        <v>6856</v>
      </c>
      <c r="B5933" s="3" t="str">
        <f>IFERROR(__xludf.DUMMYFUNCTION("GOOGLETRANSLATE(A5933, ""ar"", ""bn"")"),"বিস্ফুরিত")</f>
        <v>বিস্ফুরিত</v>
      </c>
    </row>
    <row r="5934">
      <c r="A5934" s="2" t="s">
        <v>3192</v>
      </c>
      <c r="B5934" s="3" t="str">
        <f>IFERROR(__xludf.DUMMYFUNCTION("GOOGLETRANSLATE(A5934, ""ar"", ""bn"")"),"গেরো")</f>
        <v>গেরো</v>
      </c>
    </row>
    <row r="5935">
      <c r="A5935" s="2" t="s">
        <v>3192</v>
      </c>
      <c r="B5935" s="3" t="str">
        <f>IFERROR(__xludf.DUMMYFUNCTION("GOOGLETRANSLATE(A5935, ""ar"", ""bn"")"),"গেরো")</f>
        <v>গেরো</v>
      </c>
    </row>
    <row r="5936">
      <c r="A5936" s="2" t="s">
        <v>7355</v>
      </c>
      <c r="B5936" s="3" t="str">
        <f>IFERROR(__xludf.DUMMYFUNCTION("GOOGLETRANSLATE(A5936, ""ar"", ""bn"")"),"চাঁছনি")</f>
        <v>চাঁছনি</v>
      </c>
    </row>
    <row r="5937">
      <c r="A5937" s="2" t="s">
        <v>7356</v>
      </c>
      <c r="B5937" s="3" t="str">
        <f>IFERROR(__xludf.DUMMYFUNCTION("GOOGLETRANSLATE(A5937, ""ar"", ""bn"")"),"scrapers")</f>
        <v>scrapers</v>
      </c>
    </row>
    <row r="5938">
      <c r="A5938" s="2" t="s">
        <v>7357</v>
      </c>
      <c r="B5938" s="3" t="str">
        <f>IFERROR(__xludf.DUMMYFUNCTION("GOOGLETRANSLATE(A5938, ""ar"", ""bn"")"),"scrapes")</f>
        <v>scrapes</v>
      </c>
    </row>
    <row r="5939">
      <c r="A5939" s="2" t="s">
        <v>4351</v>
      </c>
      <c r="B5939" s="3" t="str">
        <f>IFERROR(__xludf.DUMMYFUNCTION("GOOGLETRANSLATE(A5939, ""ar"", ""bn"")"),"কান্না")</f>
        <v>কান্না</v>
      </c>
    </row>
    <row r="5940">
      <c r="A5940" s="2" t="s">
        <v>7358</v>
      </c>
      <c r="B5940" s="3" t="str">
        <f>IFERROR(__xludf.DUMMYFUNCTION("GOOGLETRANSLATE(A5940, ""ar"", ""bn"")"),"চিৎকার")</f>
        <v>চিৎকার</v>
      </c>
    </row>
    <row r="5941">
      <c r="A5941" s="2" t="s">
        <v>7359</v>
      </c>
      <c r="B5941" s="3" t="str">
        <f>IFERROR(__xludf.DUMMYFUNCTION("GOOGLETRANSLATE(A5941, ""ar"", ""bn"")"),"আর্তনাদকারী")</f>
        <v>আর্তনাদকারী</v>
      </c>
    </row>
    <row r="5942">
      <c r="A5942" s="2" t="s">
        <v>7360</v>
      </c>
      <c r="B5942" s="3" t="str">
        <f>IFERROR(__xludf.DUMMYFUNCTION("GOOGLETRANSLATE(A5942, ""ar"", ""bn"")"),"Alsarkhoun")</f>
        <v>Alsarkhoun</v>
      </c>
    </row>
    <row r="5943">
      <c r="A5943" s="2" t="s">
        <v>7361</v>
      </c>
      <c r="B5943" s="3" t="str">
        <f>IFERROR(__xludf.DUMMYFUNCTION("GOOGLETRANSLATE(A5943, ""ar"", ""bn"")"),"চিত্কার")</f>
        <v>চিত্কার</v>
      </c>
    </row>
    <row r="5944">
      <c r="A5944" s="2" t="s">
        <v>3671</v>
      </c>
      <c r="B5944" s="3" t="str">
        <f>IFERROR(__xludf.DUMMYFUNCTION("GOOGLETRANSLATE(A5944, ""ar"", ""bn"")"),"স্থূল")</f>
        <v>স্থূল</v>
      </c>
    </row>
    <row r="5945">
      <c r="A5945" s="2" t="s">
        <v>4271</v>
      </c>
      <c r="B5945" s="3" t="str">
        <f>IFERROR(__xludf.DUMMYFUNCTION("GOOGLETRANSLATE(A5945, ""ar"", ""bn"")"),"চিৎকার")</f>
        <v>চিৎকার</v>
      </c>
    </row>
    <row r="5946">
      <c r="A5946" s="2" t="s">
        <v>7362</v>
      </c>
      <c r="B5946" s="3" t="str">
        <f>IFERROR(__xludf.DUMMYFUNCTION("GOOGLETRANSLATE(A5946, ""ar"", ""bn"")"),"চিৎকার")</f>
        <v>চিৎকার</v>
      </c>
    </row>
    <row r="5947">
      <c r="A5947" s="2" t="s">
        <v>7363</v>
      </c>
      <c r="B5947" s="3" t="str">
        <f>IFERROR(__xludf.DUMMYFUNCTION("GOOGLETRANSLATE(A5947, ""ar"", ""bn"")"),"ধীরে ধীরে")</f>
        <v>ধীরে ধীরে</v>
      </c>
    </row>
    <row r="5948">
      <c r="A5948" s="2" t="s">
        <v>7362</v>
      </c>
      <c r="B5948" s="3" t="str">
        <f>IFERROR(__xludf.DUMMYFUNCTION("GOOGLETRANSLATE(A5948, ""ar"", ""bn"")"),"চিৎকার")</f>
        <v>চিৎকার</v>
      </c>
    </row>
    <row r="5949">
      <c r="A5949" s="2" t="s">
        <v>7364</v>
      </c>
      <c r="B5949" s="3" t="str">
        <f>IFERROR(__xludf.DUMMYFUNCTION("GOOGLETRANSLATE(A5949, ""ar"", ""bn"")"),"চিত্কার")</f>
        <v>চিত্কার</v>
      </c>
    </row>
    <row r="5950">
      <c r="A5950" s="2" t="s">
        <v>7365</v>
      </c>
      <c r="B5950" s="3" t="str">
        <f>IFERROR(__xludf.DUMMYFUNCTION("GOOGLETRANSLATE(A5950, ""ar"", ""bn"")"),"আবেদন")</f>
        <v>আবেদন</v>
      </c>
    </row>
    <row r="5951">
      <c r="A5951" s="2" t="s">
        <v>3776</v>
      </c>
      <c r="B5951" s="3" t="str">
        <f>IFERROR(__xludf.DUMMYFUNCTION("GOOGLETRANSLATE(A5951, ""ar"", ""bn"")"),"ঝগড়া")</f>
        <v>ঝগড়া</v>
      </c>
    </row>
    <row r="5952">
      <c r="A5952" s="2" t="s">
        <v>4006</v>
      </c>
      <c r="B5952" s="3" t="str">
        <f>IFERROR(__xludf.DUMMYFUNCTION("GOOGLETRANSLATE(A5952, ""ar"", ""bn"")"),"সংঘর্ষ")</f>
        <v>সংঘর্ষ</v>
      </c>
    </row>
    <row r="5953">
      <c r="A5953" s="2" t="s">
        <v>7366</v>
      </c>
      <c r="B5953" s="3" t="str">
        <f>IFERROR(__xludf.DUMMYFUNCTION("GOOGLETRANSLATE(A5953, ""ar"", ""bn"")"),"brawls")</f>
        <v>brawls</v>
      </c>
    </row>
    <row r="5954">
      <c r="A5954" s="2" t="s">
        <v>7367</v>
      </c>
      <c r="B5954" s="3" t="str">
        <f>IFERROR(__xludf.DUMMYFUNCTION("GOOGLETRANSLATE(A5954, ""ar"", ""bn"")"),"গাদ")</f>
        <v>গাদ</v>
      </c>
    </row>
    <row r="5955">
      <c r="A5955" s="2" t="s">
        <v>7368</v>
      </c>
      <c r="B5955" s="3" t="str">
        <f>IFERROR(__xludf.DUMMYFUNCTION("GOOGLETRANSLATE(A5955, ""ar"", ""bn"")"),"বিচ্ছেদ")</f>
        <v>বিচ্ছেদ</v>
      </c>
    </row>
    <row r="5956">
      <c r="A5956" s="2" t="s">
        <v>7369</v>
      </c>
      <c r="B5956" s="3" t="str">
        <f>IFERROR(__xludf.DUMMYFUNCTION("GOOGLETRANSLATE(A5956, ""ar"", ""bn"")"),"বিভক্ত")</f>
        <v>বিভক্ত</v>
      </c>
    </row>
    <row r="5957">
      <c r="A5957" s="2" t="s">
        <v>7370</v>
      </c>
      <c r="B5957" s="3" t="str">
        <f>IFERROR(__xludf.DUMMYFUNCTION("GOOGLETRANSLATE(A5957, ""ar"", ""bn"")"),"বিচ্ছিন্ন")</f>
        <v>বিচ্ছিন্ন</v>
      </c>
    </row>
    <row r="5958">
      <c r="A5958" s="2" t="s">
        <v>4647</v>
      </c>
      <c r="B5958" s="3" t="str">
        <f>IFERROR(__xludf.DUMMYFUNCTION("GOOGLETRANSLATE(A5958, ""ar"", ""bn"")"),"বিচ্ছেদ")</f>
        <v>বিচ্ছেদ</v>
      </c>
    </row>
    <row r="5959">
      <c r="A5959" s="2" t="s">
        <v>2272</v>
      </c>
      <c r="B5959" s="3" t="str">
        <f>IFERROR(__xludf.DUMMYFUNCTION("GOOGLETRANSLATE(A5959, ""ar"", ""bn"")"),"বিচ্ছিন্নতাবাদী")</f>
        <v>বিচ্ছিন্নতাবাদী</v>
      </c>
    </row>
    <row r="5960">
      <c r="A5960" s="2" t="s">
        <v>7371</v>
      </c>
      <c r="B5960" s="3" t="str">
        <f>IFERROR(__xludf.DUMMYFUNCTION("GOOGLETRANSLATE(A5960, ""ar"", ""bn"")"),"বিচ্ছিন্নতাবাদীরা")</f>
        <v>বিচ্ছিন্নতাবাদীরা</v>
      </c>
    </row>
    <row r="5961">
      <c r="A5961" s="2" t="s">
        <v>4506</v>
      </c>
      <c r="B5961" s="3" t="str">
        <f>IFERROR(__xludf.DUMMYFUNCTION("GOOGLETRANSLATE(A5961, ""ar"", ""bn"")"),"splits")</f>
        <v>splits</v>
      </c>
    </row>
    <row r="5962">
      <c r="A5962" s="2" t="s">
        <v>7372</v>
      </c>
      <c r="B5962" s="3" t="str">
        <f>IFERROR(__xludf.DUMMYFUNCTION("GOOGLETRANSLATE(A5962, ""ar"", ""bn"")"),"নির্জনতা")</f>
        <v>নির্জনতা</v>
      </c>
    </row>
    <row r="5963">
      <c r="A5963" s="2" t="s">
        <v>7373</v>
      </c>
      <c r="B5963" s="3" t="str">
        <f>IFERROR(__xludf.DUMMYFUNCTION("GOOGLETRANSLATE(A5963, ""ar"", ""bn"")"),"গোপন")</f>
        <v>গোপন</v>
      </c>
    </row>
    <row r="5964">
      <c r="A5964" s="2" t="s">
        <v>7374</v>
      </c>
      <c r="B5964" s="3" t="str">
        <f>IFERROR(__xludf.DUMMYFUNCTION("GOOGLETRANSLATE(A5964, ""ar"", ""bn"")"),"সম্পাদক")</f>
        <v>সম্পাদক</v>
      </c>
    </row>
    <row r="5965">
      <c r="A5965" s="2" t="s">
        <v>7375</v>
      </c>
      <c r="B5965" s="3" t="str">
        <f>IFERROR(__xludf.DUMMYFUNCTION("GOOGLETRANSLATE(A5965, ""ar"", ""bn"")"),"দপ্তর")</f>
        <v>দপ্তর</v>
      </c>
    </row>
    <row r="5966">
      <c r="A5966" s="2" t="s">
        <v>7376</v>
      </c>
      <c r="B5966" s="3" t="str">
        <f>IFERROR(__xludf.DUMMYFUNCTION("GOOGLETRANSLATE(A5966, ""ar"", ""bn"")"),"নিরাপদ আমানত")</f>
        <v>নিরাপদ আমানত</v>
      </c>
    </row>
    <row r="5967">
      <c r="A5967" s="2" t="s">
        <v>7377</v>
      </c>
      <c r="B5967" s="3" t="str">
        <f>IFERROR(__xludf.DUMMYFUNCTION("GOOGLETRANSLATE(A5967, ""ar"", ""bn"")"),"ট্রাস্টি")</f>
        <v>ট্রাস্টি</v>
      </c>
    </row>
    <row r="5968">
      <c r="A5968" s="2" t="s">
        <v>7378</v>
      </c>
      <c r="B5968" s="3" t="str">
        <f>IFERROR(__xludf.DUMMYFUNCTION("GOOGLETRANSLATE(A5968, ""ar"", ""bn"")"),"বিশ্বস্ত")</f>
        <v>বিশ্বস্ত</v>
      </c>
    </row>
    <row r="5969">
      <c r="A5969" s="2" t="s">
        <v>7375</v>
      </c>
      <c r="B5969" s="3" t="str">
        <f>IFERROR(__xludf.DUMMYFUNCTION("GOOGLETRANSLATE(A5969, ""ar"", ""bn"")"),"দপ্তর")</f>
        <v>দপ্তর</v>
      </c>
    </row>
    <row r="5970">
      <c r="A5970" s="2" t="s">
        <v>7379</v>
      </c>
      <c r="B5970" s="3" t="str">
        <f>IFERROR(__xludf.DUMMYFUNCTION("GOOGLETRANSLATE(A5970, ""ar"", ""bn"")"),"নিষ্কাশিত")</f>
        <v>নিষ্কাশিত</v>
      </c>
    </row>
    <row r="5971">
      <c r="A5971" s="2" t="s">
        <v>7380</v>
      </c>
      <c r="B5971" s="3" t="str">
        <f>IFERROR(__xludf.DUMMYFUNCTION("GOOGLETRANSLATE(A5971, ""ar"", ""bn"")"),"নিঃসৃত")</f>
        <v>নিঃসৃত</v>
      </c>
    </row>
    <row r="5972">
      <c r="A5972" s="2" t="s">
        <v>4105</v>
      </c>
      <c r="B5972" s="3" t="str">
        <f>IFERROR(__xludf.DUMMYFUNCTION("GOOGLETRANSLATE(A5972, ""ar"", ""bn"")"),"লুকান")</f>
        <v>লুকান</v>
      </c>
    </row>
    <row r="5973">
      <c r="A5973" s="2" t="s">
        <v>7381</v>
      </c>
      <c r="B5973" s="3" t="str">
        <f>IFERROR(__xludf.DUMMYFUNCTION("GOOGLETRANSLATE(A5973, ""ar"", ""bn"")"),"লুকাইয়া রাখা বস্তু")</f>
        <v>লুকাইয়া রাখা বস্তু</v>
      </c>
    </row>
    <row r="5974">
      <c r="A5974" s="2" t="s">
        <v>7381</v>
      </c>
      <c r="B5974" s="3" t="str">
        <f>IFERROR(__xludf.DUMMYFUNCTION("GOOGLETRANSLATE(A5974, ""ar"", ""bn"")"),"লুকাইয়া রাখা বস্তু")</f>
        <v>লুকাইয়া রাখা বস্তু</v>
      </c>
    </row>
    <row r="5975">
      <c r="A5975" s="2" t="s">
        <v>7382</v>
      </c>
      <c r="B5975" s="3" t="str">
        <f>IFERROR(__xludf.DUMMYFUNCTION("GOOGLETRANSLATE(A5975, ""ar"", ""bn"")"),"secretions")</f>
        <v>secretions</v>
      </c>
    </row>
    <row r="5976">
      <c r="A5976" s="2" t="s">
        <v>7383</v>
      </c>
      <c r="B5976" s="3" t="str">
        <f>IFERROR(__xludf.DUMMYFUNCTION("GOOGLETRANSLATE(A5976, ""ar"", ""bn"")"),"গোপনতাপূর্ণ")</f>
        <v>গোপনতাপূর্ণ</v>
      </c>
    </row>
    <row r="5977">
      <c r="A5977" s="2" t="s">
        <v>7384</v>
      </c>
      <c r="B5977" s="3" t="str">
        <f>IFERROR(__xludf.DUMMYFUNCTION("GOOGLETRANSLATE(A5977, ""ar"", ""bn"")"),"গোপনীয়তা")</f>
        <v>গোপনীয়তা</v>
      </c>
    </row>
    <row r="5978">
      <c r="A5978" s="2" t="s">
        <v>7385</v>
      </c>
      <c r="B5978" s="3" t="str">
        <f>IFERROR(__xludf.DUMMYFUNCTION("GOOGLETRANSLATE(A5978, ""ar"", ""bn"")"),"গোপনীয়তা")</f>
        <v>গোপনীয়তা</v>
      </c>
    </row>
    <row r="5979">
      <c r="A5979" s="2" t="s">
        <v>7386</v>
      </c>
      <c r="B5979" s="3" t="str">
        <f>IFERROR(__xludf.DUMMYFUNCTION("GOOGLETRANSLATE(A5979, ""ar"", ""bn"")"),"গোপনে")</f>
        <v>গোপনে</v>
      </c>
    </row>
    <row r="5980">
      <c r="A5980" s="2" t="s">
        <v>7387</v>
      </c>
      <c r="B5980" s="3" t="str">
        <f>IFERROR(__xludf.DUMMYFUNCTION("GOOGLETRANSLATE(A5980, ""ar"", ""bn"")"),"ক্ষরিত")</f>
        <v>ক্ষরিত</v>
      </c>
    </row>
    <row r="5981">
      <c r="A5981" s="2" t="s">
        <v>7388</v>
      </c>
      <c r="B5981" s="3" t="str">
        <f>IFERROR(__xludf.DUMMYFUNCTION("GOOGLETRANSLATE(A5981, ""ar"", ""bn"")"),"অন্ধিসন্ধি")</f>
        <v>অন্ধিসন্ধি</v>
      </c>
    </row>
    <row r="5982">
      <c r="A5982" s="2" t="s">
        <v>7389</v>
      </c>
      <c r="B5982" s="3" t="str">
        <f>IFERROR(__xludf.DUMMYFUNCTION("GOOGLETRANSLATE(A5982, ""ar"", ""bn"")"),"স্থিতিশীল")</f>
        <v>স্থিতিশীল</v>
      </c>
    </row>
    <row r="5983">
      <c r="A5983" s="2" t="s">
        <v>7390</v>
      </c>
      <c r="B5983" s="3" t="str">
        <f>IFERROR(__xludf.DUMMYFUNCTION("GOOGLETRANSLATE(A5983, ""ar"", ""bn"")"),"উত্ক্ষেপ")</f>
        <v>উত্ক্ষেপ</v>
      </c>
    </row>
    <row r="5984">
      <c r="A5984" s="2" t="s">
        <v>7391</v>
      </c>
      <c r="B5984" s="3" t="str">
        <f>IFERROR(__xludf.DUMMYFUNCTION("GOOGLETRANSLATE(A5984, ""ar"", ""bn"")"),"ফেটে পড়েছিল")</f>
        <v>ফেটে পড়েছিল</v>
      </c>
    </row>
    <row r="5985">
      <c r="A5985" s="2" t="s">
        <v>7392</v>
      </c>
      <c r="B5985" s="3" t="str">
        <f>IFERROR(__xludf.DUMMYFUNCTION("GOOGLETRANSLATE(A5985, ""ar"", ""bn"")"),"ফুটান")</f>
        <v>ফুটান</v>
      </c>
    </row>
    <row r="5986">
      <c r="A5986" s="2" t="s">
        <v>7393</v>
      </c>
      <c r="B5986" s="3" t="str">
        <f>IFERROR(__xludf.DUMMYFUNCTION("GOOGLETRANSLATE(A5986, ""ar"", ""bn"")"),"ফুটান")</f>
        <v>ফুটান</v>
      </c>
    </row>
    <row r="5987">
      <c r="A5987" s="2" t="s">
        <v>7394</v>
      </c>
      <c r="B5987" s="3" t="str">
        <f>IFERROR(__xludf.DUMMYFUNCTION("GOOGLETRANSLATE(A5987, ""ar"", ""bn"")"),"মৌসম")</f>
        <v>মৌসম</v>
      </c>
    </row>
    <row r="5988">
      <c r="A5988" s="2" t="s">
        <v>4649</v>
      </c>
      <c r="B5988" s="3" t="str">
        <f>IFERROR(__xludf.DUMMYFUNCTION("GOOGLETRANSLATE(A5988, ""ar"", ""bn"")"),"সংরক্ষণ")</f>
        <v>সংরক্ষণ</v>
      </c>
    </row>
    <row r="5989">
      <c r="A5989" s="2" t="s">
        <v>7395</v>
      </c>
      <c r="B5989" s="3" t="str">
        <f>IFERROR(__xludf.DUMMYFUNCTION("GOOGLETRANSLATE(A5989, ""ar"", ""bn"")"),"গ্রস্ত")</f>
        <v>গ্রস্ত</v>
      </c>
    </row>
    <row r="5990">
      <c r="A5990" s="2" t="s">
        <v>7396</v>
      </c>
      <c r="B5990" s="3" t="str">
        <f>IFERROR(__xludf.DUMMYFUNCTION("GOOGLETRANSLATE(A5990, ""ar"", ""bn"")"),"সিজার বিশ্ব")</f>
        <v>সিজার বিশ্ব</v>
      </c>
    </row>
    <row r="5991">
      <c r="A5991" s="2" t="s">
        <v>7397</v>
      </c>
      <c r="B5991" s="3" t="str">
        <f>IFERROR(__xludf.DUMMYFUNCTION("GOOGLETRANSLATE(A5991, ""ar"", ""bn"")"),"আটক")</f>
        <v>আটক</v>
      </c>
    </row>
    <row r="5992">
      <c r="A5992" s="2" t="s">
        <v>5089</v>
      </c>
      <c r="B5992" s="3" t="str">
        <f>IFERROR(__xludf.DUMMYFUNCTION("GOOGLETRANSLATE(A5992, ""ar"", ""bn"")"),"স্বার্থপর")</f>
        <v>স্বার্থপর</v>
      </c>
    </row>
    <row r="5993">
      <c r="A5993" s="2" t="s">
        <v>7398</v>
      </c>
      <c r="B5993" s="3" t="str">
        <f>IFERROR(__xludf.DUMMYFUNCTION("GOOGLETRANSLATE(A5993, ""ar"", ""bn"")"),"স্বার্থপরের মতো")</f>
        <v>স্বার্থপরের মতো</v>
      </c>
    </row>
    <row r="5994">
      <c r="A5994" s="2" t="s">
        <v>5088</v>
      </c>
      <c r="B5994" s="3" t="str">
        <f>IFERROR(__xludf.DUMMYFUNCTION("GOOGLETRANSLATE(A5994, ""ar"", ""bn"")"),"আত্মম্ভরিতা")</f>
        <v>আত্মম্ভরিতা</v>
      </c>
    </row>
    <row r="5995">
      <c r="A5995" s="2" t="s">
        <v>7399</v>
      </c>
      <c r="B5995" s="3" t="str">
        <f>IFERROR(__xludf.DUMMYFUNCTION("GOOGLETRANSLATE(A5995, ""ar"", ""bn"")"),"ভীমরতি")</f>
        <v>ভীমরতি</v>
      </c>
    </row>
    <row r="5996">
      <c r="A5996" s="2" t="s">
        <v>7400</v>
      </c>
      <c r="B5996" s="3" t="str">
        <f>IFERROR(__xludf.DUMMYFUNCTION("GOOGLETRANSLATE(A5996, ""ar"", ""bn"")"),"পক্বতা")</f>
        <v>পক্বতা</v>
      </c>
    </row>
    <row r="5997">
      <c r="A5997" s="2" t="s">
        <v>6446</v>
      </c>
      <c r="B5997" s="3" t="str">
        <f>IFERROR(__xludf.DUMMYFUNCTION("GOOGLETRANSLATE(A5997, ""ar"", ""bn"")"),"এটার কোন মানে নাই")</f>
        <v>এটার কোন মানে নাই</v>
      </c>
    </row>
    <row r="5998">
      <c r="A5998" s="2" t="s">
        <v>7401</v>
      </c>
      <c r="B5998" s="3" t="str">
        <f>IFERROR(__xludf.DUMMYFUNCTION("GOOGLETRANSLATE(A5998, ""ar"", ""bn"")"),"বৃথা")</f>
        <v>বৃথা</v>
      </c>
    </row>
    <row r="5999">
      <c r="A5999" s="2" t="s">
        <v>6109</v>
      </c>
      <c r="B5999" s="3" t="str">
        <f>IFERROR(__xludf.DUMMYFUNCTION("GOOGLETRANSLATE(A5999, ""ar"", ""bn"")"),"Irrationality")</f>
        <v>Irrationality</v>
      </c>
    </row>
    <row r="6000">
      <c r="A6000" s="2" t="s">
        <v>7402</v>
      </c>
      <c r="B6000" s="3" t="str">
        <f>IFERROR(__xludf.DUMMYFUNCTION("GOOGLETRANSLATE(A6000, ""ar"", ""bn"")"),"নি: সঙ্গ")</f>
        <v>নি: সঙ্গ</v>
      </c>
    </row>
    <row r="6001">
      <c r="A6001" s="2" t="s">
        <v>4409</v>
      </c>
      <c r="B6001" s="3" t="str">
        <f>IFERROR(__xludf.DUMMYFUNCTION("GOOGLETRANSLATE(A6001, ""ar"", ""bn"")"),"বিপজ্জনক")</f>
        <v>বিপজ্জনক</v>
      </c>
    </row>
    <row r="6002">
      <c r="A6002" s="2" t="s">
        <v>7403</v>
      </c>
      <c r="B6002" s="3" t="str">
        <f>IFERROR(__xludf.DUMMYFUNCTION("GOOGLETRANSLATE(A6002, ""ar"", ""bn"")"),"গম্ভীরভাবে")</f>
        <v>গম্ভীরভাবে</v>
      </c>
    </row>
    <row r="6003">
      <c r="A6003" s="2" t="s">
        <v>7213</v>
      </c>
      <c r="B6003" s="3" t="str">
        <f>IFERROR(__xludf.DUMMYFUNCTION("GOOGLETRANSLATE(A6003, ""ar"", ""bn"")"),"ঝুঁকি")</f>
        <v>ঝুঁকি</v>
      </c>
    </row>
    <row r="6004">
      <c r="A6004" s="2" t="s">
        <v>7403</v>
      </c>
      <c r="B6004" s="3" t="str">
        <f>IFERROR(__xludf.DUMMYFUNCTION("GOOGLETRANSLATE(A6004, ""ar"", ""bn"")"),"গম্ভীরভাবে")</f>
        <v>গম্ভীরভাবে</v>
      </c>
    </row>
    <row r="6005">
      <c r="A6005" s="2" t="s">
        <v>7213</v>
      </c>
      <c r="B6005" s="3" t="str">
        <f>IFERROR(__xludf.DUMMYFUNCTION("GOOGLETRANSLATE(A6005, ""ar"", ""bn"")"),"ঝুঁকি")</f>
        <v>ঝুঁকি</v>
      </c>
    </row>
    <row r="6006">
      <c r="A6006" s="2" t="s">
        <v>3754</v>
      </c>
      <c r="B6006" s="3" t="str">
        <f>IFERROR(__xludf.DUMMYFUNCTION("GOOGLETRANSLATE(A6006, ""ar"", ""bn"")"),"ডোর")</f>
        <v>ডোর</v>
      </c>
    </row>
    <row r="6007">
      <c r="A6007" s="2" t="s">
        <v>6069</v>
      </c>
      <c r="B6007" s="3" t="str">
        <f>IFERROR(__xludf.DUMMYFUNCTION("GOOGLETRANSLATE(A6007, ""ar"", ""bn"")"),"কাটা")</f>
        <v>কাটা</v>
      </c>
    </row>
    <row r="6008">
      <c r="A6008" s="2" t="s">
        <v>7404</v>
      </c>
      <c r="B6008" s="3" t="str">
        <f>IFERROR(__xludf.DUMMYFUNCTION("GOOGLETRANSLATE(A6008, ""ar"", ""bn"")"),"বিচ্ছেদ")</f>
        <v>বিচ্ছেদ</v>
      </c>
    </row>
    <row r="6009">
      <c r="A6009" s="2" t="s">
        <v>7405</v>
      </c>
      <c r="B6009" s="3" t="str">
        <f>IFERROR(__xludf.DUMMYFUNCTION("GOOGLETRANSLATE(A6009, ""ar"", ""bn"")"),"বিভিন্ন")</f>
        <v>বিভিন্ন</v>
      </c>
    </row>
    <row r="6010">
      <c r="A6010" s="2" t="s">
        <v>7406</v>
      </c>
      <c r="B6010" s="3" t="str">
        <f>IFERROR(__xludf.DUMMYFUNCTION("GOOGLETRANSLATE(A6010, ""ar"", ""bn"")"),"আলাদাভাবে")</f>
        <v>আলাদাভাবে</v>
      </c>
    </row>
    <row r="6011">
      <c r="A6011" s="2" t="s">
        <v>6069</v>
      </c>
      <c r="B6011" s="3" t="str">
        <f>IFERROR(__xludf.DUMMYFUNCTION("GOOGLETRANSLATE(A6011, ""ar"", ""bn"")"),"কাটা")</f>
        <v>কাটা</v>
      </c>
    </row>
    <row r="6012">
      <c r="A6012" s="2" t="s">
        <v>3253</v>
      </c>
      <c r="B6012" s="3" t="str">
        <f>IFERROR(__xludf.DUMMYFUNCTION("GOOGLETRANSLATE(A6012, ""ar"", ""bn"")"),"তীব্র")</f>
        <v>তীব্র</v>
      </c>
    </row>
    <row r="6013">
      <c r="A6013" s="2" t="s">
        <v>7407</v>
      </c>
      <c r="B6013" s="3" t="str">
        <f>IFERROR(__xludf.DUMMYFUNCTION("GOOGLETRANSLATE(A6013, ""ar"", ""bn"")"),"sectioned")</f>
        <v>sectioned</v>
      </c>
    </row>
    <row r="6014">
      <c r="A6014" s="2" t="s">
        <v>3900</v>
      </c>
      <c r="B6014" s="3" t="str">
        <f>IFERROR(__xludf.DUMMYFUNCTION("GOOGLETRANSLATE(A6014, ""ar"", ""bn"")"),"গুরুতরভাবে")</f>
        <v>গুরুতরভাবে</v>
      </c>
    </row>
    <row r="6015">
      <c r="A6015" s="2" t="s">
        <v>7408</v>
      </c>
      <c r="B6015" s="3" t="str">
        <f>IFERROR(__xludf.DUMMYFUNCTION("GOOGLETRANSLATE(A6015, ""ar"", ""bn"")"),"অধিক")</f>
        <v>অধিক</v>
      </c>
    </row>
    <row r="6016">
      <c r="A6016" s="2" t="s">
        <v>7408</v>
      </c>
      <c r="B6016" s="3" t="str">
        <f>IFERROR(__xludf.DUMMYFUNCTION("GOOGLETRANSLATE(A6016, ""ar"", ""bn"")"),"অধিক")</f>
        <v>অধিক</v>
      </c>
    </row>
    <row r="6017">
      <c r="A6017" s="2" t="s">
        <v>7409</v>
      </c>
      <c r="B6017" s="3" t="str">
        <f>IFERROR(__xludf.DUMMYFUNCTION("GOOGLETRANSLATE(A6017, ""ar"", ""bn"")"),"চোয়াল")</f>
        <v>চোয়াল</v>
      </c>
    </row>
    <row r="6018">
      <c r="A6018" s="2" t="s">
        <v>7213</v>
      </c>
      <c r="B6018" s="3" t="str">
        <f>IFERROR(__xludf.DUMMYFUNCTION("GOOGLETRANSLATE(A6018, ""ar"", ""bn"")"),"ঝুঁকি")</f>
        <v>ঝুঁকি</v>
      </c>
    </row>
    <row r="6019">
      <c r="A6019" s="2" t="s">
        <v>7410</v>
      </c>
      <c r="B6019" s="3" t="str">
        <f>IFERROR(__xludf.DUMMYFUNCTION("GOOGLETRANSLATE(A6019, ""ar"", ""bn"")"),"কাট")</f>
        <v>কাট</v>
      </c>
    </row>
    <row r="6020">
      <c r="A6020" s="2" t="s">
        <v>3253</v>
      </c>
      <c r="B6020" s="3" t="str">
        <f>IFERROR(__xludf.DUMMYFUNCTION("GOOGLETRANSLATE(A6020, ""ar"", ""bn"")"),"তীব্র")</f>
        <v>তীব্র</v>
      </c>
    </row>
    <row r="6021">
      <c r="A6021" s="2" t="s">
        <v>7407</v>
      </c>
      <c r="B6021" s="3" t="str">
        <f>IFERROR(__xludf.DUMMYFUNCTION("GOOGLETRANSLATE(A6021, ""ar"", ""bn"")"),"sectioned")</f>
        <v>sectioned</v>
      </c>
    </row>
    <row r="6022">
      <c r="A6022" s="2" t="s">
        <v>3900</v>
      </c>
      <c r="B6022" s="3" t="str">
        <f>IFERROR(__xludf.DUMMYFUNCTION("GOOGLETRANSLATE(A6022, ""ar"", ""bn"")"),"গুরুতরভাবে")</f>
        <v>গুরুতরভাবে</v>
      </c>
    </row>
    <row r="6023">
      <c r="A6023" s="2" t="s">
        <v>7408</v>
      </c>
      <c r="B6023" s="3" t="str">
        <f>IFERROR(__xludf.DUMMYFUNCTION("GOOGLETRANSLATE(A6023, ""ar"", ""bn"")"),"অধিক")</f>
        <v>অধিক</v>
      </c>
    </row>
    <row r="6024">
      <c r="A6024" s="2" t="s">
        <v>7408</v>
      </c>
      <c r="B6024" s="3" t="str">
        <f>IFERROR(__xludf.DUMMYFUNCTION("GOOGLETRANSLATE(A6024, ""ar"", ""bn"")"),"অধিক")</f>
        <v>অধিক</v>
      </c>
    </row>
    <row r="6025">
      <c r="A6025" s="2" t="s">
        <v>7213</v>
      </c>
      <c r="B6025" s="3" t="str">
        <f>IFERROR(__xludf.DUMMYFUNCTION("GOOGLETRANSLATE(A6025, ""ar"", ""bn"")"),"ঝুঁকি")</f>
        <v>ঝুঁকি</v>
      </c>
    </row>
    <row r="6026">
      <c r="A6026" s="2" t="s">
        <v>7411</v>
      </c>
      <c r="B6026" s="3" t="str">
        <f>IFERROR(__xludf.DUMMYFUNCTION("GOOGLETRANSLATE(A6026, ""ar"", ""bn"")"),"যৌন")</f>
        <v>যৌন</v>
      </c>
    </row>
    <row r="6027">
      <c r="A6027" s="2" t="s">
        <v>7412</v>
      </c>
      <c r="B6027" s="3" t="str">
        <f>IFERROR(__xludf.DUMMYFUNCTION("GOOGLETRANSLATE(A6027, ""ar"", ""bn"")"),"যৌন বৈষম্য সমর্থকরা")</f>
        <v>যৌন বৈষম্য সমর্থকরা</v>
      </c>
    </row>
    <row r="6028">
      <c r="A6028" s="2" t="s">
        <v>7413</v>
      </c>
      <c r="B6028" s="3" t="str">
        <f>IFERROR(__xludf.DUMMYFUNCTION("GOOGLETRANSLATE(A6028, ""ar"", ""bn"")"),"হীন")</f>
        <v>হীন</v>
      </c>
    </row>
    <row r="6029">
      <c r="A6029" s="2" t="s">
        <v>7414</v>
      </c>
      <c r="B6029" s="3" t="str">
        <f>IFERROR(__xludf.DUMMYFUNCTION("GOOGLETRANSLATE(A6029, ""ar"", ""bn"")"),"ছায়াময়")</f>
        <v>ছায়াময়</v>
      </c>
    </row>
    <row r="6030">
      <c r="A6030" s="2" t="s">
        <v>7415</v>
      </c>
      <c r="B6030" s="3" t="str">
        <f>IFERROR(__xludf.DUMMYFUNCTION("GOOGLETRANSLATE(A6030, ""ar"", ""bn"")"),"রোমশ")</f>
        <v>রোমশ</v>
      </c>
    </row>
    <row r="6031">
      <c r="A6031" s="2" t="s">
        <v>7416</v>
      </c>
      <c r="B6031" s="3" t="str">
        <f>IFERROR(__xludf.DUMMYFUNCTION("GOOGLETRANSLATE(A6031, ""ar"", ""bn"")"),"ঝাঁকি")</f>
        <v>ঝাঁকি</v>
      </c>
    </row>
    <row r="6032">
      <c r="A6032" s="2" t="s">
        <v>7417</v>
      </c>
      <c r="B6032" s="3" t="str">
        <f>IFERROR(__xludf.DUMMYFUNCTION("GOOGLETRANSLATE(A6032, ""ar"", ""bn"")"),"সঙ্কোচনীয় শেক")</f>
        <v>সঙ্কোচনীয় শেক</v>
      </c>
    </row>
    <row r="6033">
      <c r="A6033" s="2" t="s">
        <v>3656</v>
      </c>
      <c r="B6033" s="3" t="str">
        <f>IFERROR(__xludf.DUMMYFUNCTION("GOOGLETRANSLATE(A6033, ""ar"", ""bn"")"),"ব্ল্যাকমেল")</f>
        <v>ব্ল্যাকমেল</v>
      </c>
    </row>
    <row r="6034">
      <c r="A6034" s="2" t="s">
        <v>7418</v>
      </c>
      <c r="B6034" s="3" t="str">
        <f>IFERROR(__xludf.DUMMYFUNCTION("GOOGLETRANSLATE(A6034, ""ar"", ""bn"")"),"ঝাকানো")</f>
        <v>ঝাকানো</v>
      </c>
    </row>
    <row r="6035">
      <c r="A6035" s="2" t="s">
        <v>7419</v>
      </c>
      <c r="B6035" s="3" t="str">
        <f>IFERROR(__xludf.DUMMYFUNCTION("GOOGLETRANSLATE(A6035, ""ar"", ""bn"")"),"মিক্সারে")</f>
        <v>মিক্সারে</v>
      </c>
    </row>
    <row r="6036">
      <c r="A6036" s="2" t="s">
        <v>7420</v>
      </c>
      <c r="B6036" s="3" t="str">
        <f>IFERROR(__xludf.DUMMYFUNCTION("GOOGLETRANSLATE(A6036, ""ar"", ""bn"")"),"শেকাররা")</f>
        <v>শেকাররা</v>
      </c>
    </row>
    <row r="6037">
      <c r="A6037" s="2" t="s">
        <v>7421</v>
      </c>
      <c r="B6037" s="3" t="str">
        <f>IFERROR(__xludf.DUMMYFUNCTION("GOOGLETRANSLATE(A6037, ""ar"", ""bn"")"),"শেকস")</f>
        <v>শেকস</v>
      </c>
    </row>
    <row r="6038">
      <c r="A6038" s="2" t="s">
        <v>7416</v>
      </c>
      <c r="B6038" s="3" t="str">
        <f>IFERROR(__xludf.DUMMYFUNCTION("GOOGLETRANSLATE(A6038, ""ar"", ""bn"")"),"ঝাঁকি")</f>
        <v>ঝাঁকি</v>
      </c>
    </row>
    <row r="6039">
      <c r="A6039" s="2" t="s">
        <v>7422</v>
      </c>
      <c r="B6039" s="3" t="str">
        <f>IFERROR(__xludf.DUMMYFUNCTION("GOOGLETRANSLATE(A6039, ""ar"", ""bn"")"),"নাড়িয়ে")</f>
        <v>নাড়িয়ে</v>
      </c>
    </row>
    <row r="6040">
      <c r="A6040" s="2" t="s">
        <v>7423</v>
      </c>
      <c r="B6040" s="3" t="str">
        <f>IFERROR(__xludf.DUMMYFUNCTION("GOOGLETRANSLATE(A6040, ""ar"", ""bn"")"),"কম্পন")</f>
        <v>কম্পন</v>
      </c>
    </row>
    <row r="6041">
      <c r="A6041" s="2" t="s">
        <v>7424</v>
      </c>
      <c r="B6041" s="3" t="str">
        <f>IFERROR(__xludf.DUMMYFUNCTION("GOOGLETRANSLATE(A6041, ""ar"", ""bn"")"),"নড়বড়ে")</f>
        <v>নড়বড়ে</v>
      </c>
    </row>
    <row r="6042">
      <c r="A6042" s="2" t="s">
        <v>7425</v>
      </c>
      <c r="B6042" s="3" t="str">
        <f>IFERROR(__xludf.DUMMYFUNCTION("GOOGLETRANSLATE(A6042, ""ar"", ""bn"")"),"অগভীর")</f>
        <v>অগভীর</v>
      </c>
    </row>
    <row r="6043">
      <c r="A6043" s="2" t="s">
        <v>7426</v>
      </c>
      <c r="B6043" s="3" t="str">
        <f>IFERROR(__xludf.DUMMYFUNCTION("GOOGLETRANSLATE(A6043, ""ar"", ""bn"")"),"অগভীরতা")</f>
        <v>অগভীরতা</v>
      </c>
    </row>
    <row r="6044">
      <c r="A6044" s="2" t="s">
        <v>7426</v>
      </c>
      <c r="B6044" s="3" t="str">
        <f>IFERROR(__xludf.DUMMYFUNCTION("GOOGLETRANSLATE(A6044, ""ar"", ""bn"")"),"অগভীরতা")</f>
        <v>অগভীরতা</v>
      </c>
    </row>
    <row r="6045">
      <c r="A6045" s="2" t="s">
        <v>7427</v>
      </c>
      <c r="B6045" s="3" t="str">
        <f>IFERROR(__xludf.DUMMYFUNCTION("GOOGLETRANSLATE(A6045, ""ar"", ""bn"")"),"জিওপার্ডিতে")</f>
        <v>জিওপার্ডিতে</v>
      </c>
    </row>
    <row r="6046">
      <c r="A6046" s="2" t="s">
        <v>7426</v>
      </c>
      <c r="B6046" s="3" t="str">
        <f>IFERROR(__xludf.DUMMYFUNCTION("GOOGLETRANSLATE(A6046, ""ar"", ""bn"")"),"অগভীরতা")</f>
        <v>অগভীরতা</v>
      </c>
    </row>
    <row r="6047">
      <c r="A6047" s="2" t="s">
        <v>7428</v>
      </c>
      <c r="B6047" s="3" t="str">
        <f>IFERROR(__xludf.DUMMYFUNCTION("GOOGLETRANSLATE(A6047, ""ar"", ""bn"")"),"অগভীর পানি")</f>
        <v>অগভীর পানি</v>
      </c>
    </row>
    <row r="6048">
      <c r="A6048" s="2" t="s">
        <v>4857</v>
      </c>
      <c r="B6048" s="3" t="str">
        <f>IFERROR(__xludf.DUMMYFUNCTION("GOOGLETRANSLATE(A6048, ""ar"", ""bn"")"),"লজ্জা")</f>
        <v>লজ্জা</v>
      </c>
    </row>
    <row r="6049">
      <c r="A6049" s="2" t="s">
        <v>7429</v>
      </c>
      <c r="B6049" s="3" t="str">
        <f>IFERROR(__xludf.DUMMYFUNCTION("GOOGLETRANSLATE(A6049, ""ar"", ""bn"")"),"লজ্জিত")</f>
        <v>লজ্জিত</v>
      </c>
    </row>
    <row r="6050">
      <c r="A6050" s="2" t="s">
        <v>5097</v>
      </c>
      <c r="B6050" s="3" t="str">
        <f>IFERROR(__xludf.DUMMYFUNCTION("GOOGLETRANSLATE(A6050, ""ar"", ""bn"")"),"ভীতু")</f>
        <v>ভীতু</v>
      </c>
    </row>
    <row r="6051">
      <c r="A6051" s="2" t="s">
        <v>3540</v>
      </c>
      <c r="B6051" s="3" t="str">
        <f>IFERROR(__xludf.DUMMYFUNCTION("GOOGLETRANSLATE(A6051, ""ar"", ""bn"")"),"timidly")</f>
        <v>timidly</v>
      </c>
    </row>
    <row r="6052">
      <c r="A6052" s="2" t="s">
        <v>7430</v>
      </c>
      <c r="B6052" s="3" t="str">
        <f>IFERROR(__xludf.DUMMYFUNCTION("GOOGLETRANSLATE(A6052, ""ar"", ""bn"")"),"লজ্জাজনক")</f>
        <v>লজ্জাজনক</v>
      </c>
    </row>
    <row r="6053">
      <c r="A6053" s="2" t="s">
        <v>4846</v>
      </c>
      <c r="B6053" s="3" t="str">
        <f>IFERROR(__xludf.DUMMYFUNCTION("GOOGLETRANSLATE(A6053, ""ar"", ""bn"")"),"লজ্জাজনক")</f>
        <v>লজ্জাজনক</v>
      </c>
    </row>
    <row r="6054">
      <c r="A6054" s="2" t="s">
        <v>3781</v>
      </c>
      <c r="B6054" s="3" t="str">
        <f>IFERROR(__xludf.DUMMYFUNCTION("GOOGLETRANSLATE(A6054, ""ar"", ""bn"")"),"লজ্জাহীন")</f>
        <v>লজ্জাহীন</v>
      </c>
    </row>
    <row r="6055">
      <c r="A6055" s="2" t="s">
        <v>7431</v>
      </c>
      <c r="B6055" s="3" t="str">
        <f>IFERROR(__xludf.DUMMYFUNCTION("GOOGLETRANSLATE(A6055, ""ar"", ""bn"")"),"Unashamedly")</f>
        <v>Unashamedly</v>
      </c>
    </row>
    <row r="6056">
      <c r="A6056" s="2" t="s">
        <v>7432</v>
      </c>
      <c r="B6056" s="3" t="str">
        <f>IFERROR(__xludf.DUMMYFUNCTION("GOOGLETRANSLATE(A6056, ""ar"", ""bn"")"),"ঢিটপনা")</f>
        <v>ঢিটপনা</v>
      </c>
    </row>
    <row r="6057">
      <c r="A6057" s="2" t="s">
        <v>4857</v>
      </c>
      <c r="B6057" s="3" t="str">
        <f>IFERROR(__xludf.DUMMYFUNCTION("GOOGLETRANSLATE(A6057, ""ar"", ""bn"")"),"লজ্জা")</f>
        <v>লজ্জা</v>
      </c>
    </row>
    <row r="6058">
      <c r="A6058" s="2" t="s">
        <v>7433</v>
      </c>
      <c r="B6058" s="3" t="str">
        <f>IFERROR(__xludf.DUMMYFUNCTION("GOOGLETRANSLATE(A6058, ""ar"", ""bn"")"),"হাঙ্গর")</f>
        <v>হাঙ্গর</v>
      </c>
    </row>
    <row r="6059">
      <c r="A6059" s="2" t="s">
        <v>7434</v>
      </c>
      <c r="B6059" s="3" t="str">
        <f>IFERROR(__xludf.DUMMYFUNCTION("GOOGLETRANSLATE(A6059, ""ar"", ""bn"")"),"হাঙ্গর")</f>
        <v>হাঙ্গর</v>
      </c>
    </row>
    <row r="6060">
      <c r="A6060" s="2" t="s">
        <v>7435</v>
      </c>
      <c r="B6060" s="3" t="str">
        <f>IFERROR(__xludf.DUMMYFUNCTION("GOOGLETRANSLATE(A6060, ""ar"", ""bn"")"),"সর্বনাশ")</f>
        <v>সর্বনাশ</v>
      </c>
    </row>
    <row r="6061">
      <c r="A6061" s="2" t="s">
        <v>7436</v>
      </c>
      <c r="B6061" s="3" t="str">
        <f>IFERROR(__xludf.DUMMYFUNCTION("GOOGLETRANSLATE(A6061, ""ar"", ""bn"")"),"shipwrecked")</f>
        <v>shipwrecked</v>
      </c>
    </row>
    <row r="6062">
      <c r="A6062" s="2" t="s">
        <v>7437</v>
      </c>
      <c r="B6062" s="3" t="str">
        <f>IFERROR(__xludf.DUMMYFUNCTION("GOOGLETRANSLATE(A6062, ""ar"", ""bn"")"),"জাহাজডুবি")</f>
        <v>জাহাজডুবি</v>
      </c>
    </row>
    <row r="6063">
      <c r="A6063" s="2" t="s">
        <v>7438</v>
      </c>
      <c r="B6063" s="3" t="str">
        <f>IFERROR(__xludf.DUMMYFUNCTION("GOOGLETRANSLATE(A6063, ""ar"", ""bn"")"),"ফাঁদ")</f>
        <v>ফাঁদ</v>
      </c>
    </row>
    <row r="6064">
      <c r="A6064" s="2" t="s">
        <v>7439</v>
      </c>
      <c r="B6064" s="3" t="str">
        <f>IFERROR(__xludf.DUMMYFUNCTION("GOOGLETRANSLATE(A6064, ""ar"", ""bn"")"),"লজ্জা কর না")</f>
        <v>লজ্জা কর না</v>
      </c>
    </row>
    <row r="6065">
      <c r="A6065" s="2" t="s">
        <v>5494</v>
      </c>
      <c r="B6065" s="3" t="str">
        <f>IFERROR(__xludf.DUMMYFUNCTION("GOOGLETRANSLATE(A6065, ""ar"", ""bn"")"),"Fudging")</f>
        <v>Fudging</v>
      </c>
    </row>
    <row r="6066">
      <c r="A6066" s="2" t="s">
        <v>7440</v>
      </c>
      <c r="B6066" s="3" t="str">
        <f>IFERROR(__xludf.DUMMYFUNCTION("GOOGLETRANSLATE(A6066, ""ar"", ""bn"")"),"শিহরণ")</f>
        <v>শিহরণ</v>
      </c>
    </row>
    <row r="6067">
      <c r="A6067" s="2" t="s">
        <v>7441</v>
      </c>
      <c r="B6067" s="3" t="str">
        <f>IFERROR(__xludf.DUMMYFUNCTION("GOOGLETRANSLATE(A6067, ""ar"", ""bn"")"),"হিমায়িত")</f>
        <v>হিমায়িত</v>
      </c>
    </row>
    <row r="6068">
      <c r="A6068" s="2" t="s">
        <v>7442</v>
      </c>
      <c r="B6068" s="3" t="str">
        <f>IFERROR(__xludf.DUMMYFUNCTION("GOOGLETRANSLATE(A6068, ""ar"", ""bn"")"),"স্ফুরিত")</f>
        <v>স্ফুরিত</v>
      </c>
    </row>
    <row r="6069">
      <c r="A6069" s="2" t="s">
        <v>7443</v>
      </c>
      <c r="B6069" s="3" t="str">
        <f>IFERROR(__xludf.DUMMYFUNCTION("GOOGLETRANSLATE(A6069, ""ar"", ""bn"")"),"কাঁপুনি")</f>
        <v>কাঁপুনি</v>
      </c>
    </row>
    <row r="6070">
      <c r="A6070" s="2" t="s">
        <v>7444</v>
      </c>
      <c r="B6070" s="3" t="str">
        <f>IFERROR(__xludf.DUMMYFUNCTION("GOOGLETRANSLATE(A6070, ""ar"", ""bn"")"),"ভীরু")</f>
        <v>ভীরু</v>
      </c>
    </row>
    <row r="6071">
      <c r="A6071" s="2" t="s">
        <v>7445</v>
      </c>
      <c r="B6071" s="3" t="str">
        <f>IFERROR(__xludf.DUMMYFUNCTION("GOOGLETRANSLATE(A6071, ""ar"", ""bn"")"),"অভিঘাত")</f>
        <v>অভিঘাত</v>
      </c>
    </row>
    <row r="6072">
      <c r="A6072" s="2" t="s">
        <v>7446</v>
      </c>
      <c r="B6072" s="3" t="str">
        <f>IFERROR(__xludf.DUMMYFUNCTION("GOOGLETRANSLATE(A6072, ""ar"", ""bn"")"),"আমি শোকাগ্রস্থ ছিলাম")</f>
        <v>আমি শোকাগ্রস্থ ছিলাম</v>
      </c>
    </row>
    <row r="6073">
      <c r="A6073" s="2" t="s">
        <v>7447</v>
      </c>
      <c r="B6073" s="3" t="str">
        <f>IFERROR(__xludf.DUMMYFUNCTION("GOOGLETRANSLATE(A6073, ""ar"", ""bn"")"),"অখাদ্য")</f>
        <v>অখাদ্য</v>
      </c>
    </row>
    <row r="6074">
      <c r="A6074" s="2" t="s">
        <v>7445</v>
      </c>
      <c r="B6074" s="3" t="str">
        <f>IFERROR(__xludf.DUMMYFUNCTION("GOOGLETRANSLATE(A6074, ""ar"", ""bn"")"),"অভিঘাত")</f>
        <v>অভিঘাত</v>
      </c>
    </row>
    <row r="6075">
      <c r="A6075" s="2" t="s">
        <v>3402</v>
      </c>
      <c r="B6075" s="3" t="str">
        <f>IFERROR(__xludf.DUMMYFUNCTION("GOOGLETRANSLATE(A6075, ""ar"", ""bn"")"),"জঘন্য")</f>
        <v>জঘন্য</v>
      </c>
    </row>
    <row r="6076">
      <c r="A6076" s="2" t="s">
        <v>7448</v>
      </c>
      <c r="B6076" s="3" t="str">
        <f>IFERROR(__xludf.DUMMYFUNCTION("GOOGLETRANSLATE(A6076, ""ar"", ""bn"")"),"ধাক্কা খাবার")</f>
        <v>ধাক্কা খাবার</v>
      </c>
    </row>
    <row r="6077">
      <c r="A6077" s="2" t="s">
        <v>7449</v>
      </c>
      <c r="B6077" s="3" t="str">
        <f>IFERROR(__xludf.DUMMYFUNCTION("GOOGLETRANSLATE(A6077, ""ar"", ""bn"")"),"শক")</f>
        <v>শক</v>
      </c>
    </row>
    <row r="6078">
      <c r="A6078" s="2" t="s">
        <v>5288</v>
      </c>
      <c r="B6078" s="3" t="str">
        <f>IFERROR(__xludf.DUMMYFUNCTION("GOOGLETRANSLATE(A6078, ""ar"", ""bn"")"),"মিথ্যা")</f>
        <v>মিথ্যা</v>
      </c>
    </row>
    <row r="6079">
      <c r="A6079" s="2" t="s">
        <v>7450</v>
      </c>
      <c r="B6079" s="3" t="str">
        <f>IFERROR(__xludf.DUMMYFUNCTION("GOOGLETRANSLATE(A6079, ""ar"", ""bn"")"),"শিলা")</f>
        <v>শিলা</v>
      </c>
    </row>
    <row r="6080">
      <c r="A6080" s="2" t="s">
        <v>7451</v>
      </c>
      <c r="B6080" s="3" t="str">
        <f>IFERROR(__xludf.DUMMYFUNCTION("GOOGLETRANSLATE(A6080, ""ar"", ""bn"")"),"অঙ্কুর")</f>
        <v>অঙ্কুর</v>
      </c>
    </row>
    <row r="6081">
      <c r="A6081" s="2" t="s">
        <v>5647</v>
      </c>
      <c r="B6081" s="3" t="str">
        <f>IFERROR(__xludf.DUMMYFUNCTION("GOOGLETRANSLATE(A6081, ""ar"", ""bn"")"),"বন্দুক")</f>
        <v>বন্দুক</v>
      </c>
    </row>
    <row r="6082">
      <c r="A6082" s="2" t="s">
        <v>6377</v>
      </c>
      <c r="B6082" s="3" t="str">
        <f>IFERROR(__xludf.DUMMYFUNCTION("GOOGLETRANSLATE(A6082, ""ar"", ""bn"")"),"বন্দুকবাজদের")</f>
        <v>বন্দুকবাজদের</v>
      </c>
    </row>
    <row r="6083">
      <c r="A6083" s="2" t="s">
        <v>5665</v>
      </c>
      <c r="B6083" s="3" t="str">
        <f>IFERROR(__xludf.DUMMYFUNCTION("GOOGLETRANSLATE(A6083, ""ar"", ""bn"")"),"শুটিং")</f>
        <v>শুটিং</v>
      </c>
    </row>
    <row r="6084">
      <c r="A6084" s="2" t="s">
        <v>2431</v>
      </c>
      <c r="B6084" s="3" t="str">
        <f>IFERROR(__xludf.DUMMYFUNCTION("GOOGLETRANSLATE(A6084, ""ar"", ""bn"")"),"শুটিং")</f>
        <v>শুটিং</v>
      </c>
    </row>
    <row r="6085">
      <c r="A6085" s="2" t="s">
        <v>7452</v>
      </c>
      <c r="B6085" s="3" t="str">
        <f>IFERROR(__xludf.DUMMYFUNCTION("GOOGLETRANSLATE(A6085, ""ar"", ""bn"")"),"অঙ্কুরিত")</f>
        <v>অঙ্কুরিত</v>
      </c>
    </row>
    <row r="6086">
      <c r="A6086" s="2" t="s">
        <v>4522</v>
      </c>
      <c r="B6086" s="3" t="str">
        <f>IFERROR(__xludf.DUMMYFUNCTION("GOOGLETRANSLATE(A6086, ""ar"", ""bn"")"),"স্বল্পতা")</f>
        <v>স্বল্পতা</v>
      </c>
    </row>
    <row r="6087">
      <c r="A6087" s="2" t="s">
        <v>4522</v>
      </c>
      <c r="B6087" s="3" t="str">
        <f>IFERROR(__xludf.DUMMYFUNCTION("GOOGLETRANSLATE(A6087, ""ar"", ""bn"")"),"স্বল্পতা")</f>
        <v>স্বল্পতা</v>
      </c>
    </row>
    <row r="6088">
      <c r="A6088" s="2" t="s">
        <v>3677</v>
      </c>
      <c r="B6088" s="3" t="str">
        <f>IFERROR(__xludf.DUMMYFUNCTION("GOOGLETRANSLATE(A6088, ""ar"", ""bn"")"),"অসুবিধা")</f>
        <v>অসুবিধা</v>
      </c>
    </row>
    <row r="6089">
      <c r="A6089" s="2" t="s">
        <v>7453</v>
      </c>
      <c r="B6089" s="3" t="str">
        <f>IFERROR(__xludf.DUMMYFUNCTION("GOOGLETRANSLATE(A6089, ""ar"", ""bn"")"),"ভুলত্রুটি")</f>
        <v>ভুলত্রুটি</v>
      </c>
    </row>
    <row r="6090">
      <c r="A6090" s="2" t="s">
        <v>7454</v>
      </c>
      <c r="B6090" s="3" t="str">
        <f>IFERROR(__xludf.DUMMYFUNCTION("GOOGLETRANSLATE(A6090, ""ar"", ""bn"")"),"অদূরদর্শী")</f>
        <v>অদূরদর্শী</v>
      </c>
    </row>
    <row r="6091">
      <c r="A6091" s="2" t="s">
        <v>7455</v>
      </c>
      <c r="B6091" s="3" t="str">
        <f>IFERROR(__xludf.DUMMYFUNCTION("GOOGLETRANSLATE(A6091, ""ar"", ""bn"")"),"Nearsightedness")</f>
        <v>Nearsightedness</v>
      </c>
    </row>
    <row r="6092">
      <c r="A6092" s="2" t="s">
        <v>7455</v>
      </c>
      <c r="B6092" s="3" t="str">
        <f>IFERROR(__xludf.DUMMYFUNCTION("GOOGLETRANSLATE(A6092, ""ar"", ""bn"")"),"Nearsightedness")</f>
        <v>Nearsightedness</v>
      </c>
    </row>
    <row r="6093">
      <c r="A6093" s="2" t="s">
        <v>7456</v>
      </c>
      <c r="B6093" s="3" t="str">
        <f>IFERROR(__xludf.DUMMYFUNCTION("GOOGLETRANSLATE(A6093, ""ar"", ""bn"")"),"স্ন্যাপশট")</f>
        <v>স্ন্যাপশট</v>
      </c>
    </row>
    <row r="6094">
      <c r="A6094" s="2" t="s">
        <v>7457</v>
      </c>
      <c r="B6094" s="3" t="str">
        <f>IFERROR(__xludf.DUMMYFUNCTION("GOOGLETRANSLATE(A6094, ""ar"", ""bn"")"),"শিকার করা বন্দুক")</f>
        <v>শিকার করা বন্দুক</v>
      </c>
    </row>
    <row r="6095">
      <c r="A6095" s="2" t="s">
        <v>5662</v>
      </c>
      <c r="B6095" s="3" t="str">
        <f>IFERROR(__xludf.DUMMYFUNCTION("GOOGLETRANSLATE(A6095, ""ar"", ""bn"")"),"বন্দুক")</f>
        <v>বন্দুক</v>
      </c>
    </row>
    <row r="6096">
      <c r="A6096" s="2" t="s">
        <v>7458</v>
      </c>
      <c r="B6096" s="3" t="str">
        <f>IFERROR(__xludf.DUMMYFUNCTION("GOOGLETRANSLATE(A6096, ""ar"", ""bn"")"),"স্ন্যাপশট")</f>
        <v>স্ন্যাপশট</v>
      </c>
    </row>
    <row r="6097">
      <c r="A6097" s="2" t="s">
        <v>7459</v>
      </c>
      <c r="B6097" s="3" t="str">
        <f>IFERROR(__xludf.DUMMYFUNCTION("GOOGLETRANSLATE(A6097, ""ar"", ""bn"")"),"ঠেলা")</f>
        <v>ঠেলা</v>
      </c>
    </row>
    <row r="6098">
      <c r="A6098" s="2" t="s">
        <v>7460</v>
      </c>
      <c r="B6098" s="3" t="str">
        <f>IFERROR(__xludf.DUMMYFUNCTION("GOOGLETRANSLATE(A6098, ""ar"", ""bn"")"),"shoved")</f>
        <v>shoved</v>
      </c>
    </row>
    <row r="6099">
      <c r="A6099" s="2" t="s">
        <v>7461</v>
      </c>
      <c r="B6099" s="3" t="str">
        <f>IFERROR(__xludf.DUMMYFUNCTION("GOOGLETRANSLATE(A6099, ""ar"", ""bn"")"),"বেলচা")</f>
        <v>বেলচা</v>
      </c>
    </row>
    <row r="6100">
      <c r="A6100" s="2" t="s">
        <v>7462</v>
      </c>
      <c r="B6100" s="3" t="str">
        <f>IFERROR(__xludf.DUMMYFUNCTION("GOOGLETRANSLATE(A6100, ""ar"", ""bn"")"),"খাড়া বাঁধ")</f>
        <v>খাড়া বাঁধ</v>
      </c>
    </row>
    <row r="6101">
      <c r="A6101" s="2" t="s">
        <v>7463</v>
      </c>
      <c r="B6101" s="3" t="str">
        <f>IFERROR(__xludf.DUMMYFUNCTION("GOOGLETRANSLATE(A6101, ""ar"", ""bn"")"),"সুদূরপ্রসারিত")</f>
        <v>সুদূরপ্রসারিত</v>
      </c>
    </row>
    <row r="6102">
      <c r="A6102" s="2" t="s">
        <v>7464</v>
      </c>
      <c r="B6102" s="3" t="str">
        <f>IFERROR(__xludf.DUMMYFUNCTION("GOOGLETRANSLATE(A6102, ""ar"", ""bn"")"),"পঙ্কোদ্ধার")</f>
        <v>পঙ্কোদ্ধার</v>
      </c>
    </row>
    <row r="6103">
      <c r="A6103" s="2" t="s">
        <v>7465</v>
      </c>
      <c r="B6103" s="3" t="str">
        <f>IFERROR(__xludf.DUMMYFUNCTION("GOOGLETRANSLATE(A6103, ""ar"", ""bn"")"),"হাতা")</f>
        <v>হাতা</v>
      </c>
    </row>
    <row r="6104">
      <c r="A6104" s="2" t="s">
        <v>7466</v>
      </c>
      <c r="B6104" s="3" t="str">
        <f>IFERROR(__xludf.DUMMYFUNCTION("GOOGLETRANSLATE(A6104, ""ar"", ""bn"")"),"পেমেন্টস্")</f>
        <v>পেমেন্টস্</v>
      </c>
    </row>
    <row r="6105">
      <c r="A6105" s="2" t="s">
        <v>7467</v>
      </c>
      <c r="B6105" s="3" t="str">
        <f>IFERROR(__xludf.DUMMYFUNCTION("GOOGLETRANSLATE(A6105, ""ar"", ""bn"")"),"ভূট্টা")</f>
        <v>ভূট্টা</v>
      </c>
    </row>
    <row r="6106">
      <c r="A6106" s="2" t="s">
        <v>7204</v>
      </c>
      <c r="B6106" s="3" t="str">
        <f>IFERROR(__xludf.DUMMYFUNCTION("GOOGLETRANSLATE(A6106, ""ar"", ""bn"")"),"টুটা")</f>
        <v>টুটা</v>
      </c>
    </row>
    <row r="6107">
      <c r="A6107" s="2" t="s">
        <v>7468</v>
      </c>
      <c r="B6107" s="3" t="str">
        <f>IFERROR(__xludf.DUMMYFUNCTION("GOOGLETRANSLATE(A6107, ""ar"", ""bn"")"),"হ্যাকিং")</f>
        <v>হ্যাকিং</v>
      </c>
    </row>
    <row r="6108">
      <c r="A6108" s="2" t="s">
        <v>7206</v>
      </c>
      <c r="B6108" s="3" t="str">
        <f>IFERROR(__xludf.DUMMYFUNCTION("GOOGLETRANSLATE(A6108, ""ar"", ""bn"")"),"নিচে বিচ্ছিন্নকরণ")</f>
        <v>নিচে বিচ্ছিন্নকরণ</v>
      </c>
    </row>
    <row r="6109">
      <c r="A6109" s="2" t="s">
        <v>7469</v>
      </c>
      <c r="B6109" s="3" t="str">
        <f>IFERROR(__xludf.DUMMYFUNCTION("GOOGLETRANSLATE(A6109, ""ar"", ""bn"")"),"চমত্কার")</f>
        <v>চমত্কার</v>
      </c>
    </row>
    <row r="6110">
      <c r="A6110" s="2" t="s">
        <v>7470</v>
      </c>
      <c r="B6110" s="3" t="str">
        <f>IFERROR(__xludf.DUMMYFUNCTION("GOOGLETRANSLATE(A6110, ""ar"", ""bn"")"),"বিনষ্ট")</f>
        <v>বিনষ্ট</v>
      </c>
    </row>
    <row r="6111">
      <c r="A6111" s="2" t="s">
        <v>7471</v>
      </c>
      <c r="B6111" s="3" t="str">
        <f>IFERROR(__xludf.DUMMYFUNCTION("GOOGLETRANSLATE(A6111, ""ar"", ""bn"")"),"রায়বাঘিনী")</f>
        <v>রায়বাঘিনী</v>
      </c>
    </row>
    <row r="6112">
      <c r="A6112" s="2" t="s">
        <v>7472</v>
      </c>
      <c r="B6112" s="3" t="str">
        <f>IFERROR(__xludf.DUMMYFUNCTION("GOOGLETRANSLATE(A6112, ""ar"", ""bn"")"),"বিচক্ষণ")</f>
        <v>বিচক্ষণ</v>
      </c>
    </row>
    <row r="6113">
      <c r="A6113" s="2" t="s">
        <v>6040</v>
      </c>
      <c r="B6113" s="3" t="str">
        <f>IFERROR(__xludf.DUMMYFUNCTION("GOOGLETRANSLATE(A6113, ""ar"", ""bn"")"),"ধূর্ত")</f>
        <v>ধূর্ত</v>
      </c>
    </row>
    <row r="6114">
      <c r="A6114" s="2" t="s">
        <v>7473</v>
      </c>
      <c r="B6114" s="3" t="str">
        <f>IFERROR(__xludf.DUMMYFUNCTION("GOOGLETRANSLATE(A6114, ""ar"", ""bn"")"),"সূক্ষ্ম")</f>
        <v>সূক্ষ্ম</v>
      </c>
    </row>
    <row r="6115">
      <c r="A6115" s="2" t="s">
        <v>7474</v>
      </c>
      <c r="B6115" s="3" t="str">
        <f>IFERROR(__xludf.DUMMYFUNCTION("GOOGLETRANSLATE(A6115, ""ar"", ""bn"")"),"Artfully")</f>
        <v>Artfully</v>
      </c>
    </row>
    <row r="6116">
      <c r="A6116" s="2" t="s">
        <v>7475</v>
      </c>
      <c r="B6116" s="3" t="str">
        <f>IFERROR(__xludf.DUMMYFUNCTION("GOOGLETRANSLATE(A6116, ""ar"", ""bn"")"),"সূক্ষ্ম বিচারশক্তি")</f>
        <v>সূক্ষ্ম বিচারশক্তি</v>
      </c>
    </row>
    <row r="6117">
      <c r="A6117" s="2" t="s">
        <v>7476</v>
      </c>
      <c r="B6117" s="3" t="str">
        <f>IFERROR(__xludf.DUMMYFUNCTION("GOOGLETRANSLATE(A6117, ""ar"", ""bn"")"),"কলহপ্রি় স্ত্রীলোক")</f>
        <v>কলহপ্রি় স্ত্রীলোক</v>
      </c>
    </row>
    <row r="6118">
      <c r="A6118" s="2" t="s">
        <v>7477</v>
      </c>
      <c r="B6118" s="3" t="str">
        <f>IFERROR(__xludf.DUMMYFUNCTION("GOOGLETRANSLATE(A6118, ""ar"", ""bn"")"),"তীক্ষ্ন চিতকার করা")</f>
        <v>তীক্ষ্ন চিতকার করা</v>
      </c>
    </row>
    <row r="6119">
      <c r="A6119" s="2" t="s">
        <v>7478</v>
      </c>
      <c r="B6119" s="3" t="str">
        <f>IFERROR(__xludf.DUMMYFUNCTION("GOOGLETRANSLATE(A6119, ""ar"", ""bn"")"),"অবাক হয়ে")</f>
        <v>অবাক হয়ে</v>
      </c>
    </row>
    <row r="6120">
      <c r="A6120" s="2" t="s">
        <v>7362</v>
      </c>
      <c r="B6120" s="3" t="str">
        <f>IFERROR(__xludf.DUMMYFUNCTION("GOOGLETRANSLATE(A6120, ""ar"", ""bn"")"),"চিৎকার")</f>
        <v>চিৎকার</v>
      </c>
    </row>
    <row r="6121">
      <c r="A6121" s="2" t="s">
        <v>7479</v>
      </c>
      <c r="B6121" s="3" t="str">
        <f>IFERROR(__xludf.DUMMYFUNCTION("GOOGLETRANSLATE(A6121, ""ar"", ""bn"")"),"চিত্কার")</f>
        <v>চিত্কার</v>
      </c>
    </row>
    <row r="6122">
      <c r="A6122" s="2" t="s">
        <v>7480</v>
      </c>
      <c r="B6122" s="3" t="str">
        <f>IFERROR(__xludf.DUMMYFUNCTION("GOOGLETRANSLATE(A6122, ""ar"", ""bn"")"),"তীব্র")</f>
        <v>তীব্র</v>
      </c>
    </row>
    <row r="6123">
      <c r="A6123" s="2" t="s">
        <v>7481</v>
      </c>
      <c r="B6123" s="3" t="str">
        <f>IFERROR(__xludf.DUMMYFUNCTION("GOOGLETRANSLATE(A6123, ""ar"", ""bn"")"),"গোলমাল")</f>
        <v>গোলমাল</v>
      </c>
    </row>
    <row r="6124">
      <c r="A6124" s="2" t="s">
        <v>5594</v>
      </c>
      <c r="B6124" s="3" t="str">
        <f>IFERROR(__xludf.DUMMYFUNCTION("GOOGLETRANSLATE(A6124, ""ar"", ""bn"")"),"কর্কশ")</f>
        <v>কর্কশ</v>
      </c>
    </row>
    <row r="6125">
      <c r="A6125" s="2" t="s">
        <v>7482</v>
      </c>
      <c r="B6125" s="3" t="str">
        <f>IFERROR(__xludf.DUMMYFUNCTION("GOOGLETRANSLATE(A6125, ""ar"", ""bn"")"),"কোঁচকান")</f>
        <v>কোঁচকান</v>
      </c>
    </row>
    <row r="6126">
      <c r="A6126" s="2" t="s">
        <v>7483</v>
      </c>
      <c r="B6126" s="3" t="str">
        <f>IFERROR(__xludf.DUMMYFUNCTION("GOOGLETRANSLATE(A6126, ""ar"", ""bn"")"),"শুষ্ক")</f>
        <v>শুষ্ক</v>
      </c>
    </row>
    <row r="6127">
      <c r="A6127" s="2" t="s">
        <v>7484</v>
      </c>
      <c r="B6127" s="3" t="str">
        <f>IFERROR(__xludf.DUMMYFUNCTION("GOOGLETRANSLATE(A6127, ""ar"", ""bn"")"),"সংকুচিত")</f>
        <v>সংকুচিত</v>
      </c>
    </row>
    <row r="6128">
      <c r="A6128" s="2" t="s">
        <v>7485</v>
      </c>
      <c r="B6128" s="3" t="str">
        <f>IFERROR(__xludf.DUMMYFUNCTION("GOOGLETRANSLATE(A6128, ""ar"", ""bn"")"),"তাজা ভাব হারান")</f>
        <v>তাজা ভাব হারান</v>
      </c>
    </row>
    <row r="6129">
      <c r="A6129" s="2" t="s">
        <v>7486</v>
      </c>
      <c r="B6129" s="3" t="str">
        <f>IFERROR(__xludf.DUMMYFUNCTION("GOOGLETRANSLATE(A6129, ""ar"", ""bn"")"),"আবরণ")</f>
        <v>আবরণ</v>
      </c>
    </row>
    <row r="6130">
      <c r="A6130" s="2" t="s">
        <v>7487</v>
      </c>
      <c r="B6130" s="3" t="str">
        <f>IFERROR(__xludf.DUMMYFUNCTION("GOOGLETRANSLATE(A6130, ""ar"", ""bn"")"),"Saja থেকে")</f>
        <v>Saja থেকে</v>
      </c>
    </row>
    <row r="6131">
      <c r="A6131" s="2" t="s">
        <v>7488</v>
      </c>
      <c r="B6131" s="3" t="str">
        <f>IFERROR(__xludf.DUMMYFUNCTION("GOOGLETRANSLATE(A6131, ""ar"", ""bn"")"),"shrouding")</f>
        <v>shrouding</v>
      </c>
    </row>
    <row r="6132">
      <c r="A6132" s="2" t="s">
        <v>7489</v>
      </c>
      <c r="B6132" s="3" t="str">
        <f>IFERROR(__xludf.DUMMYFUNCTION("GOOGLETRANSLATE(A6132, ""ar"", ""bn"")"),"কফিনের")</f>
        <v>কফিনের</v>
      </c>
    </row>
    <row r="6133">
      <c r="A6133" s="2" t="s">
        <v>7490</v>
      </c>
      <c r="B6133" s="3" t="str">
        <f>IFERROR(__xludf.DUMMYFUNCTION("GOOGLETRANSLATE(A6133, ""ar"", ""bn"")"),"পরিহার করা")</f>
        <v>পরিহার করা</v>
      </c>
    </row>
    <row r="6134">
      <c r="A6134" s="2" t="s">
        <v>7491</v>
      </c>
      <c r="B6134" s="3" t="str">
        <f>IFERROR(__xludf.DUMMYFUNCTION("GOOGLETRANSLATE(A6134, ""ar"", ""bn"")"),"অপবারিত")</f>
        <v>অপবারিত</v>
      </c>
    </row>
    <row r="6135">
      <c r="A6135" s="2" t="s">
        <v>7492</v>
      </c>
      <c r="B6135" s="3" t="str">
        <f>IFERROR(__xludf.DUMMYFUNCTION("GOOGLETRANSLATE(A6135, ""ar"", ""bn"")"),"দূরে থাকা")</f>
        <v>দূরে থাকা</v>
      </c>
    </row>
    <row r="6136">
      <c r="A6136" s="2" t="s">
        <v>7439</v>
      </c>
      <c r="B6136" s="3" t="str">
        <f>IFERROR(__xludf.DUMMYFUNCTION("GOOGLETRANSLATE(A6136, ""ar"", ""bn"")"),"লজ্জা কর না")</f>
        <v>লজ্জা কর না</v>
      </c>
    </row>
    <row r="6137">
      <c r="A6137" s="2" t="s">
        <v>7493</v>
      </c>
      <c r="B6137" s="3" t="str">
        <f>IFERROR(__xludf.DUMMYFUNCTION("GOOGLETRANSLATE(A6137, ""ar"", ""bn"")"),"সরিয়া যাত্তয়া")</f>
        <v>সরিয়া যাত্তয়া</v>
      </c>
    </row>
    <row r="6138">
      <c r="A6138" s="2" t="s">
        <v>7494</v>
      </c>
      <c r="B6138" s="3" t="str">
        <f>IFERROR(__xludf.DUMMYFUNCTION("GOOGLETRANSLATE(A6138, ""ar"", ""bn"")"),"ক্ষতিগ্রস্থ")</f>
        <v>ক্ষতিগ্রস্থ</v>
      </c>
    </row>
    <row r="6139">
      <c r="A6139" s="2" t="s">
        <v>7495</v>
      </c>
      <c r="B6139" s="3" t="str">
        <f>IFERROR(__xludf.DUMMYFUNCTION("GOOGLETRANSLATE(A6139, ""ar"", ""bn"")"),"shunter")</f>
        <v>shunter</v>
      </c>
    </row>
    <row r="6140">
      <c r="A6140" s="2" t="s">
        <v>7496</v>
      </c>
      <c r="B6140" s="3" t="str">
        <f>IFERROR(__xludf.DUMMYFUNCTION("GOOGLETRANSLATE(A6140, ""ar"", ""bn"")"),"shunting")</f>
        <v>shunting</v>
      </c>
    </row>
    <row r="6141">
      <c r="A6141" s="2" t="s">
        <v>4964</v>
      </c>
      <c r="B6141" s="3" t="str">
        <f>IFERROR(__xludf.DUMMYFUNCTION("GOOGLETRANSLATE(A6141, ""ar"", ""bn"")"),"পরিবর্তিত")</f>
        <v>পরিবর্তিত</v>
      </c>
    </row>
    <row r="6142">
      <c r="A6142" s="2" t="s">
        <v>5097</v>
      </c>
      <c r="B6142" s="3" t="str">
        <f>IFERROR(__xludf.DUMMYFUNCTION("GOOGLETRANSLATE(A6142, ""ar"", ""bn"")"),"ভীতু")</f>
        <v>ভীতু</v>
      </c>
    </row>
    <row r="6143">
      <c r="A6143" s="2" t="s">
        <v>7497</v>
      </c>
      <c r="B6143" s="3" t="str">
        <f>IFERROR(__xludf.DUMMYFUNCTION("GOOGLETRANSLATE(A6143, ""ar"", ""bn"")"),"Shier")</f>
        <v>Shier</v>
      </c>
    </row>
    <row r="6144">
      <c r="A6144" s="2" t="s">
        <v>7498</v>
      </c>
      <c r="B6144" s="3" t="str">
        <f>IFERROR(__xludf.DUMMYFUNCTION("GOOGLETRANSLATE(A6144, ""ar"", ""bn"")"),"লাজুক")</f>
        <v>লাজুক</v>
      </c>
    </row>
    <row r="6145">
      <c r="A6145" s="2" t="s">
        <v>7499</v>
      </c>
      <c r="B6145" s="3" t="str">
        <f>IFERROR(__xludf.DUMMYFUNCTION("GOOGLETRANSLATE(A6145, ""ar"", ""bn"")"),"লাজুক")</f>
        <v>লাজুক</v>
      </c>
    </row>
    <row r="6146">
      <c r="A6146" s="2" t="s">
        <v>3540</v>
      </c>
      <c r="B6146" s="3" t="str">
        <f>IFERROR(__xludf.DUMMYFUNCTION("GOOGLETRANSLATE(A6146, ""ar"", ""bn"")"),"timidly")</f>
        <v>timidly</v>
      </c>
    </row>
    <row r="6147">
      <c r="A6147" s="2" t="s">
        <v>7500</v>
      </c>
      <c r="B6147" s="3" t="str">
        <f>IFERROR(__xludf.DUMMYFUNCTION("GOOGLETRANSLATE(A6147, ""ar"", ""bn"")"),"ব্রীড়া")</f>
        <v>ব্রীড়া</v>
      </c>
    </row>
    <row r="6148">
      <c r="A6148" s="2" t="s">
        <v>4855</v>
      </c>
      <c r="B6148" s="3" t="str">
        <f>IFERROR(__xludf.DUMMYFUNCTION("GOOGLETRANSLATE(A6148, ""ar"", ""bn"")"),"রোগী")</f>
        <v>রোগী</v>
      </c>
    </row>
    <row r="6149">
      <c r="A6149" s="2" t="s">
        <v>7501</v>
      </c>
      <c r="B6149" s="3" t="str">
        <f>IFERROR(__xludf.DUMMYFUNCTION("GOOGLETRANSLATE(A6149, ""ar"", ""bn"")"),"অসুস্থ উপসাগর")</f>
        <v>অসুস্থ উপসাগর</v>
      </c>
    </row>
    <row r="6150">
      <c r="A6150" s="2" t="s">
        <v>7502</v>
      </c>
      <c r="B6150" s="3" t="str">
        <f>IFERROR(__xludf.DUMMYFUNCTION("GOOGLETRANSLATE(A6150, ""ar"", ""bn"")"),"রোগশয্যা")</f>
        <v>রোগশয্যা</v>
      </c>
    </row>
    <row r="6151">
      <c r="A6151" s="2" t="s">
        <v>7503</v>
      </c>
      <c r="B6151" s="3" t="str">
        <f>IFERROR(__xludf.DUMMYFUNCTION("GOOGLETRANSLATE(A6151, ""ar"", ""bn"")"),"অসুস্থতা")</f>
        <v>অসুস্থতা</v>
      </c>
    </row>
    <row r="6152">
      <c r="A6152" s="2" t="s">
        <v>3319</v>
      </c>
      <c r="B6152" s="3" t="str">
        <f>IFERROR(__xludf.DUMMYFUNCTION("GOOGLETRANSLATE(A6152, ""ar"", ""bn"")"),"অসুস্থতা")</f>
        <v>অসুস্থতা</v>
      </c>
    </row>
    <row r="6153">
      <c r="A6153" s="2" t="s">
        <v>4866</v>
      </c>
      <c r="B6153" s="3" t="str">
        <f>IFERROR(__xludf.DUMMYFUNCTION("GOOGLETRANSLATE(A6153, ""ar"", ""bn"")"),"কদর্য")</f>
        <v>কদর্য</v>
      </c>
    </row>
    <row r="6154">
      <c r="A6154" s="2" t="s">
        <v>4866</v>
      </c>
      <c r="B6154" s="3" t="str">
        <f>IFERROR(__xludf.DUMMYFUNCTION("GOOGLETRANSLATE(A6154, ""ar"", ""bn"")"),"কদর্য")</f>
        <v>কদর্য</v>
      </c>
    </row>
    <row r="6155">
      <c r="A6155" s="2" t="s">
        <v>7504</v>
      </c>
      <c r="B6155" s="3" t="str">
        <f>IFERROR(__xludf.DUMMYFUNCTION("GOOGLETRANSLATE(A6155, ""ar"", ""bn"")"),"বিতৃষ্ণ")</f>
        <v>বিতৃষ্ণ</v>
      </c>
    </row>
    <row r="6156">
      <c r="A6156" s="2" t="s">
        <v>7505</v>
      </c>
      <c r="B6156" s="3" t="str">
        <f>IFERROR(__xludf.DUMMYFUNCTION("GOOGLETRANSLATE(A6156, ""ar"", ""bn"")"),"রোগ")</f>
        <v>রোগ</v>
      </c>
    </row>
    <row r="6157">
      <c r="A6157" s="2" t="s">
        <v>7506</v>
      </c>
      <c r="B6157" s="3" t="str">
        <f>IFERROR(__xludf.DUMMYFUNCTION("GOOGLETRANSLATE(A6157, ""ar"", ""bn"")"),"sicker")</f>
        <v>sicker</v>
      </c>
    </row>
    <row r="6158">
      <c r="A6158" s="2" t="s">
        <v>7507</v>
      </c>
      <c r="B6158" s="3" t="str">
        <f>IFERROR(__xludf.DUMMYFUNCTION("GOOGLETRANSLATE(A6158, ""ar"", ""bn"")"),"কাস্তে")</f>
        <v>কাস্তে</v>
      </c>
    </row>
    <row r="6159">
      <c r="A6159" s="2" t="s">
        <v>7508</v>
      </c>
      <c r="B6159" s="3" t="str">
        <f>IFERROR(__xludf.DUMMYFUNCTION("GOOGLETRANSLATE(A6159, ""ar"", ""bn"")"),"কাস্তে")</f>
        <v>কাস্তে</v>
      </c>
    </row>
    <row r="6160">
      <c r="A6160" s="2" t="s">
        <v>7509</v>
      </c>
      <c r="B6160" s="3" t="str">
        <f>IFERROR(__xludf.DUMMYFUNCTION("GOOGLETRANSLATE(A6160, ""ar"", ""bn"")"),"দুর্বল")</f>
        <v>দুর্বল</v>
      </c>
    </row>
    <row r="6161">
      <c r="A6161" s="2" t="s">
        <v>3319</v>
      </c>
      <c r="B6161" s="3" t="str">
        <f>IFERROR(__xludf.DUMMYFUNCTION("GOOGLETRANSLATE(A6161, ""ar"", ""bn"")"),"অসুস্থতা")</f>
        <v>অসুস্থতা</v>
      </c>
    </row>
    <row r="6162">
      <c r="A6162" s="2" t="s">
        <v>4856</v>
      </c>
      <c r="B6162" s="3" t="str">
        <f>IFERROR(__xludf.DUMMYFUNCTION("GOOGLETRANSLATE(A6162, ""ar"", ""bn"")"),"রোগ")</f>
        <v>রোগ</v>
      </c>
    </row>
    <row r="6163">
      <c r="A6163" s="2" t="s">
        <v>7510</v>
      </c>
      <c r="B6163" s="3" t="str">
        <f>IFERROR(__xludf.DUMMYFUNCTION("GOOGLETRANSLATE(A6163, ""ar"", ""bn"")"),"রোগীদের রুম")</f>
        <v>রোগীদের রুম</v>
      </c>
    </row>
    <row r="6164">
      <c r="A6164" s="2" t="s">
        <v>7503</v>
      </c>
      <c r="B6164" s="3" t="str">
        <f>IFERROR(__xludf.DUMMYFUNCTION("GOOGLETRANSLATE(A6164, ""ar"", ""bn"")"),"অসুস্থতা")</f>
        <v>অসুস্থতা</v>
      </c>
    </row>
    <row r="6165">
      <c r="A6165" s="2" t="s">
        <v>3319</v>
      </c>
      <c r="B6165" s="3" t="str">
        <f>IFERROR(__xludf.DUMMYFUNCTION("GOOGLETRANSLATE(A6165, ""ar"", ""bn"")"),"অসুস্থতা")</f>
        <v>অসুস্থতা</v>
      </c>
    </row>
    <row r="6166">
      <c r="A6166" s="2" t="s">
        <v>4866</v>
      </c>
      <c r="B6166" s="3" t="str">
        <f>IFERROR(__xludf.DUMMYFUNCTION("GOOGLETRANSLATE(A6166, ""ar"", ""bn"")"),"কদর্য")</f>
        <v>কদর্য</v>
      </c>
    </row>
    <row r="6167">
      <c r="A6167" s="2" t="s">
        <v>4866</v>
      </c>
      <c r="B6167" s="3" t="str">
        <f>IFERROR(__xludf.DUMMYFUNCTION("GOOGLETRANSLATE(A6167, ""ar"", ""bn"")"),"কদর্য")</f>
        <v>কদর্য</v>
      </c>
    </row>
    <row r="6168">
      <c r="A6168" s="2" t="s">
        <v>7504</v>
      </c>
      <c r="B6168" s="3" t="str">
        <f>IFERROR(__xludf.DUMMYFUNCTION("GOOGLETRANSLATE(A6168, ""ar"", ""bn"")"),"বিতৃষ্ণ")</f>
        <v>বিতৃষ্ণ</v>
      </c>
    </row>
    <row r="6169">
      <c r="A6169" s="2" t="s">
        <v>7509</v>
      </c>
      <c r="B6169" s="3" t="str">
        <f>IFERROR(__xludf.DUMMYFUNCTION("GOOGLETRANSLATE(A6169, ""ar"", ""bn"")"),"দুর্বল")</f>
        <v>দুর্বল</v>
      </c>
    </row>
    <row r="6170">
      <c r="A6170" s="2" t="s">
        <v>3319</v>
      </c>
      <c r="B6170" s="3" t="str">
        <f>IFERROR(__xludf.DUMMYFUNCTION("GOOGLETRANSLATE(A6170, ""ar"", ""bn"")"),"অসুস্থতা")</f>
        <v>অসুস্থতা</v>
      </c>
    </row>
    <row r="6171">
      <c r="A6171" s="2" t="s">
        <v>4856</v>
      </c>
      <c r="B6171" s="3" t="str">
        <f>IFERROR(__xludf.DUMMYFUNCTION("GOOGLETRANSLATE(A6171, ""ar"", ""bn"")"),"রোগ")</f>
        <v>রোগ</v>
      </c>
    </row>
    <row r="6172">
      <c r="A6172" s="2" t="s">
        <v>347</v>
      </c>
      <c r="B6172" s="3" t="str">
        <f>IFERROR(__xludf.DUMMYFUNCTION("GOOGLETRANSLATE(A6172, ""ar"", ""bn"")"),"নিরোধ")</f>
        <v>নিরোধ</v>
      </c>
    </row>
    <row r="6173">
      <c r="A6173" s="2" t="s">
        <v>3691</v>
      </c>
      <c r="B6173" s="3" t="str">
        <f>IFERROR(__xludf.DUMMYFUNCTION("GOOGLETRANSLATE(A6173, ""ar"", ""bn"")"),"নিরোধ")</f>
        <v>নিরোধ</v>
      </c>
    </row>
    <row r="6174">
      <c r="A6174" s="2" t="s">
        <v>3212</v>
      </c>
      <c r="B6174" s="3" t="str">
        <f>IFERROR(__xludf.DUMMYFUNCTION("GOOGLETRANSLATE(A6174, ""ar"", ""bn"")"),"নিরীহ")</f>
        <v>নিরীহ</v>
      </c>
    </row>
    <row r="6175">
      <c r="A6175" s="2" t="s">
        <v>6557</v>
      </c>
      <c r="B6175" s="3" t="str">
        <f>IFERROR(__xludf.DUMMYFUNCTION("GOOGLETRANSLATE(A6175, ""ar"", ""bn"")"),"মূঢ়")</f>
        <v>মূঢ়</v>
      </c>
    </row>
    <row r="6176">
      <c r="A6176" s="2" t="s">
        <v>7511</v>
      </c>
      <c r="B6176" s="3" t="str">
        <f>IFERROR(__xludf.DUMMYFUNCTION("GOOGLETRANSLATE(A6176, ""ar"", ""bn"")"),"সাধারণ")</f>
        <v>সাধারণ</v>
      </c>
    </row>
    <row r="6177">
      <c r="A6177" s="2" t="s">
        <v>7512</v>
      </c>
      <c r="B6177" s="3" t="str">
        <f>IFERROR(__xludf.DUMMYFUNCTION("GOOGLETRANSLATE(A6177, ""ar"", ""bn"")"),"সরলীকরণ")</f>
        <v>সরলীকরণ</v>
      </c>
    </row>
    <row r="6178">
      <c r="A6178" s="2" t="s">
        <v>7513</v>
      </c>
      <c r="B6178" s="3" t="str">
        <f>IFERROR(__xludf.DUMMYFUNCTION("GOOGLETRANSLATE(A6178, ""ar"", ""bn"")"),"সরলীকৃত")</f>
        <v>সরলীকৃত</v>
      </c>
    </row>
    <row r="6179">
      <c r="A6179" s="2" t="s">
        <v>7514</v>
      </c>
      <c r="B6179" s="3" t="str">
        <f>IFERROR(__xludf.DUMMYFUNCTION("GOOGLETRANSLATE(A6179, ""ar"", ""bn"")"),"পাপ")</f>
        <v>পাপ</v>
      </c>
    </row>
    <row r="6180">
      <c r="A6180" s="2" t="s">
        <v>7515</v>
      </c>
      <c r="B6180" s="3" t="str">
        <f>IFERROR(__xludf.DUMMYFUNCTION("GOOGLETRANSLATE(A6180, ""ar"", ""bn"")"),"সিনাই")</f>
        <v>সিনাই</v>
      </c>
    </row>
    <row r="6181">
      <c r="A6181" s="2" t="s">
        <v>7516</v>
      </c>
      <c r="B6181" s="3" t="str">
        <f>IFERROR(__xludf.DUMMYFUNCTION("GOOGLETRANSLATE(A6181, ""ar"", ""bn"")"),"পূর্বে")</f>
        <v>পূর্বে</v>
      </c>
    </row>
    <row r="6182">
      <c r="A6182" s="2" t="s">
        <v>7517</v>
      </c>
      <c r="B6182" s="3" t="str">
        <f>IFERROR(__xludf.DUMMYFUNCTION("GOOGLETRANSLATE(A6182, ""ar"", ""bn"")"),"সত্")</f>
        <v>সত্</v>
      </c>
    </row>
    <row r="6183">
      <c r="A6183" s="2" t="s">
        <v>7518</v>
      </c>
      <c r="B6183" s="3" t="str">
        <f>IFERROR(__xludf.DUMMYFUNCTION("GOOGLETRANSLATE(A6183, ""ar"", ""bn"")"),"অকপটভাবে")</f>
        <v>অকপটভাবে</v>
      </c>
    </row>
    <row r="6184">
      <c r="A6184" s="2" t="s">
        <v>7519</v>
      </c>
      <c r="B6184" s="3" t="str">
        <f>IFERROR(__xludf.DUMMYFUNCTION("GOOGLETRANSLATE(A6184, ""ar"", ""bn"")"),"বিশুদ্ধ")</f>
        <v>বিশুদ্ধ</v>
      </c>
    </row>
    <row r="6185">
      <c r="A6185" s="2" t="s">
        <v>7520</v>
      </c>
      <c r="B6185" s="3" t="str">
        <f>IFERROR(__xludf.DUMMYFUNCTION("GOOGLETRANSLATE(A6185, ""ar"", ""bn"")"),"সত্য")</f>
        <v>সত্য</v>
      </c>
    </row>
    <row r="6186">
      <c r="A6186" s="2" t="s">
        <v>7521</v>
      </c>
      <c r="B6186" s="3" t="str">
        <f>IFERROR(__xludf.DUMMYFUNCTION("GOOGLETRANSLATE(A6186, ""ar"", ""bn"")"),"পকেট")</f>
        <v>পকেট</v>
      </c>
    </row>
    <row r="6187">
      <c r="A6187" s="2" t="s">
        <v>7522</v>
      </c>
      <c r="B6187" s="3" t="str">
        <f>IFERROR(__xludf.DUMMYFUNCTION("GOOGLETRANSLATE(A6187, ""ar"", ""bn"")"),"কর্মভারহীন পদ")</f>
        <v>কর্মভারহীন পদ</v>
      </c>
    </row>
    <row r="6188">
      <c r="A6188" s="2" t="s">
        <v>7523</v>
      </c>
      <c r="B6188" s="3" t="str">
        <f>IFERROR(__xludf.DUMMYFUNCTION("GOOGLETRANSLATE(A6188, ""ar"", ""bn"")"),"Mtbtalan")</f>
        <v>Mtbtalan</v>
      </c>
    </row>
    <row r="6189">
      <c r="A6189" s="2" t="s">
        <v>7524</v>
      </c>
      <c r="B6189" s="3" t="str">
        <f>IFERROR(__xludf.DUMMYFUNCTION("GOOGLETRANSLATE(A6189, ""ar"", ""bn"")"),"পকেট")</f>
        <v>পকেট</v>
      </c>
    </row>
    <row r="6190">
      <c r="A6190" s="2" t="s">
        <v>7525</v>
      </c>
      <c r="B6190" s="3" t="str">
        <f>IFERROR(__xludf.DUMMYFUNCTION("GOOGLETRANSLATE(A6190, ""ar"", ""bn"")"),"স্নায়ু")</f>
        <v>স্নায়ু</v>
      </c>
    </row>
    <row r="6191">
      <c r="A6191" s="2" t="s">
        <v>7526</v>
      </c>
      <c r="B6191" s="3" t="str">
        <f>IFERROR(__xludf.DUMMYFUNCTION("GOOGLETRANSLATE(A6191, ""ar"", ""bn"")"),"ডুরি")</f>
        <v>ডুরি</v>
      </c>
    </row>
    <row r="6192">
      <c r="A6192" s="2" t="s">
        <v>7527</v>
      </c>
      <c r="B6192" s="3" t="str">
        <f>IFERROR(__xludf.DUMMYFUNCTION("GOOGLETRANSLATE(A6192, ""ar"", ""bn"")"),"দেখা")</f>
        <v>দেখা</v>
      </c>
    </row>
    <row r="6193">
      <c r="A6193" s="2" t="s">
        <v>4374</v>
      </c>
      <c r="B6193" s="3" t="str">
        <f>IFERROR(__xludf.DUMMYFUNCTION("GOOGLETRANSLATE(A6193, ""ar"", ""bn"")"),"দোষী")</f>
        <v>দোষী</v>
      </c>
    </row>
    <row r="6194">
      <c r="A6194" s="2" t="s">
        <v>7528</v>
      </c>
      <c r="B6194" s="3" t="str">
        <f>IFERROR(__xludf.DUMMYFUNCTION("GOOGLETRANSLATE(A6194, ""ar"", ""bn"")"),"মন্দ")</f>
        <v>মন্দ</v>
      </c>
    </row>
    <row r="6195">
      <c r="A6195" s="2" t="s">
        <v>7529</v>
      </c>
      <c r="B6195" s="3" t="str">
        <f>IFERROR(__xludf.DUMMYFUNCTION("GOOGLETRANSLATE(A6195, ""ar"", ""bn"")"),"অপরাধ")</f>
        <v>অপরাধ</v>
      </c>
    </row>
    <row r="6196">
      <c r="A6196" s="2" t="s">
        <v>7530</v>
      </c>
      <c r="B6196" s="3" t="str">
        <f>IFERROR(__xludf.DUMMYFUNCTION("GOOGLETRANSLATE(A6196, ""ar"", ""bn"")"),"সমৃদ্ধ")</f>
        <v>সমৃদ্ধ</v>
      </c>
    </row>
    <row r="6197">
      <c r="A6197" s="2" t="s">
        <v>7531</v>
      </c>
      <c r="B6197" s="3" t="str">
        <f>IFERROR(__xludf.DUMMYFUNCTION("GOOGLETRANSLATE(A6197, ""ar"", ""bn"")"),"পুড়ান")</f>
        <v>পুড়ান</v>
      </c>
    </row>
    <row r="6198">
      <c r="A6198" s="2" t="s">
        <v>7532</v>
      </c>
      <c r="B6198" s="3" t="str">
        <f>IFERROR(__xludf.DUMMYFUNCTION("GOOGLETRANSLATE(A6198, ""ar"", ""bn"")"),"রৌদ্রদগ্ধ")</f>
        <v>রৌদ্রদগ্ধ</v>
      </c>
    </row>
    <row r="6199">
      <c r="A6199" s="2" t="s">
        <v>7533</v>
      </c>
      <c r="B6199" s="3" t="str">
        <f>IFERROR(__xludf.DUMMYFUNCTION("GOOGLETRANSLATE(A6199, ""ar"", ""bn"")"),"singeing")</f>
        <v>singeing</v>
      </c>
    </row>
    <row r="6200">
      <c r="A6200" s="2" t="s">
        <v>7534</v>
      </c>
      <c r="B6200" s="3" t="str">
        <f>IFERROR(__xludf.DUMMYFUNCTION("GOOGLETRANSLATE(A6200, ""ar"", ""bn"")"),"গায়ক")</f>
        <v>গায়ক</v>
      </c>
    </row>
    <row r="6201">
      <c r="A6201" s="2" t="s">
        <v>7535</v>
      </c>
      <c r="B6201" s="3" t="str">
        <f>IFERROR(__xludf.DUMMYFUNCTION("GOOGLETRANSLATE(A6201, ""ar"", ""bn"")"),"গায়ক")</f>
        <v>গায়ক</v>
      </c>
    </row>
    <row r="6202">
      <c r="A6202" s="2" t="s">
        <v>7536</v>
      </c>
      <c r="B6202" s="3" t="str">
        <f>IFERROR(__xludf.DUMMYFUNCTION("GOOGLETRANSLATE(A6202, ""ar"", ""bn"")"),"উদ্গাতা")</f>
        <v>উদ্গাতা</v>
      </c>
    </row>
    <row r="6203">
      <c r="A6203" s="2" t="s">
        <v>6242</v>
      </c>
      <c r="B6203" s="3" t="str">
        <f>IFERROR(__xludf.DUMMYFUNCTION("GOOGLETRANSLATE(A6203, ""ar"", ""bn"")"),"একক")</f>
        <v>একক</v>
      </c>
    </row>
    <row r="6204">
      <c r="A6204" s="2" t="s">
        <v>7537</v>
      </c>
      <c r="B6204" s="3" t="str">
        <f>IFERROR(__xludf.DUMMYFUNCTION("GOOGLETRANSLATE(A6204, ""ar"", ""bn"")"),"একাকী")</f>
        <v>একাকী</v>
      </c>
    </row>
    <row r="6205">
      <c r="A6205" s="2" t="s">
        <v>7538</v>
      </c>
      <c r="B6205" s="3" t="str">
        <f>IFERROR(__xludf.DUMMYFUNCTION("GOOGLETRANSLATE(A6205, ""ar"", ""bn"")"),"একা")</f>
        <v>একা</v>
      </c>
    </row>
    <row r="6206">
      <c r="A6206" s="2" t="s">
        <v>7194</v>
      </c>
      <c r="B6206" s="3" t="str">
        <f>IFERROR(__xludf.DUMMYFUNCTION("GOOGLETRANSLATE(A6206, ""ar"", ""bn"")"),"কঠোরতা")</f>
        <v>কঠোরতা</v>
      </c>
    </row>
    <row r="6207">
      <c r="A6207" s="2" t="s">
        <v>7539</v>
      </c>
      <c r="B6207" s="3" t="str">
        <f>IFERROR(__xludf.DUMMYFUNCTION("GOOGLETRANSLATE(A6207, ""ar"", ""bn"")"),"সিঙ্গেলস")</f>
        <v>সিঙ্গেলস</v>
      </c>
    </row>
    <row r="6208">
      <c r="A6208" s="2" t="s">
        <v>7540</v>
      </c>
      <c r="B6208" s="3" t="str">
        <f>IFERROR(__xludf.DUMMYFUNCTION("GOOGLETRANSLATE(A6208, ""ar"", ""bn"")"),"একেলা")</f>
        <v>একেলা</v>
      </c>
    </row>
    <row r="6209">
      <c r="A6209" s="2" t="s">
        <v>7541</v>
      </c>
      <c r="B6209" s="3" t="str">
        <f>IFERROR(__xludf.DUMMYFUNCTION("GOOGLETRANSLATE(A6209, ""ar"", ""bn"")"),"উদ্গাতা")</f>
        <v>উদ্গাতা</v>
      </c>
    </row>
    <row r="6210">
      <c r="A6210" s="2" t="s">
        <v>7542</v>
      </c>
      <c r="B6210" s="3" t="str">
        <f>IFERROR(__xludf.DUMMYFUNCTION("GOOGLETRANSLATE(A6210, ""ar"", ""bn"")"),"গান গাত্তয়া")</f>
        <v>গান গাত্তয়া</v>
      </c>
    </row>
    <row r="6211">
      <c r="A6211" s="2" t="s">
        <v>7543</v>
      </c>
      <c r="B6211" s="3" t="str">
        <f>IFERROR(__xludf.DUMMYFUNCTION("GOOGLETRANSLATE(A6211, ""ar"", ""bn"")"),"একবচন")</f>
        <v>একবচন</v>
      </c>
    </row>
    <row r="6212">
      <c r="A6212" s="2" t="s">
        <v>7544</v>
      </c>
      <c r="B6212" s="3" t="str">
        <f>IFERROR(__xludf.DUMMYFUNCTION("GOOGLETRANSLATE(A6212, ""ar"", ""bn"")"),"তাঁর চরিত্রগুলিকে")</f>
        <v>তাঁর চরিত্রগুলিকে</v>
      </c>
    </row>
    <row r="6213">
      <c r="A6213" s="2" t="s">
        <v>7545</v>
      </c>
      <c r="B6213" s="3" t="str">
        <f>IFERROR(__xludf.DUMMYFUNCTION("GOOGLETRANSLATE(A6213, ""ar"", ""bn"")"),"একতা")</f>
        <v>একতা</v>
      </c>
    </row>
    <row r="6214">
      <c r="A6214" s="2" t="s">
        <v>7546</v>
      </c>
      <c r="B6214" s="3" t="str">
        <f>IFERROR(__xludf.DUMMYFUNCTION("GOOGLETRANSLATE(A6214, ""ar"", ""bn"")"),"বিযুক্ত")</f>
        <v>বিযুক্ত</v>
      </c>
    </row>
    <row r="6215">
      <c r="A6215" s="2" t="s">
        <v>7528</v>
      </c>
      <c r="B6215" s="3" t="str">
        <f>IFERROR(__xludf.DUMMYFUNCTION("GOOGLETRANSLATE(A6215, ""ar"", ""bn"")"),"মন্দ")</f>
        <v>মন্দ</v>
      </c>
    </row>
    <row r="6216">
      <c r="A6216" s="2" t="s">
        <v>1338</v>
      </c>
      <c r="B6216" s="3" t="str">
        <f>IFERROR(__xludf.DUMMYFUNCTION("GOOGLETRANSLATE(A6216, ""ar"", ""bn"")"),"বাম")</f>
        <v>বাম</v>
      </c>
    </row>
    <row r="6217">
      <c r="A6217" s="2" t="s">
        <v>7547</v>
      </c>
      <c r="B6217" s="3" t="str">
        <f>IFERROR(__xludf.DUMMYFUNCTION("GOOGLETRANSLATE(A6217, ""ar"", ""bn"")"),"ডুবা")</f>
        <v>ডুবা</v>
      </c>
    </row>
    <row r="6218">
      <c r="A6218" s="2" t="s">
        <v>7548</v>
      </c>
      <c r="B6218" s="3" t="str">
        <f>IFERROR(__xludf.DUMMYFUNCTION("GOOGLETRANSLATE(A6218, ""ar"", ""bn"")"),"ডুবো")</f>
        <v>ডুবো</v>
      </c>
    </row>
    <row r="6219">
      <c r="A6219" s="2" t="s">
        <v>7549</v>
      </c>
      <c r="B6219" s="3" t="str">
        <f>IFERROR(__xludf.DUMMYFUNCTION("GOOGLETRANSLATE(A6219, ""ar"", ""bn"")"),"Plungers")</f>
        <v>Plungers</v>
      </c>
    </row>
    <row r="6220">
      <c r="A6220" s="2" t="s">
        <v>5035</v>
      </c>
      <c r="B6220" s="3" t="str">
        <f>IFERROR(__xludf.DUMMYFUNCTION("GOOGLETRANSLATE(A6220, ""ar"", ""bn"")"),"ডুবন্ত")</f>
        <v>ডুবন্ত</v>
      </c>
    </row>
    <row r="6221">
      <c r="A6221" s="2" t="s">
        <v>7550</v>
      </c>
      <c r="B6221" s="3" t="str">
        <f>IFERROR(__xludf.DUMMYFUNCTION("GOOGLETRANSLATE(A6221, ""ar"", ""bn"")"),"ব্যাংক")</f>
        <v>ব্যাংক</v>
      </c>
    </row>
    <row r="6222">
      <c r="A6222" s="2" t="s">
        <v>7551</v>
      </c>
      <c r="B6222" s="3" t="str">
        <f>IFERROR(__xludf.DUMMYFUNCTION("GOOGLETRANSLATE(A6222, ""ar"", ""bn"")"),"পাপ ছাড়া")</f>
        <v>পাপ ছাড়া</v>
      </c>
    </row>
    <row r="6223">
      <c r="A6223" s="2" t="s">
        <v>5165</v>
      </c>
      <c r="B6223" s="3" t="str">
        <f>IFERROR(__xludf.DUMMYFUNCTION("GOOGLETRANSLATE(A6223, ""ar"", ""bn"")"),"ভুল")</f>
        <v>ভুল</v>
      </c>
    </row>
    <row r="6224">
      <c r="A6224" s="2" t="s">
        <v>7552</v>
      </c>
      <c r="B6224" s="3" t="str">
        <f>IFERROR(__xludf.DUMMYFUNCTION("GOOGLETRANSLATE(A6224, ""ar"", ""bn"")"),"পাপী")</f>
        <v>পাপী</v>
      </c>
    </row>
    <row r="6225">
      <c r="A6225" s="2" t="s">
        <v>7553</v>
      </c>
      <c r="B6225" s="3" t="str">
        <f>IFERROR(__xludf.DUMMYFUNCTION("GOOGLETRANSLATE(A6225, ""ar"", ""bn"")"),"পাপীদের")</f>
        <v>পাপীদের</v>
      </c>
    </row>
    <row r="6226">
      <c r="A6226" s="2" t="s">
        <v>4374</v>
      </c>
      <c r="B6226" s="3" t="str">
        <f>IFERROR(__xludf.DUMMYFUNCTION("GOOGLETRANSLATE(A6226, ""ar"", ""bn"")"),"দোষী")</f>
        <v>দোষী</v>
      </c>
    </row>
    <row r="6227">
      <c r="A6227" s="2" t="s">
        <v>7554</v>
      </c>
      <c r="B6227" s="3" t="str">
        <f>IFERROR(__xludf.DUMMYFUNCTION("GOOGLETRANSLATE(A6227, ""ar"", ""bn"")"),"পাপের")</f>
        <v>পাপের</v>
      </c>
    </row>
    <row r="6228">
      <c r="A6228" s="2" t="s">
        <v>7555</v>
      </c>
      <c r="B6228" s="3" t="str">
        <f>IFERROR(__xludf.DUMMYFUNCTION("GOOGLETRANSLATE(A6228, ""ar"", ""bn"")"),"সিন্টার")</f>
        <v>সিন্টার</v>
      </c>
    </row>
    <row r="6229">
      <c r="A6229" s="2" t="s">
        <v>7556</v>
      </c>
      <c r="B6229" s="3" t="str">
        <f>IFERROR(__xludf.DUMMYFUNCTION("GOOGLETRANSLATE(A6229, ""ar"", ""bn"")"),"Sinters")</f>
        <v>Sinters</v>
      </c>
    </row>
    <row r="6230">
      <c r="A6230" s="2" t="s">
        <v>7557</v>
      </c>
      <c r="B6230" s="3" t="str">
        <f>IFERROR(__xludf.DUMMYFUNCTION("GOOGLETRANSLATE(A6230, ""ar"", ""bn"")"),"ঘুর")</f>
        <v>ঘুর</v>
      </c>
    </row>
    <row r="6231">
      <c r="A6231" s="2" t="s">
        <v>7521</v>
      </c>
      <c r="B6231" s="3" t="str">
        <f>IFERROR(__xludf.DUMMYFUNCTION("GOOGLETRANSLATE(A6231, ""ar"", ""bn"")"),"পকেট")</f>
        <v>পকেট</v>
      </c>
    </row>
    <row r="6232">
      <c r="A6232" s="2" t="s">
        <v>7558</v>
      </c>
      <c r="B6232" s="3" t="str">
        <f>IFERROR(__xludf.DUMMYFUNCTION("GOOGLETRANSLATE(A6232, ""ar"", ""bn"")"),"paranasal সাইনাস")</f>
        <v>paranasal সাইনাস</v>
      </c>
    </row>
    <row r="6233">
      <c r="A6233" s="2" t="s">
        <v>7559</v>
      </c>
      <c r="B6233" s="3" t="str">
        <f>IFERROR(__xludf.DUMMYFUNCTION("GOOGLETRANSLATE(A6233, ""ar"", ""bn"")"),"সাইনাসের প্রদাহ")</f>
        <v>সাইনাসের প্রদাহ</v>
      </c>
    </row>
    <row r="6234">
      <c r="A6234" s="2" t="s">
        <v>7560</v>
      </c>
      <c r="B6234" s="3" t="str">
        <f>IFERROR(__xludf.DUMMYFUNCTION("GOOGLETRANSLATE(A6234, ""ar"", ""bn"")"),"জীবণ; সেমি-পকেট")</f>
        <v>জীবণ; সেমি-পকেট</v>
      </c>
    </row>
    <row r="6235">
      <c r="A6235" s="2" t="s">
        <v>7561</v>
      </c>
      <c r="B6235" s="3" t="str">
        <f>IFERROR(__xludf.DUMMYFUNCTION("GOOGLETRANSLATE(A6235, ""ar"", ""bn"")"),"ঘোড়ার ডিম")</f>
        <v>ঘোড়ার ডিম</v>
      </c>
    </row>
    <row r="6236">
      <c r="A6236" s="2" t="s">
        <v>4374</v>
      </c>
      <c r="B6236" s="3" t="str">
        <f>IFERROR(__xludf.DUMMYFUNCTION("GOOGLETRANSLATE(A6236, ""ar"", ""bn"")"),"দোষী")</f>
        <v>দোষী</v>
      </c>
    </row>
    <row r="6237">
      <c r="A6237" s="2" t="s">
        <v>7528</v>
      </c>
      <c r="B6237" s="3" t="str">
        <f>IFERROR(__xludf.DUMMYFUNCTION("GOOGLETRANSLATE(A6237, ""ar"", ""bn"")"),"মন্দ")</f>
        <v>মন্দ</v>
      </c>
    </row>
    <row r="6238">
      <c r="A6238" s="2" t="s">
        <v>7529</v>
      </c>
      <c r="B6238" s="3" t="str">
        <f>IFERROR(__xludf.DUMMYFUNCTION("GOOGLETRANSLATE(A6238, ""ar"", ""bn"")"),"অপরাধ")</f>
        <v>অপরাধ</v>
      </c>
    </row>
    <row r="6239">
      <c r="A6239" s="2" t="s">
        <v>7528</v>
      </c>
      <c r="B6239" s="3" t="str">
        <f>IFERROR(__xludf.DUMMYFUNCTION("GOOGLETRANSLATE(A6239, ""ar"", ""bn"")"),"মন্দ")</f>
        <v>মন্দ</v>
      </c>
    </row>
    <row r="6240">
      <c r="A6240" s="2" t="s">
        <v>7554</v>
      </c>
      <c r="B6240" s="3" t="str">
        <f>IFERROR(__xludf.DUMMYFUNCTION("GOOGLETRANSLATE(A6240, ""ar"", ""bn"")"),"পাপের")</f>
        <v>পাপের</v>
      </c>
    </row>
    <row r="6241">
      <c r="A6241" s="2" t="s">
        <v>7336</v>
      </c>
      <c r="B6241" s="3" t="str">
        <f>IFERROR(__xludf.DUMMYFUNCTION("GOOGLETRANSLATE(A6241, ""ar"", ""bn"")"),"সন্দেহবাদী")</f>
        <v>সন্দেহবাদী</v>
      </c>
    </row>
    <row r="6242">
      <c r="A6242" s="2" t="s">
        <v>7562</v>
      </c>
      <c r="B6242" s="3" t="str">
        <f>IFERROR(__xludf.DUMMYFUNCTION("GOOGLETRANSLATE(A6242, ""ar"", ""bn"")"),"পৃষ্ঠস্থ")</f>
        <v>পৃষ্ঠস্থ</v>
      </c>
    </row>
    <row r="6243">
      <c r="A6243" s="2" t="s">
        <v>7563</v>
      </c>
      <c r="B6243" s="3" t="str">
        <f>IFERROR(__xludf.DUMMYFUNCTION("GOOGLETRANSLATE(A6243, ""ar"", ""bn"")"),"দাঙ্গা")</f>
        <v>দাঙ্গা</v>
      </c>
    </row>
    <row r="6244">
      <c r="A6244" s="2" t="s">
        <v>7564</v>
      </c>
      <c r="B6244" s="3" t="str">
        <f>IFERROR(__xludf.DUMMYFUNCTION("GOOGLETRANSLATE(A6244, ""ar"", ""bn"")"),"বিচ্ছিন্ন লড়াই")</f>
        <v>বিচ্ছিন্ন লড়াই</v>
      </c>
    </row>
    <row r="6245">
      <c r="A6245" s="2" t="s">
        <v>7565</v>
      </c>
      <c r="B6245" s="3" t="str">
        <f>IFERROR(__xludf.DUMMYFUNCTION("GOOGLETRANSLATE(A6245, ""ar"", ""bn"")"),"বিচ্ছিন্ন লড়াই")</f>
        <v>বিচ্ছিন্ন লড়াই</v>
      </c>
    </row>
    <row r="6246">
      <c r="A6246" s="2" t="s">
        <v>7566</v>
      </c>
      <c r="B6246" s="3" t="str">
        <f>IFERROR(__xludf.DUMMYFUNCTION("GOOGLETRANSLATE(A6246, ""ar"", ""bn"")"),"কাজ এড়ান")</f>
        <v>কাজ এড়ান</v>
      </c>
    </row>
    <row r="6247">
      <c r="A6247" s="2" t="s">
        <v>6001</v>
      </c>
      <c r="B6247" s="3" t="str">
        <f>IFERROR(__xludf.DUMMYFUNCTION("GOOGLETRANSLATE(A6247, ""ar"", ""bn"")"),"অফসাইড")</f>
        <v>অফসাইড</v>
      </c>
    </row>
    <row r="6248">
      <c r="A6248" s="2" t="s">
        <v>7567</v>
      </c>
      <c r="B6248" s="3" t="str">
        <f>IFERROR(__xludf.DUMMYFUNCTION("GOOGLETRANSLATE(A6248, ""ar"", ""bn"")"),"শক্তিশালী হিট")</f>
        <v>শক্তিশালী হিট</v>
      </c>
    </row>
    <row r="6249">
      <c r="A6249" s="2" t="s">
        <v>3965</v>
      </c>
      <c r="B6249" s="3" t="str">
        <f>IFERROR(__xludf.DUMMYFUNCTION("GOOGLETRANSLATE(A6249, ""ar"", ""bn"")"),"সমালোচনা করা")</f>
        <v>সমালোচনা করা</v>
      </c>
    </row>
    <row r="6250">
      <c r="A6250" s="2" t="s">
        <v>7568</v>
      </c>
      <c r="B6250" s="3" t="str">
        <f>IFERROR(__xludf.DUMMYFUNCTION("GOOGLETRANSLATE(A6250, ""ar"", ""bn"")"),"প্রশংসা")</f>
        <v>প্রশংসা</v>
      </c>
    </row>
    <row r="6251">
      <c r="A6251" s="2" t="s">
        <v>4289</v>
      </c>
      <c r="B6251" s="3" t="str">
        <f>IFERROR(__xludf.DUMMYFUNCTION("GOOGLETRANSLATE(A6251, ""ar"", ""bn"")"),"সমালোচনা করা")</f>
        <v>সমালোচনা করা</v>
      </c>
    </row>
    <row r="6252">
      <c r="A6252" s="2" t="s">
        <v>7569</v>
      </c>
      <c r="B6252" s="3" t="str">
        <f>IFERROR(__xludf.DUMMYFUNCTION("GOOGLETRANSLATE(A6252, ""ar"", ""bn"")"),"মানহানি")</f>
        <v>মানহানি</v>
      </c>
    </row>
    <row r="6253">
      <c r="A6253" s="2" t="s">
        <v>7570</v>
      </c>
      <c r="B6253" s="3" t="str">
        <f>IFERROR(__xludf.DUMMYFUNCTION("GOOGLETRANSLATE(A6253, ""ar"", ""bn"")"),"নিন্দিত")</f>
        <v>নিন্দিত</v>
      </c>
    </row>
    <row r="6254">
      <c r="A6254" s="2" t="s">
        <v>7571</v>
      </c>
      <c r="B6254" s="3" t="str">
        <f>IFERROR(__xludf.DUMMYFUNCTION("GOOGLETRANSLATE(A6254, ""ar"", ""bn"")"),"নিন্দুক")</f>
        <v>নিন্দুক</v>
      </c>
    </row>
    <row r="6255">
      <c r="A6255" s="2" t="s">
        <v>7572</v>
      </c>
      <c r="B6255" s="3" t="str">
        <f>IFERROR(__xludf.DUMMYFUNCTION("GOOGLETRANSLATE(A6255, ""ar"", ""bn"")"),"Stirrers")</f>
        <v>Stirrers</v>
      </c>
    </row>
    <row r="6256">
      <c r="A6256" s="2" t="s">
        <v>6312</v>
      </c>
      <c r="B6256" s="3" t="str">
        <f>IFERROR(__xludf.DUMMYFUNCTION("GOOGLETRANSLATE(A6256, ""ar"", ""bn"")"),"অপবাদ")</f>
        <v>অপবাদ</v>
      </c>
    </row>
    <row r="6257">
      <c r="A6257" s="2" t="s">
        <v>4487</v>
      </c>
      <c r="B6257" s="3" t="str">
        <f>IFERROR(__xludf.DUMMYFUNCTION("GOOGLETRANSLATE(A6257, ""ar"", ""bn"")"),"মানহানিকর")</f>
        <v>মানহানিকর</v>
      </c>
    </row>
    <row r="6258">
      <c r="A6258" s="2" t="s">
        <v>7573</v>
      </c>
      <c r="B6258" s="3" t="str">
        <f>IFERROR(__xludf.DUMMYFUNCTION("GOOGLETRANSLATE(A6258, ""ar"", ""bn"")"),"slurs")</f>
        <v>slurs</v>
      </c>
    </row>
    <row r="6259">
      <c r="A6259" s="2" t="s">
        <v>7574</v>
      </c>
      <c r="B6259" s="3" t="str">
        <f>IFERROR(__xludf.DUMMYFUNCTION("GOOGLETRANSLATE(A6259, ""ar"", ""bn"")"),"চড়")</f>
        <v>চড়</v>
      </c>
    </row>
    <row r="6260">
      <c r="A6260" s="2" t="s">
        <v>6864</v>
      </c>
      <c r="B6260" s="3" t="str">
        <f>IFERROR(__xludf.DUMMYFUNCTION("GOOGLETRANSLATE(A6260, ""ar"", ""bn"")"),"ত্বরায়")</f>
        <v>ত্বরায়</v>
      </c>
    </row>
    <row r="6261">
      <c r="A6261" s="2" t="s">
        <v>7575</v>
      </c>
      <c r="B6261" s="3" t="str">
        <f>IFERROR(__xludf.DUMMYFUNCTION("GOOGLETRANSLATE(A6261, ""ar"", ""bn"")"),"চড়")</f>
        <v>চড়</v>
      </c>
    </row>
    <row r="6262">
      <c r="A6262" s="2" t="s">
        <v>7576</v>
      </c>
      <c r="B6262" s="3" t="str">
        <f>IFERROR(__xludf.DUMMYFUNCTION("GOOGLETRANSLATE(A6262, ""ar"", ""bn"")"),"তারিক")</f>
        <v>তারিক</v>
      </c>
    </row>
    <row r="6263">
      <c r="A6263" s="2" t="s">
        <v>7577</v>
      </c>
      <c r="B6263" s="3" t="str">
        <f>IFERROR(__xludf.DUMMYFUNCTION("GOOGLETRANSLATE(A6263, ""ar"", ""bn"")"),"slapping")</f>
        <v>slapping</v>
      </c>
    </row>
    <row r="6264">
      <c r="A6264" s="2" t="s">
        <v>7578</v>
      </c>
      <c r="B6264" s="3" t="str">
        <f>IFERROR(__xludf.DUMMYFUNCTION("GOOGLETRANSLATE(A6264, ""ar"", ""bn"")"),"smacks")</f>
        <v>smacks</v>
      </c>
    </row>
    <row r="6265">
      <c r="A6265" s="2" t="s">
        <v>7579</v>
      </c>
      <c r="B6265" s="3" t="str">
        <f>IFERROR(__xludf.DUMMYFUNCTION("GOOGLETRANSLATE(A6265, ""ar"", ""bn"")"),"চরকিবাজ")</f>
        <v>চরকিবাজ</v>
      </c>
    </row>
    <row r="6266">
      <c r="A6266" s="2" t="s">
        <v>7580</v>
      </c>
      <c r="B6266" s="3" t="str">
        <f>IFERROR(__xludf.DUMMYFUNCTION("GOOGLETRANSLATE(A6266, ""ar"", ""bn"")"),"তেরছা")</f>
        <v>তেরছা</v>
      </c>
    </row>
    <row r="6267">
      <c r="A6267" s="2" t="s">
        <v>6262</v>
      </c>
      <c r="B6267" s="3" t="str">
        <f>IFERROR(__xludf.DUMMYFUNCTION("GOOGLETRANSLATE(A6267, ""ar"", ""bn"")"),"হ্রাসপ্রাপ্ত")</f>
        <v>হ্রাসপ্রাপ্ত</v>
      </c>
    </row>
    <row r="6268">
      <c r="A6268" s="2" t="s">
        <v>7581</v>
      </c>
      <c r="B6268" s="3" t="str">
        <f>IFERROR(__xludf.DUMMYFUNCTION("GOOGLETRANSLATE(A6268, ""ar"", ""bn"")"),"স্লাশার")</f>
        <v>স্লাশার</v>
      </c>
    </row>
    <row r="6269">
      <c r="A6269" s="2" t="s">
        <v>7580</v>
      </c>
      <c r="B6269" s="3" t="str">
        <f>IFERROR(__xludf.DUMMYFUNCTION("GOOGLETRANSLATE(A6269, ""ar"", ""bn"")"),"তেরছা")</f>
        <v>তেরছা</v>
      </c>
    </row>
    <row r="6270">
      <c r="A6270" s="2" t="s">
        <v>4606</v>
      </c>
      <c r="B6270" s="3" t="str">
        <f>IFERROR(__xludf.DUMMYFUNCTION("GOOGLETRANSLATE(A6270, ""ar"", ""bn"")"),"আনুপাতিক হারে কমান")</f>
        <v>আনুপাতিক হারে কমান</v>
      </c>
    </row>
    <row r="6271">
      <c r="A6271" s="2" t="s">
        <v>3592</v>
      </c>
      <c r="B6271" s="3" t="str">
        <f>IFERROR(__xludf.DUMMYFUNCTION("GOOGLETRANSLATE(A6271, ""ar"", ""bn"")"),"বধ")</f>
        <v>বধ</v>
      </c>
    </row>
    <row r="6272">
      <c r="A6272" s="2" t="s">
        <v>3592</v>
      </c>
      <c r="B6272" s="3" t="str">
        <f>IFERROR(__xludf.DUMMYFUNCTION("GOOGLETRANSLATE(A6272, ""ar"", ""bn"")"),"বধ")</f>
        <v>বধ</v>
      </c>
    </row>
    <row r="6273">
      <c r="A6273" s="2" t="s">
        <v>7582</v>
      </c>
      <c r="B6273" s="3" t="str">
        <f>IFERROR(__xludf.DUMMYFUNCTION("GOOGLETRANSLATE(A6273, ""ar"", ""bn"")"),"বধকর্তা")</f>
        <v>বধকর্তা</v>
      </c>
    </row>
    <row r="6274">
      <c r="A6274" s="2" t="s">
        <v>7583</v>
      </c>
      <c r="B6274" s="3" t="str">
        <f>IFERROR(__xludf.DUMMYFUNCTION("GOOGLETRANSLATE(A6274, ""ar"", ""bn"")"),"কসাইখানা")</f>
        <v>কসাইখানা</v>
      </c>
    </row>
    <row r="6275">
      <c r="A6275" s="2" t="s">
        <v>7584</v>
      </c>
      <c r="B6275" s="3" t="str">
        <f>IFERROR(__xludf.DUMMYFUNCTION("GOOGLETRANSLATE(A6275, ""ar"", ""bn"")"),"কসাইখানায়")</f>
        <v>কসাইখানায়</v>
      </c>
    </row>
    <row r="6276">
      <c r="A6276" s="2" t="s">
        <v>7585</v>
      </c>
      <c r="B6276" s="3" t="str">
        <f>IFERROR(__xludf.DUMMYFUNCTION("GOOGLETRANSLATE(A6276, ""ar"", ""bn"")"),"বধ")</f>
        <v>বধ</v>
      </c>
    </row>
    <row r="6277">
      <c r="A6277" s="2" t="s">
        <v>6444</v>
      </c>
      <c r="B6277" s="3" t="str">
        <f>IFERROR(__xludf.DUMMYFUNCTION("GOOGLETRANSLATE(A6277, ""ar"", ""bn"")"),"গণহত্যার")</f>
        <v>গণহত্যার</v>
      </c>
    </row>
    <row r="6278">
      <c r="A6278" s="2" t="s">
        <v>6170</v>
      </c>
      <c r="B6278" s="3" t="str">
        <f>IFERROR(__xludf.DUMMYFUNCTION("GOOGLETRANSLATE(A6278, ""ar"", ""bn"")"),"হত্যাকারী")</f>
        <v>হত্যাকারী</v>
      </c>
    </row>
    <row r="6279">
      <c r="A6279" s="2" t="s">
        <v>3439</v>
      </c>
      <c r="B6279" s="3" t="str">
        <f>IFERROR(__xludf.DUMMYFUNCTION("GOOGLETRANSLATE(A6279, ""ar"", ""bn"")"),"হত্যাকারি")</f>
        <v>হত্যাকারি</v>
      </c>
    </row>
    <row r="6280">
      <c r="A6280" s="2" t="s">
        <v>7586</v>
      </c>
      <c r="B6280" s="3" t="str">
        <f>IFERROR(__xludf.DUMMYFUNCTION("GOOGLETRANSLATE(A6280, ""ar"", ""bn"")"),"দুর্নীতি")</f>
        <v>দুর্নীতি</v>
      </c>
    </row>
    <row r="6281">
      <c r="A6281" s="2" t="s">
        <v>5422</v>
      </c>
      <c r="B6281" s="3" t="str">
        <f>IFERROR(__xludf.DUMMYFUNCTION("GOOGLETRANSLATE(A6281, ""ar"", ""bn"")"),"পাতলা")</f>
        <v>পাতলা</v>
      </c>
    </row>
    <row r="6282">
      <c r="A6282" s="2" t="s">
        <v>7587</v>
      </c>
      <c r="B6282" s="3" t="str">
        <f>IFERROR(__xludf.DUMMYFUNCTION("GOOGLETRANSLATE(A6282, ""ar"", ""bn"")"),"বিনিদ্র")</f>
        <v>বিনিদ্র</v>
      </c>
    </row>
    <row r="6283">
      <c r="A6283" s="2" t="s">
        <v>7588</v>
      </c>
      <c r="B6283" s="3" t="str">
        <f>IFERROR(__xludf.DUMMYFUNCTION("GOOGLETRANSLATE(A6283, ""ar"", ""bn"")"),"তনিমা")</f>
        <v>তনিমা</v>
      </c>
    </row>
    <row r="6284">
      <c r="A6284" s="2" t="s">
        <v>7589</v>
      </c>
      <c r="B6284" s="3" t="str">
        <f>IFERROR(__xludf.DUMMYFUNCTION("GOOGLETRANSLATE(A6284, ""ar"", ""bn"")"),"আবোলতাবোল বকা")</f>
        <v>আবোলতাবোল বকা</v>
      </c>
    </row>
    <row r="6285">
      <c r="A6285" s="2" t="s">
        <v>7590</v>
      </c>
      <c r="B6285" s="3" t="str">
        <f>IFERROR(__xludf.DUMMYFUNCTION("GOOGLETRANSLATE(A6285, ""ar"", ""bn"")"),"Slimes")</f>
        <v>Slimes</v>
      </c>
    </row>
    <row r="6286">
      <c r="A6286" s="2" t="s">
        <v>4806</v>
      </c>
      <c r="B6286" s="3" t="str">
        <f>IFERROR(__xludf.DUMMYFUNCTION("GOOGLETRANSLATE(A6286, ""ar"", ""bn"")"),"মলিন")</f>
        <v>মলিন</v>
      </c>
    </row>
    <row r="6287">
      <c r="A6287" s="2" t="s">
        <v>5865</v>
      </c>
      <c r="B6287" s="3" t="str">
        <f>IFERROR(__xludf.DUMMYFUNCTION("GOOGLETRANSLATE(A6287, ""ar"", ""bn"")"),"আলস্য")</f>
        <v>আলস্য</v>
      </c>
    </row>
    <row r="6288">
      <c r="A6288" s="2" t="s">
        <v>5865</v>
      </c>
      <c r="B6288" s="3" t="str">
        <f>IFERROR(__xludf.DUMMYFUNCTION("GOOGLETRANSLATE(A6288, ""ar"", ""bn"")"),"আলস্য")</f>
        <v>আলস্য</v>
      </c>
    </row>
    <row r="6289">
      <c r="A6289" s="2" t="s">
        <v>7591</v>
      </c>
      <c r="B6289" s="3" t="str">
        <f>IFERROR(__xludf.DUMMYFUNCTION("GOOGLETRANSLATE(A6289, ""ar"", ""bn"")"),"Sloths")</f>
        <v>Sloths</v>
      </c>
    </row>
    <row r="6290">
      <c r="A6290" s="2" t="s">
        <v>5865</v>
      </c>
      <c r="B6290" s="3" t="str">
        <f>IFERROR(__xludf.DUMMYFUNCTION("GOOGLETRANSLATE(A6290, ""ar"", ""bn"")"),"আলস্য")</f>
        <v>আলস্য</v>
      </c>
    </row>
    <row r="6291">
      <c r="A6291" s="2" t="s">
        <v>7592</v>
      </c>
      <c r="B6291" s="3" t="str">
        <f>IFERROR(__xludf.DUMMYFUNCTION("GOOGLETRANSLATE(A6291, ""ar"", ""bn"")"),"স্লাগ্")</f>
        <v>স্লাগ্</v>
      </c>
    </row>
    <row r="6292">
      <c r="A6292" s="2" t="s">
        <v>7593</v>
      </c>
      <c r="B6292" s="3" t="str">
        <f>IFERROR(__xludf.DUMMYFUNCTION("GOOGLETRANSLATE(A6292, ""ar"", ""bn"")"),"কুড়ে")</f>
        <v>কুড়ে</v>
      </c>
    </row>
    <row r="6293">
      <c r="A6293" s="2" t="s">
        <v>7594</v>
      </c>
      <c r="B6293" s="3" t="str">
        <f>IFERROR(__xludf.DUMMYFUNCTION("GOOGLETRANSLATE(A6293, ""ar"", ""bn"")"),"zombies")</f>
        <v>zombies</v>
      </c>
    </row>
    <row r="6294">
      <c r="A6294" s="2" t="s">
        <v>7595</v>
      </c>
      <c r="B6294" s="3" t="str">
        <f>IFERROR(__xludf.DUMMYFUNCTION("GOOGLETRANSLATE(A6294, ""ar"", ""bn"")"),"বাঁধা")</f>
        <v>বাঁধা</v>
      </c>
    </row>
    <row r="6295">
      <c r="A6295" s="2" t="s">
        <v>7596</v>
      </c>
      <c r="B6295" s="3" t="str">
        <f>IFERROR(__xludf.DUMMYFUNCTION("GOOGLETRANSLATE(A6295, ""ar"", ""bn"")"),"slugging")</f>
        <v>slugging</v>
      </c>
    </row>
    <row r="6296">
      <c r="A6296" s="2" t="s">
        <v>7597</v>
      </c>
      <c r="B6296" s="3" t="str">
        <f>IFERROR(__xludf.DUMMYFUNCTION("GOOGLETRANSLATE(A6296, ""ar"", ""bn"")"),"গতি কমে")</f>
        <v>গতি কমে</v>
      </c>
    </row>
    <row r="6297">
      <c r="A6297" s="2" t="s">
        <v>7598</v>
      </c>
      <c r="B6297" s="3" t="str">
        <f>IFERROR(__xludf.DUMMYFUNCTION("GOOGLETRANSLATE(A6297, ""ar"", ""bn"")"),"Sluggishly")</f>
        <v>Sluggishly</v>
      </c>
    </row>
    <row r="6298">
      <c r="A6298" s="2" t="s">
        <v>7599</v>
      </c>
      <c r="B6298" s="3" t="str">
        <f>IFERROR(__xludf.DUMMYFUNCTION("GOOGLETRANSLATE(A6298, ""ar"", ""bn"")"),"মন্থরতা")</f>
        <v>মন্থরতা</v>
      </c>
    </row>
    <row r="6299">
      <c r="A6299" s="2" t="s">
        <v>7600</v>
      </c>
      <c r="B6299" s="3" t="str">
        <f>IFERROR(__xludf.DUMMYFUNCTION("GOOGLETRANSLATE(A6299, ""ar"", ""bn"")"),"ঝিনুক")</f>
        <v>ঝিনুক</v>
      </c>
    </row>
    <row r="6300">
      <c r="A6300" s="2" t="s">
        <v>7597</v>
      </c>
      <c r="B6300" s="3" t="str">
        <f>IFERROR(__xludf.DUMMYFUNCTION("GOOGLETRANSLATE(A6300, ""ar"", ""bn"")"),"গতি কমে")</f>
        <v>গতি কমে</v>
      </c>
    </row>
    <row r="6301">
      <c r="A6301" s="2" t="s">
        <v>7598</v>
      </c>
      <c r="B6301" s="3" t="str">
        <f>IFERROR(__xludf.DUMMYFUNCTION("GOOGLETRANSLATE(A6301, ""ar"", ""bn"")"),"Sluggishly")</f>
        <v>Sluggishly</v>
      </c>
    </row>
    <row r="6302">
      <c r="A6302" s="2" t="s">
        <v>7599</v>
      </c>
      <c r="B6302" s="3" t="str">
        <f>IFERROR(__xludf.DUMMYFUNCTION("GOOGLETRANSLATE(A6302, ""ar"", ""bn"")"),"মন্থরতা")</f>
        <v>মন্থরতা</v>
      </c>
    </row>
    <row r="6303">
      <c r="A6303" s="2" t="s">
        <v>4976</v>
      </c>
      <c r="B6303" s="3" t="str">
        <f>IFERROR(__xludf.DUMMYFUNCTION("GOOGLETRANSLATE(A6303, ""ar"", ""bn"")"),"মন্দা")</f>
        <v>মন্দা</v>
      </c>
    </row>
    <row r="6304">
      <c r="A6304" s="2" t="s">
        <v>4580</v>
      </c>
      <c r="B6304" s="3" t="str">
        <f>IFERROR(__xludf.DUMMYFUNCTION("GOOGLETRANSLATE(A6304, ""ar"", ""bn"")"),"পশ্চাদপসরণ")</f>
        <v>পশ্চাদপসরণ</v>
      </c>
    </row>
    <row r="6305">
      <c r="A6305" s="2" t="s">
        <v>4580</v>
      </c>
      <c r="B6305" s="3" t="str">
        <f>IFERROR(__xludf.DUMMYFUNCTION("GOOGLETRANSLATE(A6305, ""ar"", ""bn"")"),"পশ্চাদপসরণ")</f>
        <v>পশ্চাদপসরণ</v>
      </c>
    </row>
    <row r="6306">
      <c r="A6306" s="2" t="s">
        <v>4475</v>
      </c>
      <c r="B6306" s="3" t="str">
        <f>IFERROR(__xludf.DUMMYFUNCTION("GOOGLETRANSLATE(A6306, ""ar"", ""bn"")"),"ঝরা")</f>
        <v>ঝরা</v>
      </c>
    </row>
    <row r="6307">
      <c r="A6307" s="2" t="s">
        <v>7569</v>
      </c>
      <c r="B6307" s="3" t="str">
        <f>IFERROR(__xludf.DUMMYFUNCTION("GOOGLETRANSLATE(A6307, ""ar"", ""bn"")"),"মানহানি")</f>
        <v>মানহানি</v>
      </c>
    </row>
    <row r="6308">
      <c r="A6308" s="2" t="s">
        <v>7601</v>
      </c>
      <c r="B6308" s="3" t="str">
        <f>IFERROR(__xludf.DUMMYFUNCTION("GOOGLETRANSLATE(A6308, ""ar"", ""bn"")"),"গবগব করে খাওয়া")</f>
        <v>গবগব করে খাওয়া</v>
      </c>
    </row>
    <row r="6309">
      <c r="A6309" s="2" t="s">
        <v>7602</v>
      </c>
      <c r="B6309" s="3" t="str">
        <f>IFERROR(__xludf.DUMMYFUNCTION("GOOGLETRANSLATE(A6309, ""ar"", ""bn"")"),"slurping")</f>
        <v>slurping</v>
      </c>
    </row>
    <row r="6310">
      <c r="A6310" s="2" t="s">
        <v>7603</v>
      </c>
      <c r="B6310" s="3" t="str">
        <f>IFERROR(__xludf.DUMMYFUNCTION("GOOGLETRANSLATE(A6310, ""ar"", ""bn"")"),"ruminating মধ্যে লক্ষ্মীছাড়া")</f>
        <v>ruminating মধ্যে লক্ষ্মীছাড়া</v>
      </c>
    </row>
    <row r="6311">
      <c r="A6311" s="2" t="s">
        <v>7604</v>
      </c>
      <c r="B6311" s="3" t="str">
        <f>IFERROR(__xludf.DUMMYFUNCTION("GOOGLETRANSLATE(A6311, ""ar"", ""bn"")"),"Syncopated")</f>
        <v>Syncopated</v>
      </c>
    </row>
    <row r="6312">
      <c r="A6312" s="2" t="s">
        <v>7605</v>
      </c>
      <c r="B6312" s="3" t="str">
        <f>IFERROR(__xludf.DUMMYFUNCTION("GOOGLETRANSLATE(A6312, ""ar"", ""bn"")"),"Slurring")</f>
        <v>Slurring</v>
      </c>
    </row>
    <row r="6313">
      <c r="A6313" s="2" t="s">
        <v>7606</v>
      </c>
      <c r="B6313" s="3" t="str">
        <f>IFERROR(__xludf.DUMMYFUNCTION("GOOGLETRANSLATE(A6313, ""ar"", ""bn"")"),"কাদা")</f>
        <v>কাদা</v>
      </c>
    </row>
    <row r="6314">
      <c r="A6314" s="2" t="s">
        <v>7573</v>
      </c>
      <c r="B6314" s="3" t="str">
        <f>IFERROR(__xludf.DUMMYFUNCTION("GOOGLETRANSLATE(A6314, ""ar"", ""bn"")"),"slurs")</f>
        <v>slurs</v>
      </c>
    </row>
    <row r="6315">
      <c r="A6315" s="2" t="s">
        <v>7607</v>
      </c>
      <c r="B6315" s="3" t="str">
        <f>IFERROR(__xludf.DUMMYFUNCTION("GOOGLETRANSLATE(A6315, ""ar"", ""bn"")"),"বেশ্যা")</f>
        <v>বেশ্যা</v>
      </c>
    </row>
    <row r="6316">
      <c r="A6316" s="2" t="s">
        <v>7608</v>
      </c>
      <c r="B6316" s="3" t="str">
        <f>IFERROR(__xludf.DUMMYFUNCTION("GOOGLETRANSLATE(A6316, ""ar"", ""bn"")"),"অপেশাদার")</f>
        <v>অপেশাদার</v>
      </c>
    </row>
    <row r="6317">
      <c r="A6317" s="2" t="s">
        <v>6308</v>
      </c>
      <c r="B6317" s="3" t="str">
        <f>IFERROR(__xludf.DUMMYFUNCTION("GOOGLETRANSLATE(A6317, ""ar"", ""bn"")"),"মারাত্মক")</f>
        <v>মারাত্মক</v>
      </c>
    </row>
    <row r="6318">
      <c r="A6318" s="2" t="s">
        <v>4876</v>
      </c>
      <c r="B6318" s="3" t="str">
        <f>IFERROR(__xludf.DUMMYFUNCTION("GOOGLETRANSLATE(A6318, ""ar"", ""bn"")"),"ছলনা করিয়া")</f>
        <v>ছলনা করিয়া</v>
      </c>
    </row>
    <row r="6319">
      <c r="A6319" s="2" t="s">
        <v>5367</v>
      </c>
      <c r="B6319" s="3" t="str">
        <f>IFERROR(__xludf.DUMMYFUNCTION("GOOGLETRANSLATE(A6319, ""ar"", ""bn"")"),"ধূর্ত")</f>
        <v>ধূর্ত</v>
      </c>
    </row>
    <row r="6320">
      <c r="A6320" s="2" t="s">
        <v>7574</v>
      </c>
      <c r="B6320" s="3" t="str">
        <f>IFERROR(__xludf.DUMMYFUNCTION("GOOGLETRANSLATE(A6320, ""ar"", ""bn"")"),"চড়")</f>
        <v>চড়</v>
      </c>
    </row>
    <row r="6321">
      <c r="A6321" s="2" t="s">
        <v>7609</v>
      </c>
      <c r="B6321" s="3" t="str">
        <f>IFERROR(__xludf.DUMMYFUNCTION("GOOGLETRANSLATE(A6321, ""ar"", ""bn"")"),"দূদাফল")</f>
        <v>দূদাফল</v>
      </c>
    </row>
    <row r="6322">
      <c r="A6322" s="2" t="s">
        <v>7610</v>
      </c>
      <c r="B6322" s="3" t="str">
        <f>IFERROR(__xludf.DUMMYFUNCTION("GOOGLETRANSLATE(A6322, ""ar"", ""bn"")"),"একটি শক্তিশালী চুমু")</f>
        <v>একটি শক্তিশালী চুমু</v>
      </c>
    </row>
    <row r="6323">
      <c r="A6323" s="2" t="s">
        <v>7611</v>
      </c>
      <c r="B6323" s="3" t="str">
        <f>IFERROR(__xludf.DUMMYFUNCTION("GOOGLETRANSLATE(A6323, ""ar"", ""bn"")"),"চাপড়ানো")</f>
        <v>চাপড়ানো</v>
      </c>
    </row>
    <row r="6324">
      <c r="A6324" s="2" t="s">
        <v>7612</v>
      </c>
      <c r="B6324" s="3" t="str">
        <f>IFERROR(__xludf.DUMMYFUNCTION("GOOGLETRANSLATE(A6324, ""ar"", ""bn"")"),"smacks")</f>
        <v>smacks</v>
      </c>
    </row>
    <row r="6325">
      <c r="A6325" s="2" t="s">
        <v>4344</v>
      </c>
      <c r="B6325" s="3" t="str">
        <f>IFERROR(__xludf.DUMMYFUNCTION("GOOGLETRANSLATE(A6325, ""ar"", ""bn"")"),"পিষা")</f>
        <v>পিষা</v>
      </c>
    </row>
    <row r="6326">
      <c r="A6326" s="2" t="s">
        <v>3797</v>
      </c>
      <c r="B6326" s="3" t="str">
        <f>IFERROR(__xludf.DUMMYFUNCTION("GOOGLETRANSLATE(A6326, ""ar"", ""bn"")"),"সম্পূর্ণ ধ্বংস")</f>
        <v>সম্পূর্ণ ধ্বংস</v>
      </c>
    </row>
    <row r="6327">
      <c r="A6327" s="2" t="s">
        <v>7613</v>
      </c>
      <c r="B6327" s="3" t="str">
        <f>IFERROR(__xludf.DUMMYFUNCTION("GOOGLETRANSLATE(A6327, ""ar"", ""bn"")"),"খুব সুন্দর")</f>
        <v>খুব সুন্দর</v>
      </c>
    </row>
    <row r="6328">
      <c r="A6328" s="2" t="s">
        <v>7614</v>
      </c>
      <c r="B6328" s="3" t="str">
        <f>IFERROR(__xludf.DUMMYFUNCTION("GOOGLETRANSLATE(A6328, ""ar"", ""bn"")"),"সম্পূর্ণ ধ্বংস")</f>
        <v>সম্পূর্ণ ধ্বংস</v>
      </c>
    </row>
    <row r="6329">
      <c r="A6329" s="2" t="s">
        <v>4639</v>
      </c>
      <c r="B6329" s="3" t="str">
        <f>IFERROR(__xludf.DUMMYFUNCTION("GOOGLETRANSLATE(A6329, ""ar"", ""bn"")"),"মর্মান্তিক")</f>
        <v>মর্মান্তিক</v>
      </c>
    </row>
    <row r="6330">
      <c r="A6330" s="2" t="s">
        <v>7615</v>
      </c>
      <c r="B6330" s="3" t="str">
        <f>IFERROR(__xludf.DUMMYFUNCTION("GOOGLETRANSLATE(A6330, ""ar"", ""bn"")"),"মলা")</f>
        <v>মলা</v>
      </c>
    </row>
    <row r="6331">
      <c r="A6331" s="2" t="s">
        <v>7616</v>
      </c>
      <c r="B6331" s="3" t="str">
        <f>IFERROR(__xludf.DUMMYFUNCTION("GOOGLETRANSLATE(A6331, ""ar"", ""bn"")"),"বিচ্ছুরিত")</f>
        <v>বিচ্ছুরিত</v>
      </c>
    </row>
    <row r="6332">
      <c r="A6332" s="2" t="s">
        <v>7617</v>
      </c>
      <c r="B6332" s="3" t="str">
        <f>IFERROR(__xludf.DUMMYFUNCTION("GOOGLETRANSLATE(A6332, ""ar"", ""bn"")"),"পুনরায়")</f>
        <v>পুনরায়</v>
      </c>
    </row>
    <row r="6333">
      <c r="A6333" s="2" t="s">
        <v>7618</v>
      </c>
      <c r="B6333" s="3" t="str">
        <f>IFERROR(__xludf.DUMMYFUNCTION("GOOGLETRANSLATE(A6333, ""ar"", ""bn"")"),"Smears")</f>
        <v>Smears</v>
      </c>
    </row>
    <row r="6334">
      <c r="A6334" s="2" t="s">
        <v>3985</v>
      </c>
      <c r="B6334" s="3" t="str">
        <f>IFERROR(__xludf.DUMMYFUNCTION("GOOGLETRANSLATE(A6334, ""ar"", ""bn"")"),"শ্বাসরোধ করা")</f>
        <v>শ্বাসরোধ করা</v>
      </c>
    </row>
    <row r="6335">
      <c r="A6335" s="2" t="s">
        <v>7619</v>
      </c>
      <c r="B6335" s="3" t="str">
        <f>IFERROR(__xludf.DUMMYFUNCTION("GOOGLETRANSLATE(A6335, ""ar"", ""bn"")"),"রোধ করা")</f>
        <v>রোধ করা</v>
      </c>
    </row>
    <row r="6336">
      <c r="A6336" s="2" t="s">
        <v>7620</v>
      </c>
      <c r="B6336" s="3" t="str">
        <f>IFERROR(__xludf.DUMMYFUNCTION("GOOGLETRANSLATE(A6336, ""ar"", ""bn"")"),"দমবন্ধ হয়ে")</f>
        <v>দমবন্ধ হয়ে</v>
      </c>
    </row>
    <row r="6337">
      <c r="A6337" s="2" t="s">
        <v>7621</v>
      </c>
      <c r="B6337" s="3" t="str">
        <f>IFERROR(__xludf.DUMMYFUNCTION("GOOGLETRANSLATE(A6337, ""ar"", ""bn"")"),"প্যাস্টরকে শ্বাসরুদ্ধ")</f>
        <v>প্যাস্টরকে শ্বাসরুদ্ধ</v>
      </c>
    </row>
    <row r="6338">
      <c r="A6338" s="2" t="s">
        <v>7622</v>
      </c>
      <c r="B6338" s="3" t="str">
        <f>IFERROR(__xludf.DUMMYFUNCTION("GOOGLETRANSLATE(A6338, ""ar"", ""bn"")"),"ফিটফাট")</f>
        <v>ফিটফাট</v>
      </c>
    </row>
    <row r="6339">
      <c r="A6339" s="2" t="s">
        <v>7623</v>
      </c>
      <c r="B6339" s="3" t="str">
        <f>IFERROR(__xludf.DUMMYFUNCTION("GOOGLETRANSLATE(A6339, ""ar"", ""bn"")"),"পাচার")</f>
        <v>পাচার</v>
      </c>
    </row>
    <row r="6340">
      <c r="A6340" s="2" t="s">
        <v>7624</v>
      </c>
      <c r="B6340" s="3" t="str">
        <f>IFERROR(__xludf.DUMMYFUNCTION("GOOGLETRANSLATE(A6340, ""ar"", ""bn"")"),"নিষিদ্ধ")</f>
        <v>নিষিদ্ধ</v>
      </c>
    </row>
    <row r="6341">
      <c r="A6341" s="2" t="s">
        <v>7625</v>
      </c>
      <c r="B6341" s="3" t="str">
        <f>IFERROR(__xludf.DUMMYFUNCTION("GOOGLETRANSLATE(A6341, ""ar"", ""bn"")"),"চোরাকারবারি")</f>
        <v>চোরাকারবারি</v>
      </c>
    </row>
    <row r="6342">
      <c r="A6342" s="2" t="s">
        <v>7626</v>
      </c>
      <c r="B6342" s="3" t="str">
        <f>IFERROR(__xludf.DUMMYFUNCTION("GOOGLETRANSLATE(A6342, ""ar"", ""bn"")"),"পাচারকারীদের")</f>
        <v>পাচারকারীদের</v>
      </c>
    </row>
    <row r="6343">
      <c r="A6343" s="2" t="s">
        <v>7623</v>
      </c>
      <c r="B6343" s="3" t="str">
        <f>IFERROR(__xludf.DUMMYFUNCTION("GOOGLETRANSLATE(A6343, ""ar"", ""bn"")"),"পাচার")</f>
        <v>পাচার</v>
      </c>
    </row>
    <row r="6344">
      <c r="A6344" s="2" t="s">
        <v>7623</v>
      </c>
      <c r="B6344" s="3" t="str">
        <f>IFERROR(__xludf.DUMMYFUNCTION("GOOGLETRANSLATE(A6344, ""ar"", ""bn"")"),"পাচার")</f>
        <v>পাচার</v>
      </c>
    </row>
    <row r="6345">
      <c r="A6345" s="2" t="s">
        <v>3421</v>
      </c>
      <c r="B6345" s="3" t="str">
        <f>IFERROR(__xludf.DUMMYFUNCTION("GOOGLETRANSLATE(A6345, ""ar"", ""bn"")"),"অহংকারী")</f>
        <v>অহংকারী</v>
      </c>
    </row>
    <row r="6346">
      <c r="A6346" s="2" t="s">
        <v>7627</v>
      </c>
      <c r="B6346" s="3" t="str">
        <f>IFERROR(__xludf.DUMMYFUNCTION("GOOGLETRANSLATE(A6346, ""ar"", ""bn"")"),"আত্মসন্তুষ্টি")</f>
        <v>আত্মসন্তুষ্টি</v>
      </c>
    </row>
    <row r="6347">
      <c r="A6347" s="2" t="s">
        <v>7623</v>
      </c>
      <c r="B6347" s="3" t="str">
        <f>IFERROR(__xludf.DUMMYFUNCTION("GOOGLETRANSLATE(A6347, ""ar"", ""bn"")"),"পাচার")</f>
        <v>পাচার</v>
      </c>
    </row>
    <row r="6348">
      <c r="A6348" s="2" t="s">
        <v>7624</v>
      </c>
      <c r="B6348" s="3" t="str">
        <f>IFERROR(__xludf.DUMMYFUNCTION("GOOGLETRANSLATE(A6348, ""ar"", ""bn"")"),"নিষিদ্ধ")</f>
        <v>নিষিদ্ধ</v>
      </c>
    </row>
    <row r="6349">
      <c r="A6349" s="2" t="s">
        <v>7625</v>
      </c>
      <c r="B6349" s="3" t="str">
        <f>IFERROR(__xludf.DUMMYFUNCTION("GOOGLETRANSLATE(A6349, ""ar"", ""bn"")"),"চোরাকারবারি")</f>
        <v>চোরাকারবারি</v>
      </c>
    </row>
    <row r="6350">
      <c r="A6350" s="2" t="s">
        <v>7626</v>
      </c>
      <c r="B6350" s="3" t="str">
        <f>IFERROR(__xludf.DUMMYFUNCTION("GOOGLETRANSLATE(A6350, ""ar"", ""bn"")"),"পাচারকারীদের")</f>
        <v>পাচারকারীদের</v>
      </c>
    </row>
    <row r="6351">
      <c r="A6351" s="2" t="s">
        <v>7623</v>
      </c>
      <c r="B6351" s="3" t="str">
        <f>IFERROR(__xludf.DUMMYFUNCTION("GOOGLETRANSLATE(A6351, ""ar"", ""bn"")"),"পাচার")</f>
        <v>পাচার</v>
      </c>
    </row>
    <row r="6352">
      <c r="A6352" s="2" t="s">
        <v>3357</v>
      </c>
      <c r="B6352" s="3" t="str">
        <f>IFERROR(__xludf.DUMMYFUNCTION("GOOGLETRANSLATE(A6352, ""ar"", ""bn"")"),"ফাঁদ")</f>
        <v>ফাঁদ</v>
      </c>
    </row>
    <row r="6353">
      <c r="A6353" s="2" t="s">
        <v>7628</v>
      </c>
      <c r="B6353" s="3" t="str">
        <f>IFERROR(__xludf.DUMMYFUNCTION("GOOGLETRANSLATE(A6353, ""ar"", ""bn"")"),"গ্রহণ")</f>
        <v>গ্রহণ</v>
      </c>
    </row>
    <row r="6354">
      <c r="A6354" s="2" t="s">
        <v>7629</v>
      </c>
      <c r="B6354" s="3" t="str">
        <f>IFERROR(__xludf.DUMMYFUNCTION("GOOGLETRANSLATE(A6354, ""ar"", ""bn"")"),"ফাঁদ সম্বন্ধে")</f>
        <v>ফাঁদ সম্বন্ধে</v>
      </c>
    </row>
    <row r="6355">
      <c r="A6355" s="2" t="s">
        <v>7630</v>
      </c>
      <c r="B6355" s="3" t="str">
        <f>IFERROR(__xludf.DUMMYFUNCTION("GOOGLETRANSLATE(A6355, ""ar"", ""bn"")"),"খেঁক করা")</f>
        <v>খেঁক করা</v>
      </c>
    </row>
    <row r="6356">
      <c r="A6356" s="2" t="s">
        <v>4096</v>
      </c>
      <c r="B6356" s="3" t="str">
        <f>IFERROR(__xludf.DUMMYFUNCTION("GOOGLETRANSLATE(A6356, ""ar"", ""bn"")"),"জটিল")</f>
        <v>জটিল</v>
      </c>
    </row>
    <row r="6357">
      <c r="A6357" s="2" t="s">
        <v>7631</v>
      </c>
      <c r="B6357" s="3" t="str">
        <f>IFERROR(__xludf.DUMMYFUNCTION("GOOGLETRANSLATE(A6357, ""ar"", ""bn"")"),"খেঁক করা")</f>
        <v>খেঁক করা</v>
      </c>
    </row>
    <row r="6358">
      <c r="A6358" s="2" t="s">
        <v>7632</v>
      </c>
      <c r="B6358" s="3" t="str">
        <f>IFERROR(__xludf.DUMMYFUNCTION("GOOGLETRANSLATE(A6358, ""ar"", ""bn"")"),"গর্জন")</f>
        <v>গর্জন</v>
      </c>
    </row>
    <row r="6359">
      <c r="A6359" s="2" t="s">
        <v>7633</v>
      </c>
      <c r="B6359" s="3" t="str">
        <f>IFERROR(__xludf.DUMMYFUNCTION("GOOGLETRANSLATE(A6359, ""ar"", ""bn"")"),"ছিনান")</f>
        <v>ছিনান</v>
      </c>
    </row>
    <row r="6360">
      <c r="A6360" s="2" t="s">
        <v>5580</v>
      </c>
      <c r="B6360" s="3" t="str">
        <f>IFERROR(__xludf.DUMMYFUNCTION("GOOGLETRANSLATE(A6360, ""ar"", ""bn"")"),"টিয়ার")</f>
        <v>টিয়ার</v>
      </c>
    </row>
    <row r="6361">
      <c r="A6361" s="2" t="s">
        <v>7634</v>
      </c>
      <c r="B6361" s="3" t="str">
        <f>IFERROR(__xludf.DUMMYFUNCTION("GOOGLETRANSLATE(A6361, ""ar"", ""bn"")"),"হুক")</f>
        <v>হুক</v>
      </c>
    </row>
    <row r="6362">
      <c r="A6362" s="2" t="s">
        <v>7635</v>
      </c>
      <c r="B6362" s="3" t="str">
        <f>IFERROR(__xludf.DUMMYFUNCTION("GOOGLETRANSLATE(A6362, ""ar"", ""bn"")"),"ছিনতাইকারীদের")</f>
        <v>ছিনতাইকারীদের</v>
      </c>
    </row>
    <row r="6363">
      <c r="A6363" s="2" t="s">
        <v>7636</v>
      </c>
      <c r="B6363" s="3" t="str">
        <f>IFERROR(__xludf.DUMMYFUNCTION("GOOGLETRANSLATE(A6363, ""ar"", ""bn"")"),"snatches")</f>
        <v>snatches</v>
      </c>
    </row>
    <row r="6364">
      <c r="A6364" s="2" t="s">
        <v>5777</v>
      </c>
      <c r="B6364" s="3" t="str">
        <f>IFERROR(__xludf.DUMMYFUNCTION("GOOGLETRANSLATE(A6364, ""ar"", ""bn"")"),"পাচার")</f>
        <v>পাচার</v>
      </c>
    </row>
    <row r="6365">
      <c r="A6365" s="2" t="s">
        <v>3118</v>
      </c>
      <c r="B6365" s="3" t="str">
        <f>IFERROR(__xludf.DUMMYFUNCTION("GOOGLETRANSLATE(A6365, ""ar"", ""bn"")"),"অফসাইড")</f>
        <v>অফসাইড</v>
      </c>
    </row>
    <row r="6366">
      <c r="A6366" s="2" t="s">
        <v>3118</v>
      </c>
      <c r="B6366" s="3" t="str">
        <f>IFERROR(__xludf.DUMMYFUNCTION("GOOGLETRANSLATE(A6366, ""ar"", ""bn"")"),"অফসাইড")</f>
        <v>অফসাইড</v>
      </c>
    </row>
    <row r="6367">
      <c r="A6367" s="2" t="s">
        <v>7637</v>
      </c>
      <c r="B6367" s="3" t="str">
        <f>IFERROR(__xludf.DUMMYFUNCTION("GOOGLETRANSLATE(A6367, ""ar"", ""bn"")"),"খেলার জুতা")</f>
        <v>খেলার জুতা</v>
      </c>
    </row>
    <row r="6368">
      <c r="A6368" s="2" t="s">
        <v>7638</v>
      </c>
      <c r="B6368" s="3" t="str">
        <f>IFERROR(__xludf.DUMMYFUNCTION("GOOGLETRANSLATE(A6368, ""ar"", ""bn"")"),"Sneakiest")</f>
        <v>Sneakiest</v>
      </c>
    </row>
    <row r="6369">
      <c r="A6369" s="2" t="s">
        <v>7639</v>
      </c>
      <c r="B6369" s="3" t="str">
        <f>IFERROR(__xludf.DUMMYFUNCTION("GOOGLETRANSLATE(A6369, ""ar"", ""bn"")"),"Sneakiest")</f>
        <v>Sneakiest</v>
      </c>
    </row>
    <row r="6370">
      <c r="A6370" s="2" t="s">
        <v>7640</v>
      </c>
      <c r="B6370" s="3" t="str">
        <f>IFERROR(__xludf.DUMMYFUNCTION("GOOGLETRANSLATE(A6370, ""ar"", ""bn"")"),"অজ্ঞাতে")</f>
        <v>অজ্ঞাতে</v>
      </c>
    </row>
    <row r="6371">
      <c r="A6371" s="2" t="s">
        <v>7641</v>
      </c>
      <c r="B6371" s="3" t="str">
        <f>IFERROR(__xludf.DUMMYFUNCTION("GOOGLETRANSLATE(A6371, ""ar"", ""bn"")"),"stealthiness")</f>
        <v>stealthiness</v>
      </c>
    </row>
    <row r="6372">
      <c r="A6372" s="2" t="s">
        <v>3630</v>
      </c>
      <c r="B6372" s="3" t="str">
        <f>IFERROR(__xludf.DUMMYFUNCTION("GOOGLETRANSLATE(A6372, ""ar"", ""bn"")"),"দেশদ্রোহীর")</f>
        <v>দেশদ্রোহীর</v>
      </c>
    </row>
    <row r="6373">
      <c r="A6373" s="2" t="s">
        <v>7642</v>
      </c>
      <c r="B6373" s="3" t="str">
        <f>IFERROR(__xludf.DUMMYFUNCTION("GOOGLETRANSLATE(A6373, ""ar"", ""bn"")"),"গোপন")</f>
        <v>গোপন</v>
      </c>
    </row>
    <row r="6374">
      <c r="A6374" s="2" t="s">
        <v>4619</v>
      </c>
      <c r="B6374" s="3" t="str">
        <f>IFERROR(__xludf.DUMMYFUNCTION("GOOGLETRANSLATE(A6374, ""ar"", ""bn"")"),"উপহাস")</f>
        <v>উপহাস</v>
      </c>
    </row>
    <row r="6375">
      <c r="A6375" s="2" t="s">
        <v>7643</v>
      </c>
      <c r="B6375" s="3" t="str">
        <f>IFERROR(__xludf.DUMMYFUNCTION("GOOGLETRANSLATE(A6375, ""ar"", ""bn"")"),"অবহসিত")</f>
        <v>অবহসিত</v>
      </c>
    </row>
    <row r="6376">
      <c r="A6376" s="2" t="s">
        <v>7352</v>
      </c>
      <c r="B6376" s="3" t="str">
        <f>IFERROR(__xludf.DUMMYFUNCTION("GOOGLETRANSLATE(A6376, ""ar"", ""bn"")"),"Contempts")</f>
        <v>Contempts</v>
      </c>
    </row>
    <row r="6377">
      <c r="A6377" s="2" t="s">
        <v>4635</v>
      </c>
      <c r="B6377" s="3" t="str">
        <f>IFERROR(__xludf.DUMMYFUNCTION("GOOGLETRANSLATE(A6377, ""ar"", ""bn"")"),"অবজ্ঞা করা")</f>
        <v>অবজ্ঞা করা</v>
      </c>
    </row>
    <row r="6378">
      <c r="A6378" s="2" t="s">
        <v>7644</v>
      </c>
      <c r="B6378" s="3" t="str">
        <f>IFERROR(__xludf.DUMMYFUNCTION("GOOGLETRANSLATE(A6378, ""ar"", ""bn"")"),"স্নোব")</f>
        <v>স্নোব</v>
      </c>
    </row>
    <row r="6379">
      <c r="A6379" s="2" t="s">
        <v>7645</v>
      </c>
      <c r="B6379" s="3" t="str">
        <f>IFERROR(__xludf.DUMMYFUNCTION("GOOGLETRANSLATE(A6379, ""ar"", ""bn"")"),"ঠেকার")</f>
        <v>ঠেকার</v>
      </c>
    </row>
    <row r="6380">
      <c r="A6380" s="2" t="s">
        <v>4043</v>
      </c>
      <c r="B6380" s="3" t="str">
        <f>IFERROR(__xludf.DUMMYFUNCTION("GOOGLETRANSLATE(A6380, ""ar"", ""bn"")"),"ধৃষ্ট")</f>
        <v>ধৃষ্ট</v>
      </c>
    </row>
    <row r="6381">
      <c r="A6381" s="2" t="s">
        <v>7646</v>
      </c>
      <c r="B6381" s="3" t="str">
        <f>IFERROR(__xludf.DUMMYFUNCTION("GOOGLETRANSLATE(A6381, ""ar"", ""bn"")"),"দাম্ভিকতা")</f>
        <v>দাম্ভিকতা</v>
      </c>
    </row>
    <row r="6382">
      <c r="A6382" s="2" t="s">
        <v>7647</v>
      </c>
      <c r="B6382" s="3" t="str">
        <f>IFERROR(__xludf.DUMMYFUNCTION("GOOGLETRANSLATE(A6382, ""ar"", ""bn"")"),"Snobs")</f>
        <v>Snobs</v>
      </c>
    </row>
    <row r="6383">
      <c r="A6383" s="2" t="s">
        <v>7648</v>
      </c>
      <c r="B6383" s="3" t="str">
        <f>IFERROR(__xludf.DUMMYFUNCTION("GOOGLETRANSLATE(A6383, ""ar"", ""bn"")"),"নাক ডাকা")</f>
        <v>নাক ডাকা</v>
      </c>
    </row>
    <row r="6384">
      <c r="A6384" s="2" t="s">
        <v>7649</v>
      </c>
      <c r="B6384" s="3" t="str">
        <f>IFERROR(__xludf.DUMMYFUNCTION("GOOGLETRANSLATE(A6384, ""ar"", ""bn"")"),"snorer")</f>
        <v>snorer</v>
      </c>
    </row>
    <row r="6385">
      <c r="A6385" s="2" t="s">
        <v>7650</v>
      </c>
      <c r="B6385" s="3" t="str">
        <f>IFERROR(__xludf.DUMMYFUNCTION("GOOGLETRANSLATE(A6385, ""ar"", ""bn"")"),"snorer")</f>
        <v>snorer</v>
      </c>
    </row>
    <row r="6386">
      <c r="A6386" s="2" t="s">
        <v>7651</v>
      </c>
      <c r="B6386" s="3" t="str">
        <f>IFERROR(__xludf.DUMMYFUNCTION("GOOGLETRANSLATE(A6386, ""ar"", ""bn"")"),"Snorers")</f>
        <v>Snorers</v>
      </c>
    </row>
    <row r="6387">
      <c r="A6387" s="2" t="s">
        <v>7652</v>
      </c>
      <c r="B6387" s="3" t="str">
        <f>IFERROR(__xludf.DUMMYFUNCTION("GOOGLETRANSLATE(A6387, ""ar"", ""bn"")"),"নাক ডাকা")</f>
        <v>নাক ডাকা</v>
      </c>
    </row>
    <row r="6388">
      <c r="A6388" s="2" t="s">
        <v>7653</v>
      </c>
      <c r="B6388" s="3" t="str">
        <f>IFERROR(__xludf.DUMMYFUNCTION("GOOGLETRANSLATE(A6388, ""ar"", ""bn"")"),"দীর্ঘশ্বাস")</f>
        <v>দীর্ঘশ্বাস</v>
      </c>
    </row>
    <row r="6389">
      <c r="A6389" s="2" t="s">
        <v>7654</v>
      </c>
      <c r="B6389" s="3" t="str">
        <f>IFERROR(__xludf.DUMMYFUNCTION("GOOGLETRANSLATE(A6389, ""ar"", ""bn"")"),"cried")</f>
        <v>cried</v>
      </c>
    </row>
    <row r="6390">
      <c r="A6390" s="2" t="s">
        <v>7655</v>
      </c>
      <c r="B6390" s="3" t="str">
        <f>IFERROR(__xludf.DUMMYFUNCTION("GOOGLETRANSLATE(A6390, ""ar"", ""bn"")"),"Whined")</f>
        <v>Whined</v>
      </c>
    </row>
    <row r="6391">
      <c r="A6391" s="2" t="s">
        <v>7656</v>
      </c>
      <c r="B6391" s="3" t="str">
        <f>IFERROR(__xludf.DUMMYFUNCTION("GOOGLETRANSLATE(A6391, ""ar"", ""bn"")"),"প্রশান্ত")</f>
        <v>প্রশান্ত</v>
      </c>
    </row>
    <row r="6392">
      <c r="A6392" s="2" t="s">
        <v>7657</v>
      </c>
      <c r="B6392" s="3" t="str">
        <f>IFERROR(__xludf.DUMMYFUNCTION("GOOGLETRANSLATE(A6392, ""ar"", ""bn"")"),"দিগন্ত")</f>
        <v>দিগন্ত</v>
      </c>
    </row>
    <row r="6393">
      <c r="A6393" s="2" t="s">
        <v>7658</v>
      </c>
      <c r="B6393" s="3" t="str">
        <f>IFERROR(__xludf.DUMMYFUNCTION("GOOGLETRANSLATE(A6393, ""ar"", ""bn"")"),"বাস্তবানুগ")</f>
        <v>বাস্তবানুগ</v>
      </c>
    </row>
    <row r="6394">
      <c r="A6394" s="2" t="s">
        <v>7659</v>
      </c>
      <c r="B6394" s="3" t="str">
        <f>IFERROR(__xludf.DUMMYFUNCTION("GOOGLETRANSLATE(A6394, ""ar"", ""bn"")"),"সজ্ঞানে")</f>
        <v>সজ্ঞানে</v>
      </c>
    </row>
    <row r="6395">
      <c r="A6395" s="2" t="s">
        <v>7660</v>
      </c>
      <c r="B6395" s="3" t="str">
        <f>IFERROR(__xludf.DUMMYFUNCTION("GOOGLETRANSLATE(A6395, ""ar"", ""bn"")"),"জাগো")</f>
        <v>জাগো</v>
      </c>
    </row>
    <row r="6396">
      <c r="A6396" s="2" t="s">
        <v>7661</v>
      </c>
      <c r="B6396" s="3" t="str">
        <f>IFERROR(__xludf.DUMMYFUNCTION("GOOGLETRANSLATE(A6396, ""ar"", ""bn"")"),"অপ্রমাদ")</f>
        <v>অপ্রমাদ</v>
      </c>
    </row>
    <row r="6397">
      <c r="A6397" s="2" t="s">
        <v>5155</v>
      </c>
      <c r="B6397" s="3" t="str">
        <f>IFERROR(__xludf.DUMMYFUNCTION("GOOGLETRANSLATE(A6397, ""ar"", ""bn"")"),"শিরোনাম")</f>
        <v>শিরোনাম</v>
      </c>
    </row>
    <row r="6398">
      <c r="A6398" s="2" t="s">
        <v>7662</v>
      </c>
      <c r="B6398" s="3" t="str">
        <f>IFERROR(__xludf.DUMMYFUNCTION("GOOGLETRANSLATE(A6398, ""ar"", ""bn"")"),"কান্নার")</f>
        <v>কান্নার</v>
      </c>
    </row>
    <row r="6399">
      <c r="A6399" s="2" t="s">
        <v>7654</v>
      </c>
      <c r="B6399" s="3" t="str">
        <f>IFERROR(__xludf.DUMMYFUNCTION("GOOGLETRANSLATE(A6399, ""ar"", ""bn"")"),"cried")</f>
        <v>cried</v>
      </c>
    </row>
    <row r="6400">
      <c r="A6400" s="2" t="s">
        <v>7655</v>
      </c>
      <c r="B6400" s="3" t="str">
        <f>IFERROR(__xludf.DUMMYFUNCTION("GOOGLETRANSLATE(A6400, ""ar"", ""bn"")"),"Whined")</f>
        <v>Whined</v>
      </c>
    </row>
    <row r="6401">
      <c r="A6401" s="2" t="s">
        <v>7662</v>
      </c>
      <c r="B6401" s="3" t="str">
        <f>IFERROR(__xludf.DUMMYFUNCTION("GOOGLETRANSLATE(A6401, ""ar"", ""bn"")"),"কান্নার")</f>
        <v>কান্নার</v>
      </c>
    </row>
    <row r="6402">
      <c r="A6402" s="2" t="s">
        <v>7663</v>
      </c>
      <c r="B6402" s="3" t="str">
        <f>IFERROR(__xludf.DUMMYFUNCTION("GOOGLETRANSLATE(A6402, ""ar"", ""bn"")"),"দাপ্তরিক")</f>
        <v>দাপ্তরিক</v>
      </c>
    </row>
    <row r="6403">
      <c r="A6403" s="2" t="s">
        <v>7664</v>
      </c>
      <c r="B6403" s="3" t="str">
        <f>IFERROR(__xludf.DUMMYFUNCTION("GOOGLETRANSLATE(A6403, ""ar"", ""bn"")"),"উত্সবের")</f>
        <v>উত্সবের</v>
      </c>
    </row>
    <row r="6404">
      <c r="A6404" s="2" t="s">
        <v>7665</v>
      </c>
      <c r="B6404" s="3" t="str">
        <f>IFERROR(__xludf.DUMMYFUNCTION("GOOGLETRANSLATE(A6404, ""ar"", ""bn"")"),"সম্মান")</f>
        <v>সম্মান</v>
      </c>
    </row>
    <row r="6405">
      <c r="A6405" s="2" t="s">
        <v>7666</v>
      </c>
      <c r="B6405" s="3" t="str">
        <f>IFERROR(__xludf.DUMMYFUNCTION("GOOGLETRANSLATE(A6405, ""ar"", ""bn"")"),"সরকারী ভাবে")</f>
        <v>সরকারী ভাবে</v>
      </c>
    </row>
    <row r="6406">
      <c r="A6406" s="2" t="s">
        <v>7667</v>
      </c>
      <c r="B6406" s="3" t="str">
        <f>IFERROR(__xludf.DUMMYFUNCTION("GOOGLETRANSLATE(A6406, ""ar"", ""bn"")"),"ঘাত")</f>
        <v>ঘাত</v>
      </c>
    </row>
    <row r="6407">
      <c r="A6407" s="2" t="s">
        <v>7668</v>
      </c>
      <c r="B6407" s="3" t="str">
        <f>IFERROR(__xludf.DUMMYFUNCTION("GOOGLETRANSLATE(A6407, ""ar"", ""bn"")"),"কঠোরভাবে")</f>
        <v>কঠোরভাবে</v>
      </c>
    </row>
    <row r="6408">
      <c r="A6408" s="2" t="s">
        <v>3249</v>
      </c>
      <c r="B6408" s="3" t="str">
        <f>IFERROR(__xludf.DUMMYFUNCTION("GOOGLETRANSLATE(A6408, ""ar"", ""bn"")"),"ব্যাথা")</f>
        <v>ব্যাথা</v>
      </c>
    </row>
    <row r="6409">
      <c r="A6409" s="2" t="s">
        <v>7669</v>
      </c>
      <c r="B6409" s="3" t="str">
        <f>IFERROR(__xludf.DUMMYFUNCTION("GOOGLETRANSLATE(A6409, ""ar"", ""bn"")"),"ক্ষত")</f>
        <v>ক্ষত</v>
      </c>
    </row>
    <row r="6410">
      <c r="A6410" s="2" t="s">
        <v>3249</v>
      </c>
      <c r="B6410" s="3" t="str">
        <f>IFERROR(__xludf.DUMMYFUNCTION("GOOGLETRANSLATE(A6410, ""ar"", ""bn"")"),"ব্যাথা")</f>
        <v>ব্যাথা</v>
      </c>
    </row>
    <row r="6411">
      <c r="A6411" s="2" t="s">
        <v>5606</v>
      </c>
      <c r="B6411" s="3" t="str">
        <f>IFERROR(__xludf.DUMMYFUNCTION("GOOGLETRANSLATE(A6411, ""ar"", ""bn"")"),"Sadnes")</f>
        <v>Sadnes</v>
      </c>
    </row>
    <row r="6412">
      <c r="A6412" s="2" t="s">
        <v>4609</v>
      </c>
      <c r="B6412" s="3" t="str">
        <f>IFERROR(__xludf.DUMMYFUNCTION("GOOGLETRANSLATE(A6412, ""ar"", ""bn"")"),"দূর্বল")</f>
        <v>দূর্বল</v>
      </c>
    </row>
    <row r="6413">
      <c r="A6413" s="2" t="s">
        <v>7670</v>
      </c>
      <c r="B6413" s="3" t="str">
        <f>IFERROR(__xludf.DUMMYFUNCTION("GOOGLETRANSLATE(A6413, ""ar"", ""bn"")"),"মর্মবেদনা")</f>
        <v>মর্মবেদনা</v>
      </c>
    </row>
    <row r="6414">
      <c r="A6414" s="2" t="s">
        <v>7671</v>
      </c>
      <c r="B6414" s="3" t="str">
        <f>IFERROR(__xludf.DUMMYFUNCTION("GOOGLETRANSLATE(A6414, ""ar"", ""bn"")"),"প্রি়জন-নিয়োগবিধুর")</f>
        <v>প্রি়জন-নিয়োগবিধুর</v>
      </c>
    </row>
    <row r="6415">
      <c r="A6415" s="2" t="s">
        <v>7672</v>
      </c>
      <c r="B6415" s="3" t="str">
        <f>IFERROR(__xludf.DUMMYFUNCTION("GOOGLETRANSLATE(A6415, ""ar"", ""bn"")"),"বিষাদ")</f>
        <v>বিষাদ</v>
      </c>
    </row>
    <row r="6416">
      <c r="A6416" s="2" t="s">
        <v>7673</v>
      </c>
      <c r="B6416" s="3" t="str">
        <f>IFERROR(__xludf.DUMMYFUNCTION("GOOGLETRANSLATE(A6416, ""ar"", ""bn"")"),"দুঃখিত")</f>
        <v>দুঃখিত</v>
      </c>
    </row>
    <row r="6417">
      <c r="A6417" s="2" t="s">
        <v>7674</v>
      </c>
      <c r="B6417" s="3" t="str">
        <f>IFERROR(__xludf.DUMMYFUNCTION("GOOGLETRANSLATE(A6417, ""ar"", ""bn"")"),"অ্যাসিড")</f>
        <v>অ্যাসিড</v>
      </c>
    </row>
    <row r="6418">
      <c r="A6418" s="2" t="s">
        <v>7675</v>
      </c>
      <c r="B6418" s="3" t="str">
        <f>IFERROR(__xludf.DUMMYFUNCTION("GOOGLETRANSLATE(A6418, ""ar"", ""bn"")"),"উৎস")</f>
        <v>উৎস</v>
      </c>
    </row>
    <row r="6419">
      <c r="A6419" s="2" t="s">
        <v>7676</v>
      </c>
      <c r="B6419" s="3" t="str">
        <f>IFERROR(__xludf.DUMMYFUNCTION("GOOGLETRANSLATE(A6419, ""ar"", ""bn"")"),"উত্স এবং")</f>
        <v>উত্স এবং</v>
      </c>
    </row>
    <row r="6420">
      <c r="A6420" s="2" t="s">
        <v>7677</v>
      </c>
      <c r="B6420" s="3" t="str">
        <f>IFERROR(__xludf.DUMMYFUNCTION("GOOGLETRANSLATE(A6420, ""ar"", ""bn"")"),"সোর্স")</f>
        <v>সোর্স</v>
      </c>
    </row>
    <row r="6421">
      <c r="A6421" s="2" t="s">
        <v>7677</v>
      </c>
      <c r="B6421" s="3" t="str">
        <f>IFERROR(__xludf.DUMMYFUNCTION("GOOGLETRANSLATE(A6421, ""ar"", ""bn"")"),"সোর্স")</f>
        <v>সোর্স</v>
      </c>
    </row>
    <row r="6422">
      <c r="A6422" s="2" t="s">
        <v>7678</v>
      </c>
      <c r="B6422" s="3" t="str">
        <f>IFERROR(__xludf.DUMMYFUNCTION("GOOGLETRANSLATE(A6422, ""ar"", ""bn"")"),"সমস্যায় জর্জরিত")</f>
        <v>সমস্যায় জর্জরিত</v>
      </c>
    </row>
    <row r="6423">
      <c r="A6423" s="2" t="s">
        <v>7679</v>
      </c>
      <c r="B6423" s="3" t="str">
        <f>IFERROR(__xludf.DUMMYFUNCTION("GOOGLETRANSLATE(A6423, ""ar"", ""bn"")"),"উন্নয়ন")</f>
        <v>উন্নয়ন</v>
      </c>
    </row>
    <row r="6424">
      <c r="A6424" s="2" t="s">
        <v>7680</v>
      </c>
      <c r="B6424" s="3" t="str">
        <f>IFERROR(__xludf.DUMMYFUNCTION("GOOGLETRANSLATE(A6424, ""ar"", ""bn"")"),"রুঢ়ভাবে")</f>
        <v>রুঢ়ভাবে</v>
      </c>
    </row>
    <row r="6425">
      <c r="A6425" s="2" t="s">
        <v>7681</v>
      </c>
      <c r="B6425" s="3" t="str">
        <f>IFERROR(__xludf.DUMMYFUNCTION("GOOGLETRANSLATE(A6425, ""ar"", ""bn"")"),"খামির")</f>
        <v>খামির</v>
      </c>
    </row>
    <row r="6426">
      <c r="A6426" s="2" t="s">
        <v>7682</v>
      </c>
      <c r="B6426" s="3" t="str">
        <f>IFERROR(__xludf.DUMMYFUNCTION("GOOGLETRANSLATE(A6426, ""ar"", ""bn"")"),"Sours")</f>
        <v>Sours</v>
      </c>
    </row>
    <row r="6427">
      <c r="A6427" s="2" t="s">
        <v>7683</v>
      </c>
      <c r="B6427" s="3" t="str">
        <f>IFERROR(__xludf.DUMMYFUNCTION("GOOGLETRANSLATE(A6427, ""ar"", ""bn"")"),"স্প্যাম")</f>
        <v>স্প্যাম</v>
      </c>
    </row>
    <row r="6428">
      <c r="A6428" s="2" t="s">
        <v>7684</v>
      </c>
      <c r="B6428" s="3" t="str">
        <f>IFERROR(__xludf.DUMMYFUNCTION("GOOGLETRANSLATE(A6428, ""ar"", ""bn"")"),"পাছায় বড় মারা")</f>
        <v>পাছায় বড় মারা</v>
      </c>
    </row>
    <row r="6429">
      <c r="A6429" s="2" t="s">
        <v>7685</v>
      </c>
      <c r="B6429" s="3" t="str">
        <f>IFERROR(__xludf.DUMMYFUNCTION("GOOGLETRANSLATE(A6429, ""ar"", ""bn"")"),"আঘাত")</f>
        <v>আঘাত</v>
      </c>
    </row>
    <row r="6430">
      <c r="A6430" s="2" t="s">
        <v>7686</v>
      </c>
      <c r="B6430" s="3" t="str">
        <f>IFERROR(__xludf.DUMMYFUNCTION("GOOGLETRANSLATE(A6430, ""ar"", ""bn"")"),"পালতোলা")</f>
        <v>পালতোলা</v>
      </c>
    </row>
    <row r="6431">
      <c r="A6431" s="2" t="s">
        <v>7687</v>
      </c>
      <c r="B6431" s="3" t="str">
        <f>IFERROR(__xludf.DUMMYFUNCTION("GOOGLETRANSLATE(A6431, ""ar"", ""bn"")"),"চাপড়ানো")</f>
        <v>চাপড়ানো</v>
      </c>
    </row>
    <row r="6432">
      <c r="A6432" s="2" t="s">
        <v>7688</v>
      </c>
      <c r="B6432" s="3" t="str">
        <f>IFERROR(__xludf.DUMMYFUNCTION("GOOGLETRANSLATE(A6432, ""ar"", ""bn"")"),"Spankings")</f>
        <v>Spankings</v>
      </c>
    </row>
    <row r="6433">
      <c r="A6433" s="2" t="s">
        <v>7689</v>
      </c>
      <c r="B6433" s="3" t="str">
        <f>IFERROR(__xludf.DUMMYFUNCTION("GOOGLETRANSLATE(A6433, ""ar"", ""bn"")"),"Spanks")</f>
        <v>Spanks</v>
      </c>
    </row>
    <row r="6434">
      <c r="A6434" s="2" t="s">
        <v>7690</v>
      </c>
      <c r="B6434" s="3" t="str">
        <f>IFERROR(__xludf.DUMMYFUNCTION("GOOGLETRANSLATE(A6434, ""ar"", ""bn"")"),"মাংসপেশীর অনৈচ্ছিক আক্ষেপজনিত")</f>
        <v>মাংসপেশীর অনৈচ্ছিক আক্ষেপজনিত</v>
      </c>
    </row>
    <row r="6435">
      <c r="A6435" s="2" t="s">
        <v>7691</v>
      </c>
      <c r="B6435" s="3" t="str">
        <f>IFERROR(__xludf.DUMMYFUNCTION("GOOGLETRANSLATE(A6435, ""ar"", ""bn"")"),"বর্শা")</f>
        <v>বর্শা</v>
      </c>
    </row>
    <row r="6436">
      <c r="A6436" s="2" t="s">
        <v>7692</v>
      </c>
      <c r="B6436" s="3" t="str">
        <f>IFERROR(__xludf.DUMMYFUNCTION("GOOGLETRANSLATE(A6436, ""ar"", ""bn"")"),"ছুরিকাঘাত")</f>
        <v>ছুরিকাঘাত</v>
      </c>
    </row>
    <row r="6437">
      <c r="A6437" s="2" t="s">
        <v>7693</v>
      </c>
      <c r="B6437" s="3" t="str">
        <f>IFERROR(__xludf.DUMMYFUNCTION("GOOGLETRANSLATE(A6437, ""ar"", ""bn"")"),"বূ্যহমুখ")</f>
        <v>বূ্যহমুখ</v>
      </c>
    </row>
    <row r="6438">
      <c r="A6438" s="2" t="s">
        <v>7694</v>
      </c>
      <c r="B6438" s="3" t="str">
        <f>IFERROR(__xludf.DUMMYFUNCTION("GOOGLETRANSLATE(A6438, ""ar"", ""bn"")"),"ঘটেছে")</f>
        <v>ঘটেছে</v>
      </c>
    </row>
    <row r="6439">
      <c r="A6439" s="2" t="s">
        <v>7695</v>
      </c>
      <c r="B6439" s="3" t="str">
        <f>IFERROR(__xludf.DUMMYFUNCTION("GOOGLETRANSLATE(A6439, ""ar"", ""bn"")"),"লিড")</f>
        <v>লিড</v>
      </c>
    </row>
    <row r="6440">
      <c r="A6440" s="2" t="s">
        <v>7693</v>
      </c>
      <c r="B6440" s="3" t="str">
        <f>IFERROR(__xludf.DUMMYFUNCTION("GOOGLETRANSLATE(A6440, ""ar"", ""bn"")"),"বূ্যহমুখ")</f>
        <v>বূ্যহমুখ</v>
      </c>
    </row>
    <row r="6441">
      <c r="A6441" s="2" t="s">
        <v>5327</v>
      </c>
      <c r="B6441" s="3" t="str">
        <f>IFERROR(__xludf.DUMMYFUNCTION("GOOGLETRANSLATE(A6441, ""ar"", ""bn"")"),"পৈতৃক")</f>
        <v>পৈতৃক</v>
      </c>
    </row>
    <row r="6442">
      <c r="A6442" s="2" t="s">
        <v>7696</v>
      </c>
      <c r="B6442" s="3" t="str">
        <f>IFERROR(__xludf.DUMMYFUNCTION("GOOGLETRANSLATE(A6442, ""ar"", ""bn"")"),"স্পিয়ার্স")</f>
        <v>স্পিয়ার্স</v>
      </c>
    </row>
    <row r="6443">
      <c r="A6443" s="2" t="s">
        <v>7161</v>
      </c>
      <c r="B6443" s="3" t="str">
        <f>IFERROR(__xludf.DUMMYFUNCTION("GOOGLETRANSLATE(A6443, ""ar"", ""bn"")"),"বমি")</f>
        <v>বমি</v>
      </c>
    </row>
    <row r="6444">
      <c r="A6444" s="2" t="s">
        <v>7697</v>
      </c>
      <c r="B6444" s="3" t="str">
        <f>IFERROR(__xludf.DUMMYFUNCTION("GOOGLETRANSLATE(A6444, ""ar"", ""bn"")"),"বায়ুতাড়িত গন্ধ শব্দ")</f>
        <v>বায়ুতাড়িত গন্ধ শব্দ</v>
      </c>
    </row>
    <row r="6445">
      <c r="A6445" s="2" t="s">
        <v>7698</v>
      </c>
      <c r="B6445" s="3" t="str">
        <f>IFERROR(__xludf.DUMMYFUNCTION("GOOGLETRANSLATE(A6445, ""ar"", ""bn"")"),"শুটিং")</f>
        <v>শুটিং</v>
      </c>
    </row>
    <row r="6446">
      <c r="A6446" s="2" t="s">
        <v>7699</v>
      </c>
      <c r="B6446" s="3" t="str">
        <f>IFERROR(__xludf.DUMMYFUNCTION("GOOGLETRANSLATE(A6446, ""ar"", ""bn"")"),"বমি")</f>
        <v>বমি</v>
      </c>
    </row>
    <row r="6447">
      <c r="A6447" s="2" t="s">
        <v>6208</v>
      </c>
      <c r="B6447" s="3" t="str">
        <f>IFERROR(__xludf.DUMMYFUNCTION("GOOGLETRANSLATE(A6447, ""ar"", ""bn"")"),"ফুটো")</f>
        <v>ফুটো</v>
      </c>
    </row>
    <row r="6448">
      <c r="A6448" s="2" t="s">
        <v>7700</v>
      </c>
      <c r="B6448" s="3" t="str">
        <f>IFERROR(__xludf.DUMMYFUNCTION("GOOGLETRANSLATE(A6448, ""ar"", ""bn"")"),"ঝরা")</f>
        <v>ঝরা</v>
      </c>
    </row>
    <row r="6449">
      <c r="A6449" s="2" t="s">
        <v>7700</v>
      </c>
      <c r="B6449" s="3" t="str">
        <f>IFERROR(__xludf.DUMMYFUNCTION("GOOGLETRANSLATE(A6449, ""ar"", ""bn"")"),"ঝরা")</f>
        <v>ঝরা</v>
      </c>
    </row>
    <row r="6450">
      <c r="A6450" s="2" t="s">
        <v>7701</v>
      </c>
      <c r="B6450" s="3" t="str">
        <f>IFERROR(__xludf.DUMMYFUNCTION("GOOGLETRANSLATE(A6450, ""ar"", ""bn"")"),"ছড়িয়ে পড়া")</f>
        <v>ছড়িয়ে পড়া</v>
      </c>
    </row>
    <row r="6451">
      <c r="A6451" s="2" t="s">
        <v>7702</v>
      </c>
      <c r="B6451" s="3" t="str">
        <f>IFERROR(__xludf.DUMMYFUNCTION("GOOGLETRANSLATE(A6451, ""ar"", ""bn"")"),"Spiller")</f>
        <v>Spiller</v>
      </c>
    </row>
    <row r="6452">
      <c r="A6452" s="2" t="s">
        <v>7703</v>
      </c>
      <c r="B6452" s="3" t="str">
        <f>IFERROR(__xludf.DUMMYFUNCTION("GOOGLETRANSLATE(A6452, ""ar"", ""bn"")"),"spilling")</f>
        <v>spilling</v>
      </c>
    </row>
    <row r="6453">
      <c r="A6453" s="2" t="s">
        <v>7704</v>
      </c>
      <c r="B6453" s="3" t="str">
        <f>IFERROR(__xludf.DUMMYFUNCTION("GOOGLETRANSLATE(A6453, ""ar"", ""bn"")"),"উপচে পড়ার")</f>
        <v>উপচে পড়ার</v>
      </c>
    </row>
    <row r="6454">
      <c r="A6454" s="2" t="s">
        <v>7705</v>
      </c>
      <c r="B6454" s="3" t="str">
        <f>IFERROR(__xludf.DUMMYFUNCTION("GOOGLETRANSLATE(A6454, ""ar"", ""bn"")"),"চিরকুমারী")</f>
        <v>চিরকুমারী</v>
      </c>
    </row>
    <row r="6455">
      <c r="A6455" s="2" t="s">
        <v>7706</v>
      </c>
      <c r="B6455" s="3" t="str">
        <f>IFERROR(__xludf.DUMMYFUNCTION("GOOGLETRANSLATE(A6455, ""ar"", ""bn"")"),"আইবুড়ো")</f>
        <v>আইবুড়ো</v>
      </c>
    </row>
    <row r="6456">
      <c r="A6456" s="2" t="s">
        <v>7707</v>
      </c>
      <c r="B6456" s="3" t="str">
        <f>IFERROR(__xludf.DUMMYFUNCTION("GOOGLETRANSLATE(A6456, ""ar"", ""bn"")"),"Spinsters")</f>
        <v>Spinsters</v>
      </c>
    </row>
    <row r="6457">
      <c r="A6457" s="2" t="s">
        <v>7708</v>
      </c>
      <c r="B6457" s="3" t="str">
        <f>IFERROR(__xludf.DUMMYFUNCTION("GOOGLETRANSLATE(A6457, ""ar"", ""bn"")"),"সত্ত্বেও")</f>
        <v>সত্ত্বেও</v>
      </c>
    </row>
    <row r="6458">
      <c r="A6458" s="2" t="s">
        <v>7709</v>
      </c>
      <c r="B6458" s="3" t="str">
        <f>IFERROR(__xludf.DUMMYFUNCTION("GOOGLETRANSLATE(A6458, ""ar"", ""bn"")"),"হিংসক")</f>
        <v>হিংসক</v>
      </c>
    </row>
    <row r="6459">
      <c r="A6459" s="2" t="s">
        <v>7710</v>
      </c>
      <c r="B6459" s="3" t="str">
        <f>IFERROR(__xludf.DUMMYFUNCTION("GOOGLETRANSLATE(A6459, ""ar"", ""bn"")"),"অপব্যবহার")</f>
        <v>অপব্যবহার</v>
      </c>
    </row>
    <row r="6460">
      <c r="A6460" s="2" t="s">
        <v>7711</v>
      </c>
      <c r="B6460" s="3" t="str">
        <f>IFERROR(__xludf.DUMMYFUNCTION("GOOGLETRANSLATE(A6460, ""ar"", ""bn"")"),"লুঠ")</f>
        <v>লুঠ</v>
      </c>
    </row>
    <row r="6461">
      <c r="A6461" s="2" t="s">
        <v>4211</v>
      </c>
      <c r="B6461" s="3" t="str">
        <f>IFERROR(__xludf.DUMMYFUNCTION("GOOGLETRANSLATE(A6461, ""ar"", ""bn"")"),"ক্ষতি")</f>
        <v>ক্ষতি</v>
      </c>
    </row>
    <row r="6462">
      <c r="A6462" s="2" t="s">
        <v>5502</v>
      </c>
      <c r="B6462" s="3" t="str">
        <f>IFERROR(__xludf.DUMMYFUNCTION("GOOGLETRANSLATE(A6462, ""ar"", ""bn"")"),"পয়মাল")</f>
        <v>পয়মাল</v>
      </c>
    </row>
    <row r="6463">
      <c r="A6463" s="2" t="s">
        <v>7712</v>
      </c>
      <c r="B6463" s="3" t="str">
        <f>IFERROR(__xludf.DUMMYFUNCTION("GOOGLETRANSLATE(A6463, ""ar"", ""bn"")"),"ভক্ষক")</f>
        <v>ভক্ষক</v>
      </c>
    </row>
    <row r="6464">
      <c r="A6464" s="2" t="s">
        <v>7713</v>
      </c>
      <c r="B6464" s="3" t="str">
        <f>IFERROR(__xludf.DUMMYFUNCTION("GOOGLETRANSLATE(A6464, ""ar"", ""bn"")"),"spoilers")</f>
        <v>spoilers</v>
      </c>
    </row>
    <row r="6465">
      <c r="A6465" s="2" t="s">
        <v>4211</v>
      </c>
      <c r="B6465" s="3" t="str">
        <f>IFERROR(__xludf.DUMMYFUNCTION("GOOGLETRANSLATE(A6465, ""ar"", ""bn"")"),"ক্ষতি")</f>
        <v>ক্ষতি</v>
      </c>
    </row>
    <row r="6466">
      <c r="A6466" s="2" t="s">
        <v>7714</v>
      </c>
      <c r="B6466" s="3" t="str">
        <f>IFERROR(__xludf.DUMMYFUNCTION("GOOGLETRANSLATE(A6466, ""ar"", ""bn"")"),"লুঠ")</f>
        <v>লুঠ</v>
      </c>
    </row>
    <row r="6467">
      <c r="A6467" s="2" t="s">
        <v>7715</v>
      </c>
      <c r="B6467" s="3" t="str">
        <f>IFERROR(__xludf.DUMMYFUNCTION("GOOGLETRANSLATE(A6467, ""ar"", ""bn"")"),"spoilsport")</f>
        <v>spoilsport</v>
      </c>
    </row>
    <row r="6468">
      <c r="A6468" s="2" t="s">
        <v>5502</v>
      </c>
      <c r="B6468" s="3" t="str">
        <f>IFERROR(__xludf.DUMMYFUNCTION("GOOGLETRANSLATE(A6468, ""ar"", ""bn"")"),"পয়মাল")</f>
        <v>পয়মাল</v>
      </c>
    </row>
    <row r="6469">
      <c r="A6469" s="2" t="s">
        <v>6634</v>
      </c>
      <c r="B6469" s="3" t="str">
        <f>IFERROR(__xludf.DUMMYFUNCTION("GOOGLETRANSLATE(A6469, ""ar"", ""bn"")"),"ব্যাবর্ত")</f>
        <v>ব্যাবর্ত</v>
      </c>
    </row>
    <row r="6470">
      <c r="A6470" s="2" t="s">
        <v>6634</v>
      </c>
      <c r="B6470" s="3" t="str">
        <f>IFERROR(__xludf.DUMMYFUNCTION("GOOGLETRANSLATE(A6470, ""ar"", ""bn"")"),"ব্যাবর্ত")</f>
        <v>ব্যাবর্ত</v>
      </c>
    </row>
    <row r="6471">
      <c r="A6471" s="2" t="s">
        <v>7716</v>
      </c>
      <c r="B6471" s="3" t="str">
        <f>IFERROR(__xludf.DUMMYFUNCTION("GOOGLETRANSLATE(A6471, ""ar"", ""bn"")"),"spraining")</f>
        <v>spraining</v>
      </c>
    </row>
    <row r="6472">
      <c r="A6472" s="2" t="s">
        <v>7717</v>
      </c>
      <c r="B6472" s="3" t="str">
        <f>IFERROR(__xludf.DUMMYFUNCTION("GOOGLETRANSLATE(A6472, ""ar"", ""bn"")"),"বক্রতা")</f>
        <v>বক্রতা</v>
      </c>
    </row>
    <row r="6473">
      <c r="A6473" s="2" t="s">
        <v>7718</v>
      </c>
      <c r="B6473" s="3" t="str">
        <f>IFERROR(__xludf.DUMMYFUNCTION("GOOGLETRANSLATE(A6473, ""ar"", ""bn"")"),"থুতু")</f>
        <v>থুতু</v>
      </c>
    </row>
    <row r="6474">
      <c r="A6474" s="2" t="s">
        <v>7719</v>
      </c>
      <c r="B6474" s="3" t="str">
        <f>IFERROR(__xludf.DUMMYFUNCTION("GOOGLETRANSLATE(A6474, ""ar"", ""bn"")"),"ব্যর্থ হয়েছে")</f>
        <v>ব্যর্থ হয়েছে</v>
      </c>
    </row>
    <row r="6475">
      <c r="A6475" s="2" t="s">
        <v>7720</v>
      </c>
      <c r="B6475" s="3" t="str">
        <f>IFERROR(__xludf.DUMMYFUNCTION("GOOGLETRANSLATE(A6475, ""ar"", ""bn"")"),"কদাকার")</f>
        <v>কদাকার</v>
      </c>
    </row>
    <row r="6476">
      <c r="A6476" s="2" t="s">
        <v>7721</v>
      </c>
      <c r="B6476" s="3" t="str">
        <f>IFERROR(__xludf.DUMMYFUNCTION("GOOGLETRANSLATE(A6476, ""ar"", ""bn"")"),"ছিটান")</f>
        <v>ছিটান</v>
      </c>
    </row>
    <row r="6477">
      <c r="A6477" s="2" t="s">
        <v>7722</v>
      </c>
      <c r="B6477" s="3" t="str">
        <f>IFERROR(__xludf.DUMMYFUNCTION("GOOGLETRANSLATE(A6477, ""ar"", ""bn"")"),"lavished")</f>
        <v>lavished</v>
      </c>
    </row>
    <row r="6478">
      <c r="A6478" s="2" t="s">
        <v>6907</v>
      </c>
      <c r="B6478" s="3" t="str">
        <f>IFERROR(__xludf.DUMMYFUNCTION("GOOGLETRANSLATE(A6478, ""ar"", ""bn"")"),"উড়নচড়ে")</f>
        <v>উড়নচড়ে</v>
      </c>
    </row>
    <row r="6479">
      <c r="A6479" s="2" t="s">
        <v>4901</v>
      </c>
      <c r="B6479" s="3" t="str">
        <f>IFERROR(__xludf.DUMMYFUNCTION("GOOGLETRANSLATE(A6479, ""ar"", ""bn"")"),"অপব্যয়")</f>
        <v>অপব্যয়</v>
      </c>
    </row>
    <row r="6480">
      <c r="A6480" s="2" t="s">
        <v>4243</v>
      </c>
      <c r="B6480" s="3" t="str">
        <f>IFERROR(__xludf.DUMMYFUNCTION("GOOGLETRANSLATE(A6480, ""ar"", ""bn"")"),"খিঁচুনি")</f>
        <v>খিঁচুনি</v>
      </c>
    </row>
    <row r="6481">
      <c r="A6481" s="2" t="s">
        <v>5613</v>
      </c>
      <c r="B6481" s="3" t="str">
        <f>IFERROR(__xludf.DUMMYFUNCTION("GOOGLETRANSLATE(A6481, ""ar"", ""bn"")"),"Wiggles ও")</f>
        <v>Wiggles ও</v>
      </c>
    </row>
    <row r="6482">
      <c r="A6482" s="2" t="s">
        <v>7723</v>
      </c>
      <c r="B6482" s="3" t="str">
        <f>IFERROR(__xludf.DUMMYFUNCTION("GOOGLETRANSLATE(A6482, ""ar"", ""bn"")"),"squirming")</f>
        <v>squirming</v>
      </c>
    </row>
    <row r="6483">
      <c r="A6483" s="2" t="s">
        <v>5613</v>
      </c>
      <c r="B6483" s="3" t="str">
        <f>IFERROR(__xludf.DUMMYFUNCTION("GOOGLETRANSLATE(A6483, ""ar"", ""bn"")"),"Wiggles ও")</f>
        <v>Wiggles ও</v>
      </c>
    </row>
    <row r="6484">
      <c r="A6484" s="2" t="s">
        <v>7724</v>
      </c>
      <c r="B6484" s="3" t="str">
        <f>IFERROR(__xludf.DUMMYFUNCTION("GOOGLETRANSLATE(A6484, ""ar"", ""bn"")"),"ছুরিকাঘাত")</f>
        <v>ছুরিকাঘাত</v>
      </c>
    </row>
    <row r="6485">
      <c r="A6485" s="2" t="s">
        <v>7692</v>
      </c>
      <c r="B6485" s="3" t="str">
        <f>IFERROR(__xludf.DUMMYFUNCTION("GOOGLETRANSLATE(A6485, ""ar"", ""bn"")"),"ছুরিকাঘাত")</f>
        <v>ছুরিকাঘাত</v>
      </c>
    </row>
    <row r="6486">
      <c r="A6486" s="2" t="s">
        <v>7692</v>
      </c>
      <c r="B6486" s="3" t="str">
        <f>IFERROR(__xludf.DUMMYFUNCTION("GOOGLETRANSLATE(A6486, ""ar"", ""bn"")"),"ছুরিকাঘাত")</f>
        <v>ছুরিকাঘাত</v>
      </c>
    </row>
    <row r="6487">
      <c r="A6487" s="2" t="s">
        <v>7725</v>
      </c>
      <c r="B6487" s="3" t="str">
        <f>IFERROR(__xludf.DUMMYFUNCTION("GOOGLETRANSLATE(A6487, ""ar"", ""bn"")"),"ছুরিকাঘাত")</f>
        <v>ছুরিকাঘাত</v>
      </c>
    </row>
    <row r="6488">
      <c r="A6488" s="2" t="s">
        <v>7075</v>
      </c>
      <c r="B6488" s="3" t="str">
        <f>IFERROR(__xludf.DUMMYFUNCTION("GOOGLETRANSLATE(A6488, ""ar"", ""bn"")"),"আবেদন")</f>
        <v>আবেদন</v>
      </c>
    </row>
    <row r="6489">
      <c r="A6489" s="2" t="s">
        <v>7726</v>
      </c>
      <c r="B6489" s="3" t="str">
        <f>IFERROR(__xludf.DUMMYFUNCTION("GOOGLETRANSLATE(A6489, ""ar"", ""bn"")"),"স্থায়িত্ব")</f>
        <v>স্থায়িত্ব</v>
      </c>
    </row>
    <row r="6490">
      <c r="A6490" s="2" t="s">
        <v>7726</v>
      </c>
      <c r="B6490" s="3" t="str">
        <f>IFERROR(__xludf.DUMMYFUNCTION("GOOGLETRANSLATE(A6490, ""ar"", ""bn"")"),"স্থায়িত্ব")</f>
        <v>স্থায়িত্ব</v>
      </c>
    </row>
    <row r="6491">
      <c r="A6491" s="2" t="s">
        <v>7727</v>
      </c>
      <c r="B6491" s="3" t="str">
        <f>IFERROR(__xludf.DUMMYFUNCTION("GOOGLETRANSLATE(A6491, ""ar"", ""bn"")"),"স্থিতিশীল")</f>
        <v>স্থিতিশীল</v>
      </c>
    </row>
    <row r="6492">
      <c r="A6492" s="2" t="s">
        <v>7728</v>
      </c>
      <c r="B6492" s="3" t="str">
        <f>IFERROR(__xludf.DUMMYFUNCTION("GOOGLETRANSLATE(A6492, ""ar"", ""bn"")"),"স্টেবিলাইজার")</f>
        <v>স্টেবিলাইজার</v>
      </c>
    </row>
    <row r="6493">
      <c r="A6493" s="2" t="s">
        <v>7729</v>
      </c>
      <c r="B6493" s="3" t="str">
        <f>IFERROR(__xludf.DUMMYFUNCTION("GOOGLETRANSLATE(A6493, ""ar"", ""bn"")"),"অক্সিডেন্ট")</f>
        <v>অক্সিডেন্ট</v>
      </c>
    </row>
    <row r="6494">
      <c r="A6494" s="2" t="s">
        <v>7726</v>
      </c>
      <c r="B6494" s="3" t="str">
        <f>IFERROR(__xludf.DUMMYFUNCTION("GOOGLETRANSLATE(A6494, ""ar"", ""bn"")"),"স্থায়িত্ব")</f>
        <v>স্থায়িত্ব</v>
      </c>
    </row>
    <row r="6495">
      <c r="A6495" s="2" t="s">
        <v>7726</v>
      </c>
      <c r="B6495" s="3" t="str">
        <f>IFERROR(__xludf.DUMMYFUNCTION("GOOGLETRANSLATE(A6495, ""ar"", ""bn"")"),"স্থায়িত্ব")</f>
        <v>স্থায়িত্ব</v>
      </c>
    </row>
    <row r="6496">
      <c r="A6496" s="2" t="s">
        <v>7726</v>
      </c>
      <c r="B6496" s="3" t="str">
        <f>IFERROR(__xludf.DUMMYFUNCTION("GOOGLETRANSLATE(A6496, ""ar"", ""bn"")"),"স্থায়িত্ব")</f>
        <v>স্থায়িত্ব</v>
      </c>
    </row>
    <row r="6497">
      <c r="A6497" s="2" t="s">
        <v>7727</v>
      </c>
      <c r="B6497" s="3" t="str">
        <f>IFERROR(__xludf.DUMMYFUNCTION("GOOGLETRANSLATE(A6497, ""ar"", ""bn"")"),"স্থিতিশীল")</f>
        <v>স্থিতিশীল</v>
      </c>
    </row>
    <row r="6498">
      <c r="A6498" s="2" t="s">
        <v>7730</v>
      </c>
      <c r="B6498" s="3" t="str">
        <f>IFERROR(__xludf.DUMMYFUNCTION("GOOGLETRANSLATE(A6498, ""ar"", ""bn"")"),"আস্তাবলে")</f>
        <v>আস্তাবলে</v>
      </c>
    </row>
    <row r="6499">
      <c r="A6499" s="2" t="s">
        <v>7731</v>
      </c>
      <c r="B6499" s="3" t="str">
        <f>IFERROR(__xludf.DUMMYFUNCTION("GOOGLETRANSLATE(A6499, ""ar"", ""bn"")"),"স্থিতিশীল")</f>
        <v>স্থিতিশীল</v>
      </c>
    </row>
    <row r="6500">
      <c r="A6500" s="2" t="s">
        <v>7732</v>
      </c>
      <c r="B6500" s="3" t="str">
        <f>IFERROR(__xludf.DUMMYFUNCTION("GOOGLETRANSLATE(A6500, ""ar"", ""bn"")"),"আস্তাবলের")</f>
        <v>আস্তাবলের</v>
      </c>
    </row>
    <row r="6501">
      <c r="A6501" s="2" t="s">
        <v>7730</v>
      </c>
      <c r="B6501" s="3" t="str">
        <f>IFERROR(__xludf.DUMMYFUNCTION("GOOGLETRANSLATE(A6501, ""ar"", ""bn"")"),"আস্তাবলে")</f>
        <v>আস্তাবলে</v>
      </c>
    </row>
    <row r="6502">
      <c r="A6502" s="2" t="s">
        <v>5913</v>
      </c>
      <c r="B6502" s="3" t="str">
        <f>IFERROR(__xludf.DUMMYFUNCTION("GOOGLETRANSLATE(A6502, ""ar"", ""bn"")"),"ফিক্সড")</f>
        <v>ফিক্সড</v>
      </c>
    </row>
    <row r="6503">
      <c r="A6503" s="2" t="s">
        <v>7733</v>
      </c>
      <c r="B6503" s="3" t="str">
        <f>IFERROR(__xludf.DUMMYFUNCTION("GOOGLETRANSLATE(A6503, ""ar"", ""bn"")"),"ছুরিকাঘাতের ক্ষত")</f>
        <v>ছুরিকাঘাতের ক্ষত</v>
      </c>
    </row>
    <row r="6504">
      <c r="A6504" s="2" t="s">
        <v>7734</v>
      </c>
      <c r="B6504" s="3" t="str">
        <f>IFERROR(__xludf.DUMMYFUNCTION("GOOGLETRANSLATE(A6504, ""ar"", ""bn"")"),"বদ্ধ")</f>
        <v>বদ্ধ</v>
      </c>
    </row>
    <row r="6505">
      <c r="A6505" s="2" t="s">
        <v>7735</v>
      </c>
      <c r="B6505" s="3" t="str">
        <f>IFERROR(__xludf.DUMMYFUNCTION("GOOGLETRANSLATE(A6505, ""ar"", ""bn"")"),"দাগ")</f>
        <v>দাগ</v>
      </c>
    </row>
    <row r="6506">
      <c r="A6506" s="2" t="s">
        <v>7736</v>
      </c>
      <c r="B6506" s="3" t="str">
        <f>IFERROR(__xludf.DUMMYFUNCTION("GOOGLETRANSLATE(A6506, ""ar"", ""bn"")"),"দাগযুক্ত")</f>
        <v>দাগযুক্ত</v>
      </c>
    </row>
    <row r="6507">
      <c r="A6507" s="2" t="s">
        <v>3678</v>
      </c>
      <c r="B6507" s="3" t="str">
        <f>IFERROR(__xludf.DUMMYFUNCTION("GOOGLETRANSLATE(A6507, ""ar"", ""bn"")"),"blemished")</f>
        <v>blemished</v>
      </c>
    </row>
    <row r="6508">
      <c r="A6508" s="2" t="s">
        <v>7617</v>
      </c>
      <c r="B6508" s="3" t="str">
        <f>IFERROR(__xludf.DUMMYFUNCTION("GOOGLETRANSLATE(A6508, ""ar"", ""bn"")"),"পুনরায়")</f>
        <v>পুনরায়</v>
      </c>
    </row>
    <row r="6509">
      <c r="A6509" s="2" t="s">
        <v>7737</v>
      </c>
      <c r="B6509" s="3" t="str">
        <f>IFERROR(__xludf.DUMMYFUNCTION("GOOGLETRANSLATE(A6509, ""ar"", ""bn"")"),"বেদাগ")</f>
        <v>বেদাগ</v>
      </c>
    </row>
    <row r="6510">
      <c r="A6510" s="2" t="s">
        <v>7738</v>
      </c>
      <c r="B6510" s="3" t="str">
        <f>IFERROR(__xludf.DUMMYFUNCTION("GOOGLETRANSLATE(A6510, ""ar"", ""bn"")"),"দাগ")</f>
        <v>দাগ</v>
      </c>
    </row>
    <row r="6511">
      <c r="A6511" s="2" t="s">
        <v>7739</v>
      </c>
      <c r="B6511" s="3" t="str">
        <f>IFERROR(__xludf.DUMMYFUNCTION("GOOGLETRANSLATE(A6511, ""ar"", ""bn"")"),"একজন বৃদ্ধ")</f>
        <v>একজন বৃদ্ধ</v>
      </c>
    </row>
    <row r="6512">
      <c r="A6512" s="2" t="s">
        <v>4442</v>
      </c>
      <c r="B6512" s="3" t="str">
        <f>IFERROR(__xludf.DUMMYFUNCTION("GOOGLETRANSLATE(A6512, ""ar"", ""bn"")"),"কানাগলি")</f>
        <v>কানাগলি</v>
      </c>
    </row>
    <row r="6513">
      <c r="A6513" s="2" t="s">
        <v>4442</v>
      </c>
      <c r="B6513" s="3" t="str">
        <f>IFERROR(__xludf.DUMMYFUNCTION("GOOGLETRANSLATE(A6513, ""ar"", ""bn"")"),"কানাগলি")</f>
        <v>কানাগলি</v>
      </c>
    </row>
    <row r="6514">
      <c r="A6514" s="2" t="s">
        <v>7193</v>
      </c>
      <c r="B6514" s="3" t="str">
        <f>IFERROR(__xludf.DUMMYFUNCTION("GOOGLETRANSLATE(A6514, ""ar"", ""bn"")"),"নিষ্ক্রিয়তা")</f>
        <v>নিষ্ক্রিয়তা</v>
      </c>
    </row>
    <row r="6515">
      <c r="A6515" s="2" t="s">
        <v>7740</v>
      </c>
      <c r="B6515" s="3" t="str">
        <f>IFERROR(__xludf.DUMMYFUNCTION("GOOGLETRANSLATE(A6515, ""ar"", ""bn"")"),"staleness")</f>
        <v>staleness</v>
      </c>
    </row>
    <row r="6516">
      <c r="A6516" s="2" t="s">
        <v>4442</v>
      </c>
      <c r="B6516" s="3" t="str">
        <f>IFERROR(__xludf.DUMMYFUNCTION("GOOGLETRANSLATE(A6516, ""ar"", ""bn"")"),"কানাগলি")</f>
        <v>কানাগলি</v>
      </c>
    </row>
    <row r="6517">
      <c r="A6517" s="2" t="s">
        <v>4442</v>
      </c>
      <c r="B6517" s="3" t="str">
        <f>IFERROR(__xludf.DUMMYFUNCTION("GOOGLETRANSLATE(A6517, ""ar"", ""bn"")"),"কানাগলি")</f>
        <v>কানাগলি</v>
      </c>
    </row>
    <row r="6518">
      <c r="A6518" s="2" t="s">
        <v>7193</v>
      </c>
      <c r="B6518" s="3" t="str">
        <f>IFERROR(__xludf.DUMMYFUNCTION("GOOGLETRANSLATE(A6518, ""ar"", ""bn"")"),"নিষ্ক্রিয়তা")</f>
        <v>নিষ্ক্রিয়তা</v>
      </c>
    </row>
    <row r="6519">
      <c r="A6519" s="2" t="s">
        <v>7741</v>
      </c>
      <c r="B6519" s="3" t="str">
        <f>IFERROR(__xludf.DUMMYFUNCTION("GOOGLETRANSLATE(A6519, ""ar"", ""bn"")"),"আমি থেমে গেলাম")</f>
        <v>আমি থেমে গেলাম</v>
      </c>
    </row>
    <row r="6520">
      <c r="A6520" s="2" t="s">
        <v>5709</v>
      </c>
      <c r="B6520" s="3" t="str">
        <f>IFERROR(__xludf.DUMMYFUNCTION("GOOGLETRANSLATE(A6520, ""ar"", ""bn"")"),"স্টপ")</f>
        <v>স্টপ</v>
      </c>
    </row>
    <row r="6521">
      <c r="A6521" s="2" t="s">
        <v>7742</v>
      </c>
      <c r="B6521" s="3" t="str">
        <f>IFERROR(__xludf.DUMMYFUNCTION("GOOGLETRANSLATE(A6521, ""ar"", ""bn"")"),"তোত্লামি")</f>
        <v>তোত্লামি</v>
      </c>
    </row>
    <row r="6522">
      <c r="A6522" s="2" t="s">
        <v>7743</v>
      </c>
      <c r="B6522" s="3" t="str">
        <f>IFERROR(__xludf.DUMMYFUNCTION("GOOGLETRANSLATE(A6522, ""ar"", ""bn"")"),"তোতলামি")</f>
        <v>তোতলামি</v>
      </c>
    </row>
    <row r="6523">
      <c r="A6523" s="2" t="s">
        <v>7744</v>
      </c>
      <c r="B6523" s="3" t="str">
        <f>IFERROR(__xludf.DUMMYFUNCTION("GOOGLETRANSLATE(A6523, ""ar"", ""bn"")"),"তোতলামি")</f>
        <v>তোতলামি</v>
      </c>
    </row>
    <row r="6524">
      <c r="A6524" s="2" t="s">
        <v>6582</v>
      </c>
      <c r="B6524" s="3" t="str">
        <f>IFERROR(__xludf.DUMMYFUNCTION("GOOGLETRANSLATE(A6524, ""ar"", ""bn"")"),"আধ-আধ")</f>
        <v>আধ-আধ</v>
      </c>
    </row>
    <row r="6525">
      <c r="A6525" s="2" t="s">
        <v>7745</v>
      </c>
      <c r="B6525" s="3" t="str">
        <f>IFERROR(__xludf.DUMMYFUNCTION("GOOGLETRANSLATE(A6525, ""ar"", ""bn"")"),"সম্পূর্ণ স্টপ")</f>
        <v>সম্পূর্ণ স্টপ</v>
      </c>
    </row>
    <row r="6526">
      <c r="A6526" s="2" t="s">
        <v>7746</v>
      </c>
      <c r="B6526" s="3" t="str">
        <f>IFERROR(__xludf.DUMMYFUNCTION("GOOGLETRANSLATE(A6526, ""ar"", ""bn"")"),"তীব্র দুর্গন্ধ")</f>
        <v>তীব্র দুর্গন্ধ</v>
      </c>
    </row>
    <row r="6527">
      <c r="A6527" s="2" t="s">
        <v>6978</v>
      </c>
      <c r="B6527" s="3" t="str">
        <f>IFERROR(__xludf.DUMMYFUNCTION("GOOGLETRANSLATE(A6527, ""ar"", ""bn"")"),"সম্পূর্ণরূপে")</f>
        <v>সম্পূর্ণরূপে</v>
      </c>
    </row>
    <row r="6528">
      <c r="A6528" s="2" t="s">
        <v>7747</v>
      </c>
      <c r="B6528" s="3" t="str">
        <f>IFERROR(__xludf.DUMMYFUNCTION("GOOGLETRANSLATE(A6528, ""ar"", ""bn"")"),"Starker")</f>
        <v>Starker</v>
      </c>
    </row>
    <row r="6529">
      <c r="A6529" s="2" t="s">
        <v>7748</v>
      </c>
      <c r="B6529" s="3" t="str">
        <f>IFERROR(__xludf.DUMMYFUNCTION("GOOGLETRANSLATE(A6529, ""ar"", ""bn"")"),"ঘোর")</f>
        <v>ঘোর</v>
      </c>
    </row>
    <row r="6530">
      <c r="A6530" s="2" t="s">
        <v>3672</v>
      </c>
      <c r="B6530" s="3" t="str">
        <f>IFERROR(__xludf.DUMMYFUNCTION("GOOGLETRANSLATE(A6530, ""ar"", ""bn"")"),"চরমভাবে")</f>
        <v>চরমভাবে</v>
      </c>
    </row>
    <row r="6531">
      <c r="A6531" s="2" t="s">
        <v>7749</v>
      </c>
      <c r="B6531" s="3" t="str">
        <f>IFERROR(__xludf.DUMMYFUNCTION("GOOGLETRANSLATE(A6531, ""ar"", ""bn"")"),"সঙ্কুচিত হত্তয়া")</f>
        <v>সঙ্কুচিত হত্তয়া</v>
      </c>
    </row>
    <row r="6532">
      <c r="A6532" s="2" t="s">
        <v>7750</v>
      </c>
      <c r="B6532" s="3" t="str">
        <f>IFERROR(__xludf.DUMMYFUNCTION("GOOGLETRANSLATE(A6532, ""ar"", ""bn"")"),"অবাক")</f>
        <v>অবাক</v>
      </c>
    </row>
    <row r="6533">
      <c r="A6533" s="2" t="s">
        <v>7751</v>
      </c>
      <c r="B6533" s="3" t="str">
        <f>IFERROR(__xludf.DUMMYFUNCTION("GOOGLETRANSLATE(A6533, ""ar"", ""bn"")"),"Startles")</f>
        <v>Startles</v>
      </c>
    </row>
    <row r="6534">
      <c r="A6534" s="2" t="s">
        <v>3635</v>
      </c>
      <c r="B6534" s="3" t="str">
        <f>IFERROR(__xludf.DUMMYFUNCTION("GOOGLETRANSLATE(A6534, ""ar"", ""bn"")"),"তুলনাহীন")</f>
        <v>তুলনাহীন</v>
      </c>
    </row>
    <row r="6535">
      <c r="A6535" s="2" t="s">
        <v>3635</v>
      </c>
      <c r="B6535" s="3" t="str">
        <f>IFERROR(__xludf.DUMMYFUNCTION("GOOGLETRANSLATE(A6535, ""ar"", ""bn"")"),"তুলনাহীন")</f>
        <v>তুলনাহীন</v>
      </c>
    </row>
    <row r="6536">
      <c r="A6536" s="2" t="s">
        <v>7752</v>
      </c>
      <c r="B6536" s="3" t="str">
        <f>IFERROR(__xludf.DUMMYFUNCTION("GOOGLETRANSLATE(A6536, ""ar"", ""bn"")"),"ক্ষুধায় মারা")</f>
        <v>ক্ষুধায় মারা</v>
      </c>
    </row>
    <row r="6537">
      <c r="A6537" s="2" t="s">
        <v>7753</v>
      </c>
      <c r="B6537" s="3" t="str">
        <f>IFERROR(__xludf.DUMMYFUNCTION("GOOGLETRANSLATE(A6537, ""ar"", ""bn"")"),"ক্ষুধায় মারা")</f>
        <v>ক্ষুধায় মারা</v>
      </c>
    </row>
    <row r="6538">
      <c r="A6538" s="2" t="s">
        <v>7754</v>
      </c>
      <c r="B6538" s="3" t="str">
        <f>IFERROR(__xludf.DUMMYFUNCTION("GOOGLETRANSLATE(A6538, ""ar"", ""bn"")"),"খাইতে পার এমন")</f>
        <v>খাইতে পার এমন</v>
      </c>
    </row>
    <row r="6539">
      <c r="A6539" s="2" t="s">
        <v>7755</v>
      </c>
      <c r="B6539" s="3" t="str">
        <f>IFERROR(__xludf.DUMMYFUNCTION("GOOGLETRANSLATE(A6539, ""ar"", ""bn"")"),"ক্ষুধা লেগেছে")</f>
        <v>ক্ষুধা লেগেছে</v>
      </c>
    </row>
    <row r="6540">
      <c r="A6540" s="2" t="s">
        <v>5841</v>
      </c>
      <c r="B6540" s="3" t="str">
        <f>IFERROR(__xludf.DUMMYFUNCTION("GOOGLETRANSLATE(A6540, ""ar"", ""bn"")"),"ক্ষুধার্ত")</f>
        <v>ক্ষুধার্ত</v>
      </c>
    </row>
    <row r="6541">
      <c r="A6541" s="2" t="s">
        <v>5079</v>
      </c>
      <c r="B6541" s="3" t="str">
        <f>IFERROR(__xludf.DUMMYFUNCTION("GOOGLETRANSLATE(A6541, ""ar"", ""bn"")"),"বাসিন্দা")</f>
        <v>বাসিন্দা</v>
      </c>
    </row>
    <row r="6542">
      <c r="A6542" s="2" t="s">
        <v>7756</v>
      </c>
      <c r="B6542" s="3" t="str">
        <f>IFERROR(__xludf.DUMMYFUNCTION("GOOGLETRANSLATE(A6542, ""ar"", ""bn"")"),"পরিসংখ্যাত")</f>
        <v>পরিসংখ্যাত</v>
      </c>
    </row>
    <row r="6543">
      <c r="A6543" s="2" t="s">
        <v>7757</v>
      </c>
      <c r="B6543" s="3" t="str">
        <f>IFERROR(__xludf.DUMMYFUNCTION("GOOGLETRANSLATE(A6543, ""ar"", ""bn"")"),"ধারাবাহিকভাবে")</f>
        <v>ধারাবাহিকভাবে</v>
      </c>
    </row>
    <row r="6544">
      <c r="A6544" s="2" t="s">
        <v>7758</v>
      </c>
      <c r="B6544" s="3" t="str">
        <f>IFERROR(__xludf.DUMMYFUNCTION("GOOGLETRANSLATE(A6544, ""ar"", ""bn"")"),"স্থিতিবিদ্যা")</f>
        <v>স্থিতিবিদ্যা</v>
      </c>
    </row>
    <row r="6545">
      <c r="A6545" s="2" t="s">
        <v>7221</v>
      </c>
      <c r="B6545" s="3" t="str">
        <f>IFERROR(__xludf.DUMMYFUNCTION("GOOGLETRANSLATE(A6545, ""ar"", ""bn"")"),"চুরি")</f>
        <v>চুরি</v>
      </c>
    </row>
    <row r="6546">
      <c r="A6546" s="2" t="s">
        <v>7759</v>
      </c>
      <c r="B6546" s="3" t="str">
        <f>IFERROR(__xludf.DUMMYFUNCTION("GOOGLETRANSLATE(A6546, ""ar"", ""bn"")"),"চোর")</f>
        <v>চোর</v>
      </c>
    </row>
    <row r="6547">
      <c r="A6547" s="2" t="s">
        <v>7760</v>
      </c>
      <c r="B6547" s="3" t="str">
        <f>IFERROR(__xludf.DUMMYFUNCTION("GOOGLETRANSLATE(A6547, ""ar"", ""bn"")"),"Stealers")</f>
        <v>Stealers</v>
      </c>
    </row>
    <row r="6548">
      <c r="A6548" s="2" t="s">
        <v>7221</v>
      </c>
      <c r="B6548" s="3" t="str">
        <f>IFERROR(__xludf.DUMMYFUNCTION("GOOGLETRANSLATE(A6548, ""ar"", ""bn"")"),"চুরি")</f>
        <v>চুরি</v>
      </c>
    </row>
    <row r="6549">
      <c r="A6549" s="2" t="s">
        <v>7761</v>
      </c>
      <c r="B6549" s="3" t="str">
        <f>IFERROR(__xludf.DUMMYFUNCTION("GOOGLETRANSLATE(A6549, ""ar"", ""bn"")"),"চুরি করা")</f>
        <v>চুরি করা</v>
      </c>
    </row>
    <row r="6550">
      <c r="A6550" s="2" t="s">
        <v>3118</v>
      </c>
      <c r="B6550" s="3" t="str">
        <f>IFERROR(__xludf.DUMMYFUNCTION("GOOGLETRANSLATE(A6550, ""ar"", ""bn"")"),"অফসাইড")</f>
        <v>অফসাইড</v>
      </c>
    </row>
    <row r="6551">
      <c r="A6551" s="2" t="s">
        <v>7762</v>
      </c>
      <c r="B6551" s="3" t="str">
        <f>IFERROR(__xludf.DUMMYFUNCTION("GOOGLETRANSLATE(A6551, ""ar"", ""bn"")"),"চৌর্য")</f>
        <v>চৌর্য</v>
      </c>
    </row>
    <row r="6552">
      <c r="A6552" s="2" t="s">
        <v>7640</v>
      </c>
      <c r="B6552" s="3" t="str">
        <f>IFERROR(__xludf.DUMMYFUNCTION("GOOGLETRANSLATE(A6552, ""ar"", ""bn"")"),"অজ্ঞাতে")</f>
        <v>অজ্ঞাতে</v>
      </c>
    </row>
    <row r="6553">
      <c r="A6553" s="2" t="s">
        <v>4227</v>
      </c>
      <c r="B6553" s="3" t="str">
        <f>IFERROR(__xludf.DUMMYFUNCTION("GOOGLETRANSLATE(A6553, ""ar"", ""bn"")"),"গোপন")</f>
        <v>গোপন</v>
      </c>
    </row>
    <row r="6554">
      <c r="A6554" s="2" t="s">
        <v>7763</v>
      </c>
      <c r="B6554" s="3" t="str">
        <f>IFERROR(__xludf.DUMMYFUNCTION("GOOGLETRANSLATE(A6554, ""ar"", ""bn"")"),"Stinky গন্ধ")</f>
        <v>Stinky গন্ধ</v>
      </c>
    </row>
    <row r="6555">
      <c r="A6555" s="2" t="s">
        <v>3450</v>
      </c>
      <c r="B6555" s="3" t="str">
        <f>IFERROR(__xludf.DUMMYFUNCTION("GOOGLETRANSLATE(A6555, ""ar"", ""bn"")"),"যথাযথ")</f>
        <v>যথাযথ</v>
      </c>
    </row>
    <row r="6556">
      <c r="A6556" s="2" t="s">
        <v>7764</v>
      </c>
      <c r="B6556" s="3" t="str">
        <f>IFERROR(__xludf.DUMMYFUNCTION("GOOGLETRANSLATE(A6556, ""ar"", ""bn"")"),"আরো কঠোর")</f>
        <v>আরো কঠোর</v>
      </c>
    </row>
    <row r="6557">
      <c r="A6557" s="2" t="s">
        <v>7765</v>
      </c>
      <c r="B6557" s="3" t="str">
        <f>IFERROR(__xludf.DUMMYFUNCTION("GOOGLETRANSLATE(A6557, ""ar"", ""bn"")"),"কঠিন")</f>
        <v>কঠিন</v>
      </c>
    </row>
    <row r="6558">
      <c r="A6558" s="2" t="s">
        <v>7766</v>
      </c>
      <c r="B6558" s="3" t="str">
        <f>IFERROR(__xludf.DUMMYFUNCTION("GOOGLETRANSLATE(A6558, ""ar"", ""bn"")"),"যথাযথভাবে")</f>
        <v>যথাযথভাবে</v>
      </c>
    </row>
    <row r="6559">
      <c r="A6559" s="2" t="s">
        <v>7767</v>
      </c>
      <c r="B6559" s="3" t="str">
        <f>IFERROR(__xludf.DUMMYFUNCTION("GOOGLETRANSLATE(A6559, ""ar"", ""bn"")"),"কাঠিন্য")</f>
        <v>কাঠিন্য</v>
      </c>
    </row>
    <row r="6560">
      <c r="A6560" s="2" t="s">
        <v>7768</v>
      </c>
      <c r="B6560" s="3" t="str">
        <f>IFERROR(__xludf.DUMMYFUNCTION("GOOGLETRANSLATE(A6560, ""ar"", ""bn"")"),"Sterns")</f>
        <v>Sterns</v>
      </c>
    </row>
    <row r="6561">
      <c r="A6561" s="2" t="s">
        <v>5471</v>
      </c>
      <c r="B6561" s="3" t="str">
        <f>IFERROR(__xludf.DUMMYFUNCTION("GOOGLETRANSLATE(A6561, ""ar"", ""bn"")"),"ভ্রূকুটি")</f>
        <v>ভ্রূকুটি</v>
      </c>
    </row>
    <row r="6562">
      <c r="A6562" s="2" t="s">
        <v>7766</v>
      </c>
      <c r="B6562" s="3" t="str">
        <f>IFERROR(__xludf.DUMMYFUNCTION("GOOGLETRANSLATE(A6562, ""ar"", ""bn"")"),"যথাযথভাবে")</f>
        <v>যথাযথভাবে</v>
      </c>
    </row>
    <row r="6563">
      <c r="A6563" s="2" t="s">
        <v>3984</v>
      </c>
      <c r="B6563" s="3" t="str">
        <f>IFERROR(__xludf.DUMMYFUNCTION("GOOGLETRANSLATE(A6563, ""ar"", ""bn"")"),"শ্বাসনালী")</f>
        <v>শ্বাসনালী</v>
      </c>
    </row>
    <row r="6564">
      <c r="A6564" s="2" t="s">
        <v>7769</v>
      </c>
      <c r="B6564" s="3" t="str">
        <f>IFERROR(__xludf.DUMMYFUNCTION("GOOGLETRANSLATE(A6564, ""ar"", ""bn"")"),"শ্বাসরোধ")</f>
        <v>শ্বাসরোধ</v>
      </c>
    </row>
    <row r="6565">
      <c r="A6565" s="2" t="s">
        <v>7770</v>
      </c>
      <c r="B6565" s="3" t="str">
        <f>IFERROR(__xludf.DUMMYFUNCTION("GOOGLETRANSLATE(A6565, ""ar"", ""bn"")"),"নিঃশব্দগুলি")</f>
        <v>নিঃশব্দগুলি</v>
      </c>
    </row>
    <row r="6566">
      <c r="A6566" s="2" t="s">
        <v>7771</v>
      </c>
      <c r="B6566" s="3" t="str">
        <f>IFERROR(__xludf.DUMMYFUNCTION("GOOGLETRANSLATE(A6566, ""ar"", ""bn"")"),"পাংশু")</f>
        <v>পাংশু</v>
      </c>
    </row>
    <row r="6567">
      <c r="A6567" s="2" t="s">
        <v>7772</v>
      </c>
      <c r="B6567" s="3" t="str">
        <f>IFERROR(__xludf.DUMMYFUNCTION("GOOGLETRANSLATE(A6567, ""ar"", ""bn"")"),"স্টিগমা")</f>
        <v>স্টিগমা</v>
      </c>
    </row>
    <row r="6568">
      <c r="A6568" s="2" t="s">
        <v>7773</v>
      </c>
      <c r="B6568" s="3" t="str">
        <f>IFERROR(__xludf.DUMMYFUNCTION("GOOGLETRANSLATE(A6568, ""ar"", ""bn"")"),"Stigmata")</f>
        <v>Stigmata</v>
      </c>
    </row>
    <row r="6569">
      <c r="A6569" s="2" t="s">
        <v>7774</v>
      </c>
      <c r="B6569" s="3" t="str">
        <f>IFERROR(__xludf.DUMMYFUNCTION("GOOGLETRANSLATE(A6569, ""ar"", ""bn"")"),"কলঙ্কপূর্ণ করা")</f>
        <v>কলঙ্কপূর্ণ করা</v>
      </c>
    </row>
    <row r="6570">
      <c r="A6570" s="2" t="s">
        <v>7774</v>
      </c>
      <c r="B6570" s="3" t="str">
        <f>IFERROR(__xludf.DUMMYFUNCTION("GOOGLETRANSLATE(A6570, ""ar"", ""bn"")"),"কলঙ্কপূর্ণ করা")</f>
        <v>কলঙ্কপূর্ণ করা</v>
      </c>
    </row>
    <row r="6571">
      <c r="A6571" s="2" t="s">
        <v>7774</v>
      </c>
      <c r="B6571" s="3" t="str">
        <f>IFERROR(__xludf.DUMMYFUNCTION("GOOGLETRANSLATE(A6571, ""ar"", ""bn"")"),"কলঙ্কপূর্ণ করা")</f>
        <v>কলঙ্কপূর্ণ করা</v>
      </c>
    </row>
    <row r="6572">
      <c r="A6572" s="2" t="s">
        <v>7774</v>
      </c>
      <c r="B6572" s="3" t="str">
        <f>IFERROR(__xludf.DUMMYFUNCTION("GOOGLETRANSLATE(A6572, ""ar"", ""bn"")"),"কলঙ্কপূর্ণ করা")</f>
        <v>কলঙ্কপূর্ণ করা</v>
      </c>
    </row>
    <row r="6573">
      <c r="A6573" s="2" t="s">
        <v>7775</v>
      </c>
      <c r="B6573" s="3" t="str">
        <f>IFERROR(__xludf.DUMMYFUNCTION("GOOGLETRANSLATE(A6573, ""ar"", ""bn"")"),"দংশন")</f>
        <v>দংশন</v>
      </c>
    </row>
    <row r="6574">
      <c r="A6574" s="2" t="s">
        <v>7776</v>
      </c>
      <c r="B6574" s="3" t="str">
        <f>IFERROR(__xludf.DUMMYFUNCTION("GOOGLETRANSLATE(A6574, ""ar"", ""bn"")"),"সোডামিশ্রিত মদ্য")</f>
        <v>সোডামিশ্রিত মদ্য</v>
      </c>
    </row>
    <row r="6575">
      <c r="A6575" s="2" t="s">
        <v>7777</v>
      </c>
      <c r="B6575" s="3" t="str">
        <f>IFERROR(__xludf.DUMMYFUNCTION("GOOGLETRANSLATE(A6575, ""ar"", ""bn"")"),"স্টিংগার মিসাইল")</f>
        <v>স্টিংগার মিসাইল</v>
      </c>
    </row>
    <row r="6576">
      <c r="A6576" s="2" t="s">
        <v>7778</v>
      </c>
      <c r="B6576" s="3" t="str">
        <f>IFERROR(__xludf.DUMMYFUNCTION("GOOGLETRANSLATE(A6576, ""ar"", ""bn"")"),"ইতরজনেরা")</f>
        <v>ইতরজনেরা</v>
      </c>
    </row>
    <row r="6577">
      <c r="A6577" s="2" t="s">
        <v>6483</v>
      </c>
      <c r="B6577" s="3" t="str">
        <f>IFERROR(__xludf.DUMMYFUNCTION("GOOGLETRANSLATE(A6577, ""ar"", ""bn"")"),"বখিল")</f>
        <v>বখিল</v>
      </c>
    </row>
    <row r="6578">
      <c r="A6578" s="2" t="s">
        <v>7779</v>
      </c>
      <c r="B6578" s="3" t="str">
        <f>IFERROR(__xludf.DUMMYFUNCTION("GOOGLETRANSLATE(A6578, ""ar"", ""bn"")"),"টার্ট")</f>
        <v>টার্ট</v>
      </c>
    </row>
    <row r="6579">
      <c r="A6579" s="2" t="s">
        <v>7780</v>
      </c>
      <c r="B6579" s="3" t="str">
        <f>IFERROR(__xludf.DUMMYFUNCTION("GOOGLETRANSLATE(A6579, ""ar"", ""bn"")"),"stingray")</f>
        <v>stingray</v>
      </c>
    </row>
    <row r="6580">
      <c r="A6580" s="2" t="s">
        <v>7781</v>
      </c>
      <c r="B6580" s="3" t="str">
        <f>IFERROR(__xludf.DUMMYFUNCTION("GOOGLETRANSLATE(A6580, ""ar"", ""bn"")"),"কাঁটা ফোটা")</f>
        <v>কাঁটা ফোটা</v>
      </c>
    </row>
    <row r="6581">
      <c r="A6581" s="2" t="s">
        <v>6483</v>
      </c>
      <c r="B6581" s="3" t="str">
        <f>IFERROR(__xludf.DUMMYFUNCTION("GOOGLETRANSLATE(A6581, ""ar"", ""bn"")"),"বখিল")</f>
        <v>বখিল</v>
      </c>
    </row>
    <row r="6582">
      <c r="A6582" s="2" t="s">
        <v>7782</v>
      </c>
      <c r="B6582" s="3" t="str">
        <f>IFERROR(__xludf.DUMMYFUNCTION("GOOGLETRANSLATE(A6582, ""ar"", ""bn"")"),"Stinky")</f>
        <v>Stinky</v>
      </c>
    </row>
    <row r="6583">
      <c r="A6583" s="2" t="s">
        <v>7783</v>
      </c>
      <c r="B6583" s="3" t="str">
        <f>IFERROR(__xludf.DUMMYFUNCTION("GOOGLETRANSLATE(A6583, ""ar"", ""bn"")"),"হীন ইতর লোক")</f>
        <v>হীন ইতর লোক</v>
      </c>
    </row>
    <row r="6584">
      <c r="A6584" s="2" t="s">
        <v>7784</v>
      </c>
      <c r="B6584" s="3" t="str">
        <f>IFERROR(__xludf.DUMMYFUNCTION("GOOGLETRANSLATE(A6584, ""ar"", ""bn"")"),"Stinkers")</f>
        <v>Stinkers</v>
      </c>
    </row>
    <row r="6585">
      <c r="A6585" s="2" t="s">
        <v>5426</v>
      </c>
      <c r="B6585" s="3" t="str">
        <f>IFERROR(__xludf.DUMMYFUNCTION("GOOGLETRANSLATE(A6585, ""ar"", ""bn"")"),"দুর্গন্ধযুক্ত")</f>
        <v>দুর্গন্ধযুক্ত</v>
      </c>
    </row>
    <row r="6586">
      <c r="A6586" s="2" t="s">
        <v>7785</v>
      </c>
      <c r="B6586" s="3" t="str">
        <f>IFERROR(__xludf.DUMMYFUNCTION("GOOGLETRANSLATE(A6586, ""ar"", ""bn"")"),"stinks")</f>
        <v>stinks</v>
      </c>
    </row>
    <row r="6587">
      <c r="A6587" s="2" t="s">
        <v>7782</v>
      </c>
      <c r="B6587" s="3" t="str">
        <f>IFERROR(__xludf.DUMMYFUNCTION("GOOGLETRANSLATE(A6587, ""ar"", ""bn"")"),"Stinky")</f>
        <v>Stinky</v>
      </c>
    </row>
    <row r="6588">
      <c r="A6588" s="2" t="s">
        <v>7057</v>
      </c>
      <c r="B6588" s="3" t="str">
        <f>IFERROR(__xludf.DUMMYFUNCTION("GOOGLETRANSLATE(A6588, ""ar"", ""bn"")"),"লুটপাট")</f>
        <v>লুটপাট</v>
      </c>
    </row>
    <row r="6589">
      <c r="A6589" s="2" t="s">
        <v>7786</v>
      </c>
      <c r="B6589" s="3" t="str">
        <f>IFERROR(__xludf.DUMMYFUNCTION("GOOGLETRANSLATE(A6589, ""ar"", ""bn"")"),"হৃত")</f>
        <v>হৃত</v>
      </c>
    </row>
    <row r="6590">
      <c r="A6590" s="2" t="s">
        <v>7786</v>
      </c>
      <c r="B6590" s="3" t="str">
        <f>IFERROR(__xludf.DUMMYFUNCTION("GOOGLETRANSLATE(A6590, ""ar"", ""bn"")"),"হৃত")</f>
        <v>হৃত</v>
      </c>
    </row>
    <row r="6591">
      <c r="A6591" s="2" t="s">
        <v>7787</v>
      </c>
      <c r="B6591" s="3" t="str">
        <f>IFERROR(__xludf.DUMMYFUNCTION("GOOGLETRANSLATE(A6591, ""ar"", ""bn"")"),"ঝড়")</f>
        <v>ঝড়</v>
      </c>
    </row>
    <row r="6592">
      <c r="A6592" s="2" t="s">
        <v>7788</v>
      </c>
      <c r="B6592" s="3" t="str">
        <f>IFERROR(__xludf.DUMMYFUNCTION("GOOGLETRANSLATE(A6592, ""ar"", ""bn"")"),"ভাঙো")</f>
        <v>ভাঙো</v>
      </c>
    </row>
    <row r="6593">
      <c r="A6593" s="2" t="s">
        <v>7789</v>
      </c>
      <c r="B6593" s="3" t="str">
        <f>IFERROR(__xludf.DUMMYFUNCTION("GOOGLETRANSLATE(A6593, ""ar"", ""bn"")"),"Stormer")</f>
        <v>Stormer</v>
      </c>
    </row>
    <row r="6594">
      <c r="A6594" s="2" t="s">
        <v>7790</v>
      </c>
      <c r="B6594" s="3" t="str">
        <f>IFERROR(__xludf.DUMMYFUNCTION("GOOGLETRANSLATE(A6594, ""ar"", ""bn"")"),"Stormers")</f>
        <v>Stormers</v>
      </c>
    </row>
    <row r="6595">
      <c r="A6595" s="2" t="s">
        <v>7791</v>
      </c>
      <c r="B6595" s="3" t="str">
        <f>IFERROR(__xludf.DUMMYFUNCTION("GOOGLETRANSLATE(A6595, ""ar"", ""bn"")"),"Stormiest")</f>
        <v>Stormiest</v>
      </c>
    </row>
    <row r="6596">
      <c r="A6596" s="2" t="s">
        <v>7792</v>
      </c>
      <c r="B6596" s="3" t="str">
        <f>IFERROR(__xludf.DUMMYFUNCTION("GOOGLETRANSLATE(A6596, ""ar"", ""bn"")"),"Stormiest")</f>
        <v>Stormiest</v>
      </c>
    </row>
    <row r="6597">
      <c r="A6597" s="2" t="s">
        <v>7793</v>
      </c>
      <c r="B6597" s="3" t="str">
        <f>IFERROR(__xludf.DUMMYFUNCTION("GOOGLETRANSLATE(A6597, ""ar"", ""bn"")"),"ভেঙে")</f>
        <v>ভেঙে</v>
      </c>
    </row>
    <row r="6598">
      <c r="A6598" s="2" t="s">
        <v>7794</v>
      </c>
      <c r="B6598" s="3" t="str">
        <f>IFERROR(__xludf.DUMMYFUNCTION("GOOGLETRANSLATE(A6598, ""ar"", ""bn"")"),"ঝড়")</f>
        <v>ঝড়</v>
      </c>
    </row>
    <row r="6599">
      <c r="A6599" s="2" t="s">
        <v>3734</v>
      </c>
      <c r="B6599" s="3" t="str">
        <f>IFERROR(__xludf.DUMMYFUNCTION("GOOGLETRANSLATE(A6599, ""ar"", ""bn"")"),"ঝড়ো")</f>
        <v>ঝড়ো</v>
      </c>
    </row>
    <row r="6600">
      <c r="A6600" s="2" t="s">
        <v>3734</v>
      </c>
      <c r="B6600" s="3" t="str">
        <f>IFERROR(__xludf.DUMMYFUNCTION("GOOGLETRANSLATE(A6600, ""ar"", ""bn"")"),"ঝড়ো")</f>
        <v>ঝড়ো</v>
      </c>
    </row>
    <row r="6601">
      <c r="A6601" s="2" t="s">
        <v>7795</v>
      </c>
      <c r="B6601" s="3" t="str">
        <f>IFERROR(__xludf.DUMMYFUNCTION("GOOGLETRANSLATE(A6601, ""ar"", ""bn"")"),"বিভক্ত করা")</f>
        <v>বিভক্ত করা</v>
      </c>
    </row>
    <row r="6602">
      <c r="A6602" s="2" t="s">
        <v>7796</v>
      </c>
      <c r="B6602" s="3" t="str">
        <f>IFERROR(__xludf.DUMMYFUNCTION("GOOGLETRANSLATE(A6602, ""ar"", ""bn"")"),"গৃহহীন")</f>
        <v>গৃহহীন</v>
      </c>
    </row>
    <row r="6603">
      <c r="A6603" s="2" t="s">
        <v>7797</v>
      </c>
      <c r="B6603" s="3" t="str">
        <f>IFERROR(__xludf.DUMMYFUNCTION("GOOGLETRANSLATE(A6603, ""ar"", ""bn"")"),"চরমপন্থীরা")</f>
        <v>চরমপন্থীরা</v>
      </c>
    </row>
    <row r="6604">
      <c r="A6604" s="2" t="s">
        <v>7796</v>
      </c>
      <c r="B6604" s="3" t="str">
        <f>IFERROR(__xludf.DUMMYFUNCTION("GOOGLETRANSLATE(A6604, ""ar"", ""bn"")"),"গৃহহীন")</f>
        <v>গৃহহীন</v>
      </c>
    </row>
    <row r="6605">
      <c r="A6605" s="2" t="s">
        <v>7797</v>
      </c>
      <c r="B6605" s="3" t="str">
        <f>IFERROR(__xludf.DUMMYFUNCTION("GOOGLETRANSLATE(A6605, ""ar"", ""bn"")"),"চরমপন্থীরা")</f>
        <v>চরমপন্থীরা</v>
      </c>
    </row>
    <row r="6606">
      <c r="A6606" s="2" t="s">
        <v>7798</v>
      </c>
      <c r="B6606" s="3" t="str">
        <f>IFERROR(__xludf.DUMMYFUNCTION("GOOGLETRANSLATE(A6606, ""ar"", ""bn"")"),"আলিঙ্গন")</f>
        <v>আলিঙ্গন</v>
      </c>
    </row>
    <row r="6607">
      <c r="A6607" s="2" t="s">
        <v>7799</v>
      </c>
      <c r="B6607" s="3" t="str">
        <f>IFERROR(__xludf.DUMMYFUNCTION("GOOGLETRANSLATE(A6607, ""ar"", ""bn"")"),"চিন্তা")</f>
        <v>চিন্তা</v>
      </c>
    </row>
    <row r="6608">
      <c r="A6608" s="2" t="s">
        <v>7800</v>
      </c>
      <c r="B6608" s="3" t="str">
        <f>IFERROR(__xludf.DUMMYFUNCTION("GOOGLETRANSLATE(A6608, ""ar"", ""bn"")"),"ঝাঁজরি")</f>
        <v>ঝাঁজরি</v>
      </c>
    </row>
    <row r="6609">
      <c r="A6609" s="2" t="s">
        <v>7801</v>
      </c>
      <c r="B6609" s="3" t="str">
        <f>IFERROR(__xludf.DUMMYFUNCTION("GOOGLETRANSLATE(A6609, ""ar"", ""bn"")"),"Strainers")</f>
        <v>Strainers</v>
      </c>
    </row>
    <row r="6610">
      <c r="A6610" s="2" t="s">
        <v>7802</v>
      </c>
      <c r="B6610" s="3" t="str">
        <f>IFERROR(__xludf.DUMMYFUNCTION("GOOGLETRANSLATE(A6610, ""ar"", ""bn"")"),"জোর")</f>
        <v>জোর</v>
      </c>
    </row>
    <row r="6611">
      <c r="A6611" s="2" t="s">
        <v>7803</v>
      </c>
      <c r="B6611" s="3" t="str">
        <f>IFERROR(__xludf.DUMMYFUNCTION("GOOGLETRANSLATE(A6611, ""ar"", ""bn"")"),"প্রজাতির")</f>
        <v>প্রজাতির</v>
      </c>
    </row>
    <row r="6612">
      <c r="A6612" s="2" t="s">
        <v>3654</v>
      </c>
      <c r="B6612" s="3" t="str">
        <f>IFERROR(__xludf.DUMMYFUNCTION("GOOGLETRANSLATE(A6612, ""ar"", ""bn"")"),"একজন আগুন্তুক")</f>
        <v>একজন আগুন্তুক</v>
      </c>
    </row>
    <row r="6613">
      <c r="A6613" s="2" t="s">
        <v>7804</v>
      </c>
      <c r="B6613" s="3" t="str">
        <f>IFERROR(__xludf.DUMMYFUNCTION("GOOGLETRANSLATE(A6613, ""ar"", ""bn"")"),"আগুন্তুক")</f>
        <v>আগুন্তুক</v>
      </c>
    </row>
    <row r="6614">
      <c r="A6614" s="2" t="s">
        <v>7805</v>
      </c>
      <c r="B6614" s="3" t="str">
        <f>IFERROR(__xludf.DUMMYFUNCTION("GOOGLETRANSLATE(A6614, ""ar"", ""bn"")"),"Strangeness")</f>
        <v>Strangeness</v>
      </c>
    </row>
    <row r="6615">
      <c r="A6615" s="2" t="s">
        <v>3654</v>
      </c>
      <c r="B6615" s="3" t="str">
        <f>IFERROR(__xludf.DUMMYFUNCTION("GOOGLETRANSLATE(A6615, ""ar"", ""bn"")"),"একজন আগুন্তুক")</f>
        <v>একজন আগুন্তুক</v>
      </c>
    </row>
    <row r="6616">
      <c r="A6616" s="2" t="s">
        <v>6702</v>
      </c>
      <c r="B6616" s="3" t="str">
        <f>IFERROR(__xludf.DUMMYFUNCTION("GOOGLETRANSLATE(A6616, ""ar"", ""bn"")"),"অপরিচিত")</f>
        <v>অপরিচিত</v>
      </c>
    </row>
    <row r="6617">
      <c r="A6617" s="2" t="s">
        <v>7806</v>
      </c>
      <c r="B6617" s="3" t="str">
        <f>IFERROR(__xludf.DUMMYFUNCTION("GOOGLETRANSLATE(A6617, ""ar"", ""bn"")"),"দীর্ঘতম")</f>
        <v>দীর্ঘতম</v>
      </c>
    </row>
    <row r="6618">
      <c r="A6618" s="2" t="s">
        <v>3984</v>
      </c>
      <c r="B6618" s="3" t="str">
        <f>IFERROR(__xludf.DUMMYFUNCTION("GOOGLETRANSLATE(A6618, ""ar"", ""bn"")"),"শ্বাসনালী")</f>
        <v>শ্বাসনালী</v>
      </c>
    </row>
    <row r="6619">
      <c r="A6619" s="2" t="s">
        <v>7619</v>
      </c>
      <c r="B6619" s="3" t="str">
        <f>IFERROR(__xludf.DUMMYFUNCTION("GOOGLETRANSLATE(A6619, ""ar"", ""bn"")"),"রোধ করা")</f>
        <v>রোধ করা</v>
      </c>
    </row>
    <row r="6620">
      <c r="A6620" s="2" t="s">
        <v>7807</v>
      </c>
      <c r="B6620" s="3" t="str">
        <f>IFERROR(__xludf.DUMMYFUNCTION("GOOGLETRANSLATE(A6620, ""ar"", ""bn"")"),"কণ্ঠনালীর রোগবিশেষ")</f>
        <v>কণ্ঠনালীর রোগবিশেষ</v>
      </c>
    </row>
    <row r="6621">
      <c r="A6621" s="2" t="s">
        <v>7808</v>
      </c>
      <c r="B6621" s="3" t="str">
        <f>IFERROR(__xludf.DUMMYFUNCTION("GOOGLETRANSLATE(A6621, ""ar"", ""bn"")"),"গুমোট")</f>
        <v>গুমোট</v>
      </c>
    </row>
    <row r="6622">
      <c r="A6622" s="2" t="s">
        <v>7809</v>
      </c>
      <c r="B6622" s="3" t="str">
        <f>IFERROR(__xludf.DUMMYFUNCTION("GOOGLETRANSLATE(A6622, ""ar"", ""bn"")"),"Stranglers")</f>
        <v>Stranglers</v>
      </c>
    </row>
    <row r="6623">
      <c r="A6623" s="2" t="s">
        <v>7621</v>
      </c>
      <c r="B6623" s="3" t="str">
        <f>IFERROR(__xludf.DUMMYFUNCTION("GOOGLETRANSLATE(A6623, ""ar"", ""bn"")"),"প্যাস্টরকে শ্বাসরুদ্ধ")</f>
        <v>প্যাস্টরকে শ্বাসরুদ্ধ</v>
      </c>
    </row>
    <row r="6624">
      <c r="A6624" s="2" t="s">
        <v>7810</v>
      </c>
      <c r="B6624" s="3" t="str">
        <f>IFERROR(__xludf.DUMMYFUNCTION("GOOGLETRANSLATE(A6624, ""ar"", ""bn"")"),"বিপথগামী")</f>
        <v>বিপথগামী</v>
      </c>
    </row>
    <row r="6625">
      <c r="A6625" s="2" t="s">
        <v>3441</v>
      </c>
      <c r="B6625" s="3" t="str">
        <f>IFERROR(__xludf.DUMMYFUNCTION("GOOGLETRANSLATE(A6625, ""ar"", ""bn"")"),"বিপথে")</f>
        <v>বিপথে</v>
      </c>
    </row>
    <row r="6626">
      <c r="A6626" s="2" t="s">
        <v>7811</v>
      </c>
      <c r="B6626" s="3" t="str">
        <f>IFERROR(__xludf.DUMMYFUNCTION("GOOGLETRANSLATE(A6626, ""ar"", ""bn"")"),"পথভ্রষ্টদের অন্তর্ভূক্ত")</f>
        <v>পথভ্রষ্টদের অন্তর্ভূক্ত</v>
      </c>
    </row>
    <row r="6627">
      <c r="A6627" s="2" t="s">
        <v>7812</v>
      </c>
      <c r="B6627" s="3" t="str">
        <f>IFERROR(__xludf.DUMMYFUNCTION("GOOGLETRANSLATE(A6627, ""ar"", ""bn"")"),"পথভ্রষ্টতা")</f>
        <v>পথভ্রষ্টতা</v>
      </c>
    </row>
    <row r="6628">
      <c r="A6628" s="2" t="s">
        <v>7813</v>
      </c>
      <c r="B6628" s="3" t="str">
        <f>IFERROR(__xludf.DUMMYFUNCTION("GOOGLETRANSLATE(A6628, ""ar"", ""bn"")"),"জ্যামিং")</f>
        <v>জ্যামিং</v>
      </c>
    </row>
    <row r="6629">
      <c r="A6629" s="2" t="s">
        <v>7814</v>
      </c>
      <c r="B6629" s="3" t="str">
        <f>IFERROR(__xludf.DUMMYFUNCTION("GOOGLETRANSLATE(A6629, ""ar"", ""bn"")"),"জোর")</f>
        <v>জোর</v>
      </c>
    </row>
    <row r="6630">
      <c r="A6630" s="2" t="s">
        <v>7815</v>
      </c>
      <c r="B6630" s="3" t="str">
        <f>IFERROR(__xludf.DUMMYFUNCTION("GOOGLETRANSLATE(A6630, ""ar"", ""bn"")"),"তিনি জোর দিয়ে")</f>
        <v>তিনি জোর দিয়ে</v>
      </c>
    </row>
    <row r="6631">
      <c r="A6631" s="2" t="s">
        <v>6874</v>
      </c>
      <c r="B6631" s="3" t="str">
        <f>IFERROR(__xludf.DUMMYFUNCTION("GOOGLETRANSLATE(A6631, ""ar"", ""bn"")"),"চাপ")</f>
        <v>চাপ</v>
      </c>
    </row>
    <row r="6632">
      <c r="A6632" s="2" t="s">
        <v>7816</v>
      </c>
      <c r="B6632" s="3" t="str">
        <f>IFERROR(__xludf.DUMMYFUNCTION("GOOGLETRANSLATE(A6632, ""ar"", ""bn"")"),"চাপ")</f>
        <v>চাপ</v>
      </c>
    </row>
    <row r="6633">
      <c r="A6633" s="2" t="s">
        <v>7817</v>
      </c>
      <c r="B6633" s="3" t="str">
        <f>IFERROR(__xludf.DUMMYFUNCTION("GOOGLETRANSLATE(A6633, ""ar"", ""bn"")"),"জোর")</f>
        <v>জোর</v>
      </c>
    </row>
    <row r="6634">
      <c r="A6634" s="2" t="s">
        <v>3311</v>
      </c>
      <c r="B6634" s="3" t="str">
        <f>IFERROR(__xludf.DUMMYFUNCTION("GOOGLETRANSLATE(A6634, ""ar"", ""bn"")"),"পীড়িত")</f>
        <v>পীড়িত</v>
      </c>
    </row>
    <row r="6635">
      <c r="A6635" s="2" t="s">
        <v>3450</v>
      </c>
      <c r="B6635" s="3" t="str">
        <f>IFERROR(__xludf.DUMMYFUNCTION("GOOGLETRANSLATE(A6635, ""ar"", ""bn"")"),"যথাযথ")</f>
        <v>যথাযথ</v>
      </c>
    </row>
    <row r="6636">
      <c r="A6636" s="2" t="s">
        <v>7764</v>
      </c>
      <c r="B6636" s="3" t="str">
        <f>IFERROR(__xludf.DUMMYFUNCTION("GOOGLETRANSLATE(A6636, ""ar"", ""bn"")"),"আরো কঠোর")</f>
        <v>আরো কঠোর</v>
      </c>
    </row>
    <row r="6637">
      <c r="A6637" s="2" t="s">
        <v>7767</v>
      </c>
      <c r="B6637" s="3" t="str">
        <f>IFERROR(__xludf.DUMMYFUNCTION("GOOGLETRANSLATE(A6637, ""ar"", ""bn"")"),"কাঠিন্য")</f>
        <v>কাঠিন্য</v>
      </c>
    </row>
    <row r="6638">
      <c r="A6638" s="2" t="s">
        <v>7818</v>
      </c>
      <c r="B6638" s="3" t="str">
        <f>IFERROR(__xludf.DUMMYFUNCTION("GOOGLETRANSLATE(A6638, ""ar"", ""bn"")"),"সঠিক")</f>
        <v>সঠিক</v>
      </c>
    </row>
    <row r="6639">
      <c r="A6639" s="2" t="s">
        <v>7767</v>
      </c>
      <c r="B6639" s="3" t="str">
        <f>IFERROR(__xludf.DUMMYFUNCTION("GOOGLETRANSLATE(A6639, ""ar"", ""bn"")"),"কাঠিন্য")</f>
        <v>কাঠিন্য</v>
      </c>
    </row>
    <row r="6640">
      <c r="A6640" s="2" t="s">
        <v>7819</v>
      </c>
      <c r="B6640" s="3" t="str">
        <f>IFERROR(__xludf.DUMMYFUNCTION("GOOGLETRANSLATE(A6640, ""ar"", ""bn"")"),"বন্ধন")</f>
        <v>বন্ধন</v>
      </c>
    </row>
    <row r="6641">
      <c r="A6641" s="2" t="s">
        <v>4173</v>
      </c>
      <c r="B6641" s="3" t="str">
        <f>IFERROR(__xludf.DUMMYFUNCTION("GOOGLETRANSLATE(A6641, ""ar"", ""bn"")"),"সীমাবদ্ধতা")</f>
        <v>সীমাবদ্ধতা</v>
      </c>
    </row>
    <row r="6642">
      <c r="A6642" s="2" t="s">
        <v>4141</v>
      </c>
      <c r="B6642" s="3" t="str">
        <f>IFERROR(__xludf.DUMMYFUNCTION("GOOGLETRANSLATE(A6642, ""ar"", ""bn"")"),"দ্বন্দ্ব")</f>
        <v>দ্বন্দ্ব</v>
      </c>
    </row>
    <row r="6643">
      <c r="A6643" s="2" t="s">
        <v>7820</v>
      </c>
      <c r="B6643" s="3" t="str">
        <f>IFERROR(__xludf.DUMMYFUNCTION("GOOGLETRANSLATE(A6643, ""ar"", ""bn"")"),"দরাদরি")</f>
        <v>দরাদরি</v>
      </c>
    </row>
    <row r="6644">
      <c r="A6644" s="2" t="s">
        <v>7821</v>
      </c>
      <c r="B6644" s="3" t="str">
        <f>IFERROR(__xludf.DUMMYFUNCTION("GOOGLETRANSLATE(A6644, ""ar"", ""bn"")"),"ধর্মঘট")</f>
        <v>ধর্মঘট</v>
      </c>
    </row>
    <row r="6645">
      <c r="A6645" s="2" t="s">
        <v>6375</v>
      </c>
      <c r="B6645" s="3" t="str">
        <f>IFERROR(__xludf.DUMMYFUNCTION("GOOGLETRANSLATE(A6645, ""ar"", ""bn"")"),"গোল-দাতা")</f>
        <v>গোল-দাতা</v>
      </c>
    </row>
    <row r="6646">
      <c r="A6646" s="2" t="s">
        <v>7822</v>
      </c>
      <c r="B6646" s="3" t="str">
        <f>IFERROR(__xludf.DUMMYFUNCTION("GOOGLETRANSLATE(A6646, ""ar"", ""bn"")"),"হরতালকারীদের")</f>
        <v>হরতালকারীদের</v>
      </c>
    </row>
    <row r="6647">
      <c r="A6647" s="2" t="s">
        <v>7823</v>
      </c>
      <c r="B6647" s="3" t="str">
        <f>IFERROR(__xludf.DUMMYFUNCTION("GOOGLETRANSLATE(A6647, ""ar"", ""bn"")"),"স্ট্রাইকস")</f>
        <v>স্ট্রাইকস</v>
      </c>
    </row>
    <row r="6648">
      <c r="A6648" s="2" t="s">
        <v>7824</v>
      </c>
      <c r="B6648" s="3" t="str">
        <f>IFERROR(__xludf.DUMMYFUNCTION("GOOGLETRANSLATE(A6648, ""ar"", ""bn"")"),"B_dadat")</f>
        <v>B_dadat</v>
      </c>
    </row>
    <row r="6649">
      <c r="A6649" s="2" t="s">
        <v>7767</v>
      </c>
      <c r="B6649" s="3" t="str">
        <f>IFERROR(__xludf.DUMMYFUNCTION("GOOGLETRANSLATE(A6649, ""ar"", ""bn"")"),"কাঠিন্য")</f>
        <v>কাঠিন্য</v>
      </c>
    </row>
    <row r="6650">
      <c r="A6650" s="2" t="s">
        <v>3450</v>
      </c>
      <c r="B6650" s="3" t="str">
        <f>IFERROR(__xludf.DUMMYFUNCTION("GOOGLETRANSLATE(A6650, ""ar"", ""bn"")"),"যথাযথ")</f>
        <v>যথাযথ</v>
      </c>
    </row>
    <row r="6651">
      <c r="A6651" s="2" t="s">
        <v>3450</v>
      </c>
      <c r="B6651" s="3" t="str">
        <f>IFERROR(__xludf.DUMMYFUNCTION("GOOGLETRANSLATE(A6651, ""ar"", ""bn"")"),"যথাযথ")</f>
        <v>যথাযথ</v>
      </c>
    </row>
    <row r="6652">
      <c r="A6652" s="2" t="s">
        <v>3557</v>
      </c>
      <c r="B6652" s="3" t="str">
        <f>IFERROR(__xludf.DUMMYFUNCTION("GOOGLETRANSLATE(A6652, ""ar"", ""bn"")"),"গুন")</f>
        <v>গুন</v>
      </c>
    </row>
    <row r="6653">
      <c r="A6653" s="2" t="s">
        <v>7825</v>
      </c>
      <c r="B6653" s="3" t="str">
        <f>IFERROR(__xludf.DUMMYFUNCTION("GOOGLETRANSLATE(A6653, ""ar"", ""bn"")"),"সংগ্রাম")</f>
        <v>সংগ্রাম</v>
      </c>
    </row>
    <row r="6654">
      <c r="A6654" s="2" t="s">
        <v>7826</v>
      </c>
      <c r="B6654" s="3" t="str">
        <f>IFERROR(__xludf.DUMMYFUNCTION("GOOGLETRANSLATE(A6654, ""ar"", ""bn"")"),"যুদ্ধ")</f>
        <v>যুদ্ধ</v>
      </c>
    </row>
    <row r="6655">
      <c r="A6655" s="2" t="s">
        <v>7827</v>
      </c>
      <c r="B6655" s="3" t="str">
        <f>IFERROR(__xludf.DUMMYFUNCTION("GOOGLETRANSLATE(A6655, ""ar"", ""bn"")"),"সংগ্রামের")</f>
        <v>সংগ্রামের</v>
      </c>
    </row>
    <row r="6656">
      <c r="A6656" s="2" t="s">
        <v>7828</v>
      </c>
      <c r="B6656" s="3" t="str">
        <f>IFERROR(__xludf.DUMMYFUNCTION("GOOGLETRANSLATE(A6656, ""ar"", ""bn"")"),"সংগ্রাম")</f>
        <v>সংগ্রাম</v>
      </c>
    </row>
    <row r="6657">
      <c r="A6657" s="2" t="s">
        <v>6648</v>
      </c>
      <c r="B6657" s="3" t="str">
        <f>IFERROR(__xludf.DUMMYFUNCTION("GOOGLETRANSLATE(A6657, ""ar"", ""bn"")"),"একগুঁয়ে")</f>
        <v>একগুঁয়ে</v>
      </c>
    </row>
    <row r="6658">
      <c r="A6658" s="2" t="s">
        <v>6649</v>
      </c>
      <c r="B6658" s="3" t="str">
        <f>IFERROR(__xludf.DUMMYFUNCTION("GOOGLETRANSLATE(A6658, ""ar"", ""bn"")"),"নাছোড়বান্দা হইয়া")</f>
        <v>নাছোড়বান্দা হইয়া</v>
      </c>
    </row>
    <row r="6659">
      <c r="A6659" s="2" t="s">
        <v>6791</v>
      </c>
      <c r="B6659" s="3" t="str">
        <f>IFERROR(__xludf.DUMMYFUNCTION("GOOGLETRANSLATE(A6659, ""ar"", ""bn"")"),"একগুঁয়েমি")</f>
        <v>একগুঁয়েমি</v>
      </c>
    </row>
    <row r="6660">
      <c r="A6660" s="2" t="s">
        <v>7829</v>
      </c>
      <c r="B6660" s="3" t="str">
        <f>IFERROR(__xludf.DUMMYFUNCTION("GOOGLETRANSLATE(A6660, ""ar"", ""bn"")"),"গুমোট")</f>
        <v>গুমোট</v>
      </c>
    </row>
    <row r="6661">
      <c r="A6661" s="2" t="s">
        <v>7830</v>
      </c>
      <c r="B6661" s="3" t="str">
        <f>IFERROR(__xludf.DUMMYFUNCTION("GOOGLETRANSLATE(A6661, ""ar"", ""bn"")"),"স্তব্ধ")</f>
        <v>স্তব্ধ</v>
      </c>
    </row>
    <row r="6662">
      <c r="A6662" s="2" t="s">
        <v>7831</v>
      </c>
      <c r="B6662" s="3" t="str">
        <f>IFERROR(__xludf.DUMMYFUNCTION("GOOGLETRANSLATE(A6662, ""ar"", ""bn"")"),"আশ্চর্যজনক")</f>
        <v>আশ্চর্যজনক</v>
      </c>
    </row>
    <row r="6663">
      <c r="A6663" s="2" t="s">
        <v>7832</v>
      </c>
      <c r="B6663" s="3" t="str">
        <f>IFERROR(__xludf.DUMMYFUNCTION("GOOGLETRANSLATE(A6663, ""ar"", ""bn"")"),"বাড়িতে না দেত্তয়া")</f>
        <v>বাড়িতে না দেত্তয়া</v>
      </c>
    </row>
    <row r="6664">
      <c r="A6664" s="2" t="s">
        <v>5709</v>
      </c>
      <c r="B6664" s="3" t="str">
        <f>IFERROR(__xludf.DUMMYFUNCTION("GOOGLETRANSLATE(A6664, ""ar"", ""bn"")"),"স্টপ")</f>
        <v>স্টপ</v>
      </c>
    </row>
    <row r="6665">
      <c r="A6665" s="2" t="s">
        <v>7833</v>
      </c>
      <c r="B6665" s="3" t="str">
        <f>IFERROR(__xludf.DUMMYFUNCTION("GOOGLETRANSLATE(A6665, ""ar"", ""bn"")"),"Stunting")</f>
        <v>Stunting</v>
      </c>
    </row>
    <row r="6666">
      <c r="A6666" s="2" t="s">
        <v>7834</v>
      </c>
      <c r="B6666" s="3" t="str">
        <f>IFERROR(__xludf.DUMMYFUNCTION("GOOGLETRANSLATE(A6666, ""ar"", ""bn"")"),"Stuntman")</f>
        <v>Stuntman</v>
      </c>
    </row>
    <row r="6667">
      <c r="A6667" s="2" t="s">
        <v>7835</v>
      </c>
      <c r="B6667" s="3" t="str">
        <f>IFERROR(__xludf.DUMMYFUNCTION("GOOGLETRANSLATE(A6667, ""ar"", ""bn"")"),"শারীরিক কসরত")</f>
        <v>শারীরিক কসরত</v>
      </c>
    </row>
    <row r="6668">
      <c r="A6668" s="2" t="s">
        <v>5073</v>
      </c>
      <c r="B6668" s="3" t="str">
        <f>IFERROR(__xludf.DUMMYFUNCTION("GOOGLETRANSLATE(A6668, ""ar"", ""bn"")"),"মূঢ়")</f>
        <v>মূঢ়</v>
      </c>
    </row>
    <row r="6669">
      <c r="A6669" s="2" t="s">
        <v>5057</v>
      </c>
      <c r="B6669" s="3" t="str">
        <f>IFERROR(__xludf.DUMMYFUNCTION("GOOGLETRANSLATE(A6669, ""ar"", ""bn"")"),"নির্বুদ্ধিতা")</f>
        <v>নির্বুদ্ধিতা</v>
      </c>
    </row>
    <row r="6670">
      <c r="A6670" s="2" t="s">
        <v>5058</v>
      </c>
      <c r="B6670" s="3" t="str">
        <f>IFERROR(__xludf.DUMMYFUNCTION("GOOGLETRANSLATE(A6670, ""ar"", ""bn"")"),"dumbest")</f>
        <v>dumbest</v>
      </c>
    </row>
    <row r="6671">
      <c r="A6671" s="2" t="s">
        <v>7836</v>
      </c>
      <c r="B6671" s="3" t="str">
        <f>IFERROR(__xludf.DUMMYFUNCTION("GOOGLETRANSLATE(A6671, ""ar"", ""bn"")"),"খুঁটিনাটি")</f>
        <v>খুঁটিনাটি</v>
      </c>
    </row>
    <row r="6672">
      <c r="A6672" s="2" t="s">
        <v>5057</v>
      </c>
      <c r="B6672" s="3" t="str">
        <f>IFERROR(__xludf.DUMMYFUNCTION("GOOGLETRANSLATE(A6672, ""ar"", ""bn"")"),"নির্বুদ্ধিতা")</f>
        <v>নির্বুদ্ধিতা</v>
      </c>
    </row>
    <row r="6673">
      <c r="A6673" s="2" t="s">
        <v>7837</v>
      </c>
      <c r="B6673" s="3" t="str">
        <f>IFERROR(__xludf.DUMMYFUNCTION("GOOGLETRANSLATE(A6673, ""ar"", ""bn"")"),"বোকার মত")</f>
        <v>বোকার মত</v>
      </c>
    </row>
    <row r="6674">
      <c r="A6674" s="2" t="s">
        <v>7838</v>
      </c>
      <c r="B6674" s="3" t="str">
        <f>IFERROR(__xludf.DUMMYFUNCTION("GOOGLETRANSLATE(A6674, ""ar"", ""bn"")"),"আশ্চর্য")</f>
        <v>আশ্চর্য</v>
      </c>
    </row>
    <row r="6675">
      <c r="A6675" s="2" t="s">
        <v>3849</v>
      </c>
      <c r="B6675" s="3" t="str">
        <f>IFERROR(__xludf.DUMMYFUNCTION("GOOGLETRANSLATE(A6675, ""ar"", ""bn"")"),"তোতলান")</f>
        <v>তোতলান</v>
      </c>
    </row>
    <row r="6676">
      <c r="A6676" s="2" t="s">
        <v>7839</v>
      </c>
      <c r="B6676" s="3" t="str">
        <f>IFERROR(__xludf.DUMMYFUNCTION("GOOGLETRANSLATE(A6676, ""ar"", ""bn"")"),"Stuttered")</f>
        <v>Stuttered</v>
      </c>
    </row>
    <row r="6677">
      <c r="A6677" s="2" t="s">
        <v>7840</v>
      </c>
      <c r="B6677" s="3" t="str">
        <f>IFERROR(__xludf.DUMMYFUNCTION("GOOGLETRANSLATE(A6677, ""ar"", ""bn"")"),"বিড়বিড়")</f>
        <v>বিড়বিড়</v>
      </c>
    </row>
    <row r="6678">
      <c r="A6678" s="2" t="s">
        <v>7841</v>
      </c>
      <c r="B6678" s="3" t="str">
        <f>IFERROR(__xludf.DUMMYFUNCTION("GOOGLETRANSLATE(A6678, ""ar"", ""bn"")"),"Stutters")</f>
        <v>Stutters</v>
      </c>
    </row>
    <row r="6679">
      <c r="A6679" s="2" t="s">
        <v>7842</v>
      </c>
      <c r="B6679" s="3" t="str">
        <f>IFERROR(__xludf.DUMMYFUNCTION("GOOGLETRANSLATE(A6679, ""ar"", ""bn"")"),"আরতি")</f>
        <v>আরতি</v>
      </c>
    </row>
    <row r="6680">
      <c r="A6680" s="2" t="s">
        <v>4498</v>
      </c>
      <c r="B6680" s="3" t="str">
        <f>IFERROR(__xludf.DUMMYFUNCTION("GOOGLETRANSLATE(A6680, ""ar"", ""bn"")"),"জয় করো")</f>
        <v>জয় করো</v>
      </c>
    </row>
    <row r="6681">
      <c r="A6681" s="2" t="s">
        <v>7843</v>
      </c>
      <c r="B6681" s="3" t="str">
        <f>IFERROR(__xludf.DUMMYFUNCTION("GOOGLETRANSLATE(A6681, ""ar"", ""bn"")"),"পরাজিত")</f>
        <v>পরাজিত</v>
      </c>
    </row>
    <row r="6682">
      <c r="A6682" s="2" t="s">
        <v>7844</v>
      </c>
      <c r="B6682" s="3" t="str">
        <f>IFERROR(__xludf.DUMMYFUNCTION("GOOGLETRANSLATE(A6682, ""ar"", ""bn"")"),"আয়ত্তে")</f>
        <v>আয়ত্তে</v>
      </c>
    </row>
    <row r="6683">
      <c r="A6683" s="2" t="s">
        <v>7842</v>
      </c>
      <c r="B6683" s="3" t="str">
        <f>IFERROR(__xludf.DUMMYFUNCTION("GOOGLETRANSLATE(A6683, ""ar"", ""bn"")"),"আরতি")</f>
        <v>আরতি</v>
      </c>
    </row>
    <row r="6684">
      <c r="A6684" s="2" t="s">
        <v>7845</v>
      </c>
      <c r="B6684" s="3" t="str">
        <f>IFERROR(__xludf.DUMMYFUNCTION("GOOGLETRANSLATE(A6684, ""ar"", ""bn"")"),"বিনয়ী")</f>
        <v>বিনয়ী</v>
      </c>
    </row>
    <row r="6685">
      <c r="A6685" s="2" t="s">
        <v>7846</v>
      </c>
      <c r="B6685" s="3" t="str">
        <f>IFERROR(__xludf.DUMMYFUNCTION("GOOGLETRANSLATE(A6685, ""ar"", ""bn"")"),"Submissively")</f>
        <v>Submissively</v>
      </c>
    </row>
    <row r="6686">
      <c r="A6686" s="2" t="s">
        <v>7847</v>
      </c>
      <c r="B6686" s="3" t="str">
        <f>IFERROR(__xludf.DUMMYFUNCTION("GOOGLETRANSLATE(A6686, ""ar"", ""bn"")"),"সম্মতি")</f>
        <v>সম্মতি</v>
      </c>
    </row>
    <row r="6687">
      <c r="A6687" s="2" t="s">
        <v>7848</v>
      </c>
      <c r="B6687" s="3" t="str">
        <f>IFERROR(__xludf.DUMMYFUNCTION("GOOGLETRANSLATE(A6687, ""ar"", ""bn"")"),"বিনম্র")</f>
        <v>বিনম্র</v>
      </c>
    </row>
    <row r="6688">
      <c r="A6688" s="2" t="s">
        <v>4592</v>
      </c>
      <c r="B6688" s="3" t="str">
        <f>IFERROR(__xludf.DUMMYFUNCTION("GOOGLETRANSLATE(A6688, ""ar"", ""bn"")"),"অনুসরণ")</f>
        <v>অনুসরণ</v>
      </c>
    </row>
    <row r="6689">
      <c r="A6689" s="2" t="s">
        <v>7849</v>
      </c>
      <c r="B6689" s="3" t="str">
        <f>IFERROR(__xludf.DUMMYFUNCTION("GOOGLETRANSLATE(A6689, ""ar"", ""bn"")"),"অ্যাকউন্ট নিষ্ক্রিয়")</f>
        <v>অ্যাকউন্ট নিষ্ক্রিয়</v>
      </c>
    </row>
    <row r="6690">
      <c r="A6690" s="2" t="s">
        <v>7850</v>
      </c>
      <c r="B6690" s="3" t="str">
        <f>IFERROR(__xludf.DUMMYFUNCTION("GOOGLETRANSLATE(A6690, ""ar"", ""bn"")"),"শমিত")</f>
        <v>শমিত</v>
      </c>
    </row>
    <row r="6691">
      <c r="A6691" s="2" t="s">
        <v>4475</v>
      </c>
      <c r="B6691" s="3" t="str">
        <f>IFERROR(__xludf.DUMMYFUNCTION("GOOGLETRANSLATE(A6691, ""ar"", ""bn"")"),"ঝরা")</f>
        <v>ঝরা</v>
      </c>
    </row>
    <row r="6692">
      <c r="A6692" s="2" t="s">
        <v>7077</v>
      </c>
      <c r="B6692" s="3" t="str">
        <f>IFERROR(__xludf.DUMMYFUNCTION("GOOGLETRANSLATE(A6692, ""ar"", ""bn"")"),"ফিরিয়া যাত্তয়া")</f>
        <v>ফিরিয়া যাত্তয়া</v>
      </c>
    </row>
    <row r="6693">
      <c r="A6693" s="2" t="s">
        <v>7851</v>
      </c>
      <c r="B6693" s="3" t="str">
        <f>IFERROR(__xludf.DUMMYFUNCTION("GOOGLETRANSLATE(A6693, ""ar"", ""bn"")"),"বিয়োগ করা")</f>
        <v>বিয়োগ করা</v>
      </c>
    </row>
    <row r="6694">
      <c r="A6694" s="2" t="s">
        <v>7851</v>
      </c>
      <c r="B6694" s="3" t="str">
        <f>IFERROR(__xludf.DUMMYFUNCTION("GOOGLETRANSLATE(A6694, ""ar"", ""bn"")"),"বিয়োগ করা")</f>
        <v>বিয়োগ করা</v>
      </c>
    </row>
    <row r="6695">
      <c r="A6695" s="2" t="s">
        <v>7852</v>
      </c>
      <c r="B6695" s="3" t="str">
        <f>IFERROR(__xludf.DUMMYFUNCTION("GOOGLETRANSLATE(A6695, ""ar"", ""bn"")"),"মুছে ফেলে")</f>
        <v>মুছে ফেলে</v>
      </c>
    </row>
    <row r="6696">
      <c r="A6696" s="2" t="s">
        <v>7851</v>
      </c>
      <c r="B6696" s="3" t="str">
        <f>IFERROR(__xludf.DUMMYFUNCTION("GOOGLETRANSLATE(A6696, ""ar"", ""bn"")"),"বিয়োগ করা")</f>
        <v>বিয়োগ করা</v>
      </c>
    </row>
    <row r="6697">
      <c r="A6697" s="2" t="s">
        <v>7853</v>
      </c>
      <c r="B6697" s="3" t="str">
        <f>IFERROR(__xludf.DUMMYFUNCTION("GOOGLETRANSLATE(A6697, ""ar"", ""bn"")"),"আইপিও")</f>
        <v>আইপিও</v>
      </c>
    </row>
    <row r="6698">
      <c r="A6698" s="2" t="s">
        <v>7854</v>
      </c>
      <c r="B6698" s="3" t="str">
        <f>IFERROR(__xludf.DUMMYFUNCTION("GOOGLETRANSLATE(A6698, ""ar"", ""bn"")"),"Matrouh")</f>
        <v>Matrouh</v>
      </c>
    </row>
    <row r="6699">
      <c r="A6699" s="2" t="s">
        <v>7855</v>
      </c>
      <c r="B6699" s="3" t="str">
        <f>IFERROR(__xludf.DUMMYFUNCTION("GOOGLETRANSLATE(A6699, ""ar"", ""bn"")"),"কমে যায়")</f>
        <v>কমে যায়</v>
      </c>
    </row>
    <row r="6700">
      <c r="A6700" s="2" t="s">
        <v>7260</v>
      </c>
      <c r="B6700" s="3" t="str">
        <f>IFERROR(__xludf.DUMMYFUNCTION("GOOGLETRANSLATE(A6700, ""ar"", ""bn"")"),"অন্তর্ঘাত")</f>
        <v>অন্তর্ঘাত</v>
      </c>
    </row>
    <row r="6701">
      <c r="A6701" s="2" t="s">
        <v>7260</v>
      </c>
      <c r="B6701" s="3" t="str">
        <f>IFERROR(__xludf.DUMMYFUNCTION("GOOGLETRANSLATE(A6701, ""ar"", ""bn"")"),"অন্তর্ঘাত")</f>
        <v>অন্তর্ঘাত</v>
      </c>
    </row>
    <row r="6702">
      <c r="A6702" s="2" t="s">
        <v>7856</v>
      </c>
      <c r="B6702" s="3" t="str">
        <f>IFERROR(__xludf.DUMMYFUNCTION("GOOGLETRANSLATE(A6702, ""ar"", ""bn"")"),"wrecked")</f>
        <v>wrecked</v>
      </c>
    </row>
    <row r="6703">
      <c r="A6703" s="2" t="s">
        <v>7260</v>
      </c>
      <c r="B6703" s="3" t="str">
        <f>IFERROR(__xludf.DUMMYFUNCTION("GOOGLETRANSLATE(A6703, ""ar"", ""bn"")"),"অন্তর্ঘাত")</f>
        <v>অন্তর্ঘাত</v>
      </c>
    </row>
    <row r="6704">
      <c r="A6704" s="2" t="s">
        <v>4209</v>
      </c>
      <c r="B6704" s="3" t="str">
        <f>IFERROR(__xludf.DUMMYFUNCTION("GOOGLETRANSLATE(A6704, ""ar"", ""bn"")"),"লুট")</f>
        <v>লুট</v>
      </c>
    </row>
    <row r="6705">
      <c r="A6705" s="2" t="s">
        <v>7857</v>
      </c>
      <c r="B6705" s="3" t="str">
        <f>IFERROR(__xludf.DUMMYFUNCTION("GOOGLETRANSLATE(A6705, ""ar"", ""bn"")"),"ছেড়ে দেত্তয়া")</f>
        <v>ছেড়ে দেত্তয়া</v>
      </c>
    </row>
    <row r="6706">
      <c r="A6706" s="2" t="s">
        <v>3918</v>
      </c>
      <c r="B6706" s="3" t="str">
        <f>IFERROR(__xludf.DUMMYFUNCTION("GOOGLETRANSLATE(A6706, ""ar"", ""bn"")"),"আত্মসমর্পণ")</f>
        <v>আত্মসমর্পণ</v>
      </c>
    </row>
    <row r="6707">
      <c r="A6707" s="2" t="s">
        <v>7858</v>
      </c>
      <c r="B6707" s="3" t="str">
        <f>IFERROR(__xludf.DUMMYFUNCTION("GOOGLETRANSLATE(A6707, ""ar"", ""bn"")"),"নমন")</f>
        <v>নমন</v>
      </c>
    </row>
    <row r="6708">
      <c r="A6708" s="2" t="s">
        <v>3919</v>
      </c>
      <c r="B6708" s="3" t="str">
        <f>IFERROR(__xludf.DUMMYFUNCTION("GOOGLETRANSLATE(A6708, ""ar"", ""bn"")"),"ছেড়ে দেত্তয়া")</f>
        <v>ছেড়ে দেত্তয়া</v>
      </c>
    </row>
    <row r="6709">
      <c r="A6709" s="2" t="s">
        <v>7859</v>
      </c>
      <c r="B6709" s="3" t="str">
        <f>IFERROR(__xludf.DUMMYFUNCTION("GOOGLETRANSLATE(A6709, ""ar"", ""bn"")"),"চুষা")</f>
        <v>চুষা</v>
      </c>
    </row>
    <row r="6710">
      <c r="A6710" s="2" t="s">
        <v>7860</v>
      </c>
      <c r="B6710" s="3" t="str">
        <f>IFERROR(__xludf.DUMMYFUNCTION("GOOGLETRANSLATE(A6710, ""ar"", ""bn"")"),"শোষণ করা")</f>
        <v>শোষণ করা</v>
      </c>
    </row>
    <row r="6711">
      <c r="A6711" s="2" t="s">
        <v>7861</v>
      </c>
      <c r="B6711" s="3" t="str">
        <f>IFERROR(__xludf.DUMMYFUNCTION("GOOGLETRANSLATE(A6711, ""ar"", ""bn"")"),"পায়ী")</f>
        <v>পায়ী</v>
      </c>
    </row>
    <row r="6712">
      <c r="A6712" s="2" t="s">
        <v>7862</v>
      </c>
      <c r="B6712" s="3" t="str">
        <f>IFERROR(__xludf.DUMMYFUNCTION("GOOGLETRANSLATE(A6712, ""ar"", ""bn"")"),"রক্তচোষা বাদুর")</f>
        <v>রক্তচোষা বাদুর</v>
      </c>
    </row>
    <row r="6713">
      <c r="A6713" s="2" t="s">
        <v>7859</v>
      </c>
      <c r="B6713" s="3" t="str">
        <f>IFERROR(__xludf.DUMMYFUNCTION("GOOGLETRANSLATE(A6713, ""ar"", ""bn"")"),"চুষা")</f>
        <v>চুষা</v>
      </c>
    </row>
    <row r="6714">
      <c r="A6714" s="2" t="s">
        <v>7863</v>
      </c>
      <c r="B6714" s="3" t="str">
        <f>IFERROR(__xludf.DUMMYFUNCTION("GOOGLETRANSLATE(A6714, ""ar"", ""bn"")"),"নার্স")</f>
        <v>নার্স</v>
      </c>
    </row>
    <row r="6715">
      <c r="A6715" s="2" t="s">
        <v>7864</v>
      </c>
      <c r="B6715" s="3" t="str">
        <f>IFERROR(__xludf.DUMMYFUNCTION("GOOGLETRANSLATE(A6715, ""ar"", ""bn"")"),"দুধ")</f>
        <v>দুধ</v>
      </c>
    </row>
    <row r="6716">
      <c r="A6716" s="2" t="s">
        <v>7865</v>
      </c>
      <c r="B6716" s="3" t="str">
        <f>IFERROR(__xludf.DUMMYFUNCTION("GOOGLETRANSLATE(A6716, ""ar"", ""bn"")"),"স্তন্যদান করা")</f>
        <v>স্তন্যদান করা</v>
      </c>
    </row>
    <row r="6717">
      <c r="A6717" s="2" t="s">
        <v>7866</v>
      </c>
      <c r="B6717" s="3" t="str">
        <f>IFERROR(__xludf.DUMMYFUNCTION("GOOGLETRANSLATE(A6717, ""ar"", ""bn"")"),"বুকের দুধ খাওয়ালে")</f>
        <v>বুকের দুধ খাওয়ালে</v>
      </c>
    </row>
    <row r="6718">
      <c r="A6718" s="2" t="s">
        <v>7867</v>
      </c>
      <c r="B6718" s="3" t="str">
        <f>IFERROR(__xludf.DUMMYFUNCTION("GOOGLETRANSLATE(A6718, ""ar"", ""bn"")"),"শিশু রেডি")</f>
        <v>শিশু রেডি</v>
      </c>
    </row>
    <row r="6719">
      <c r="A6719" s="2" t="s">
        <v>7868</v>
      </c>
      <c r="B6719" s="3" t="str">
        <f>IFERROR(__xludf.DUMMYFUNCTION("GOOGLETRANSLATE(A6719, ""ar"", ""bn"")"),"স্তন্যপান")</f>
        <v>স্তন্যপান</v>
      </c>
    </row>
    <row r="6720">
      <c r="A6720" s="2" t="s">
        <v>7860</v>
      </c>
      <c r="B6720" s="3" t="str">
        <f>IFERROR(__xludf.DUMMYFUNCTION("GOOGLETRANSLATE(A6720, ""ar"", ""bn"")"),"শোষণ করা")</f>
        <v>শোষণ করা</v>
      </c>
    </row>
    <row r="6721">
      <c r="A6721" s="2" t="s">
        <v>7861</v>
      </c>
      <c r="B6721" s="3" t="str">
        <f>IFERROR(__xludf.DUMMYFUNCTION("GOOGLETRANSLATE(A6721, ""ar"", ""bn"")"),"পায়ী")</f>
        <v>পায়ী</v>
      </c>
    </row>
    <row r="6722">
      <c r="A6722" s="2" t="s">
        <v>7862</v>
      </c>
      <c r="B6722" s="3" t="str">
        <f>IFERROR(__xludf.DUMMYFUNCTION("GOOGLETRANSLATE(A6722, ""ar"", ""bn"")"),"রক্তচোষা বাদুর")</f>
        <v>রক্তচোষা বাদুর</v>
      </c>
    </row>
    <row r="6723">
      <c r="A6723" s="2" t="s">
        <v>7868</v>
      </c>
      <c r="B6723" s="3" t="str">
        <f>IFERROR(__xludf.DUMMYFUNCTION("GOOGLETRANSLATE(A6723, ""ar"", ""bn"")"),"স্তন্যপান")</f>
        <v>স্তন্যপান</v>
      </c>
    </row>
    <row r="6724">
      <c r="A6724" s="2" t="s">
        <v>7869</v>
      </c>
      <c r="B6724" s="3" t="str">
        <f>IFERROR(__xludf.DUMMYFUNCTION("GOOGLETRANSLATE(A6724, ""ar"", ""bn"")"),"ভোগা")</f>
        <v>ভোগা</v>
      </c>
    </row>
    <row r="6725">
      <c r="A6725" s="2" t="s">
        <v>7870</v>
      </c>
      <c r="B6725" s="3" t="str">
        <f>IFERROR(__xludf.DUMMYFUNCTION("GOOGLETRANSLATE(A6725, ""ar"", ""bn"")"),"দুর্ভোগ")</f>
        <v>দুর্ভোগ</v>
      </c>
    </row>
    <row r="6726">
      <c r="A6726" s="2" t="s">
        <v>7869</v>
      </c>
      <c r="B6726" s="3" t="str">
        <f>IFERROR(__xludf.DUMMYFUNCTION("GOOGLETRANSLATE(A6726, ""ar"", ""bn"")"),"ভোগা")</f>
        <v>ভোগা</v>
      </c>
    </row>
    <row r="6727">
      <c r="A6727" s="2" t="s">
        <v>4855</v>
      </c>
      <c r="B6727" s="3" t="str">
        <f>IFERROR(__xludf.DUMMYFUNCTION("GOOGLETRANSLATE(A6727, ""ar"", ""bn"")"),"রোগী")</f>
        <v>রোগী</v>
      </c>
    </row>
    <row r="6728">
      <c r="A6728" s="2" t="s">
        <v>7871</v>
      </c>
      <c r="B6728" s="3" t="str">
        <f>IFERROR(__xludf.DUMMYFUNCTION("GOOGLETRANSLATE(A6728, ""ar"", ""bn"")"),"কে ভোগা")</f>
        <v>কে ভোগা</v>
      </c>
    </row>
    <row r="6729">
      <c r="A6729" s="2" t="s">
        <v>7870</v>
      </c>
      <c r="B6729" s="3" t="str">
        <f>IFERROR(__xludf.DUMMYFUNCTION("GOOGLETRANSLATE(A6729, ""ar"", ""bn"")"),"দুর্ভোগ")</f>
        <v>দুর্ভোগ</v>
      </c>
    </row>
    <row r="6730">
      <c r="A6730" s="2" t="s">
        <v>7870</v>
      </c>
      <c r="B6730" s="3" t="str">
        <f>IFERROR(__xludf.DUMMYFUNCTION("GOOGLETRANSLATE(A6730, ""ar"", ""bn"")"),"দুর্ভোগ")</f>
        <v>দুর্ভোগ</v>
      </c>
    </row>
    <row r="6731">
      <c r="A6731" s="2" t="s">
        <v>7872</v>
      </c>
      <c r="B6731" s="3" t="str">
        <f>IFERROR(__xludf.DUMMYFUNCTION("GOOGLETRANSLATE(A6731, ""ar"", ""bn"")"),"ভুগছেন")</f>
        <v>ভুগছেন</v>
      </c>
    </row>
    <row r="6732">
      <c r="A6732" s="2" t="s">
        <v>7869</v>
      </c>
      <c r="B6732" s="3" t="str">
        <f>IFERROR(__xludf.DUMMYFUNCTION("GOOGLETRANSLATE(A6732, ""ar"", ""bn"")"),"ভোগা")</f>
        <v>ভোগা</v>
      </c>
    </row>
    <row r="6733">
      <c r="A6733" s="2" t="s">
        <v>4855</v>
      </c>
      <c r="B6733" s="3" t="str">
        <f>IFERROR(__xludf.DUMMYFUNCTION("GOOGLETRANSLATE(A6733, ""ar"", ""bn"")"),"রোগী")</f>
        <v>রোগী</v>
      </c>
    </row>
    <row r="6734">
      <c r="A6734" s="2" t="s">
        <v>7871</v>
      </c>
      <c r="B6734" s="3" t="str">
        <f>IFERROR(__xludf.DUMMYFUNCTION("GOOGLETRANSLATE(A6734, ""ar"", ""bn"")"),"কে ভোগা")</f>
        <v>কে ভোগা</v>
      </c>
    </row>
    <row r="6735">
      <c r="A6735" s="2" t="s">
        <v>7870</v>
      </c>
      <c r="B6735" s="3" t="str">
        <f>IFERROR(__xludf.DUMMYFUNCTION("GOOGLETRANSLATE(A6735, ""ar"", ""bn"")"),"দুর্ভোগ")</f>
        <v>দুর্ভোগ</v>
      </c>
    </row>
    <row r="6736">
      <c r="A6736" s="2" t="s">
        <v>7870</v>
      </c>
      <c r="B6736" s="3" t="str">
        <f>IFERROR(__xludf.DUMMYFUNCTION("GOOGLETRANSLATE(A6736, ""ar"", ""bn"")"),"দুর্ভোগ")</f>
        <v>দুর্ভোগ</v>
      </c>
    </row>
    <row r="6737">
      <c r="A6737" s="2" t="s">
        <v>7872</v>
      </c>
      <c r="B6737" s="3" t="str">
        <f>IFERROR(__xludf.DUMMYFUNCTION("GOOGLETRANSLATE(A6737, ""ar"", ""bn"")"),"ভুগছেন")</f>
        <v>ভুগছেন</v>
      </c>
    </row>
    <row r="6738">
      <c r="A6738" s="2" t="s">
        <v>3984</v>
      </c>
      <c r="B6738" s="3" t="str">
        <f>IFERROR(__xludf.DUMMYFUNCTION("GOOGLETRANSLATE(A6738, ""ar"", ""bn"")"),"শ্বাসনালী")</f>
        <v>শ্বাসনালী</v>
      </c>
    </row>
    <row r="6739">
      <c r="A6739" s="2" t="s">
        <v>3985</v>
      </c>
      <c r="B6739" s="3" t="str">
        <f>IFERROR(__xludf.DUMMYFUNCTION("GOOGLETRANSLATE(A6739, ""ar"", ""bn"")"),"শ্বাসরোধ করা")</f>
        <v>শ্বাসরোধ করা</v>
      </c>
    </row>
    <row r="6740">
      <c r="A6740" s="2" t="s">
        <v>7621</v>
      </c>
      <c r="B6740" s="3" t="str">
        <f>IFERROR(__xludf.DUMMYFUNCTION("GOOGLETRANSLATE(A6740, ""ar"", ""bn"")"),"প্যাস্টরকে শ্বাসরুদ্ধ")</f>
        <v>প্যাস্টরকে শ্বাসরুদ্ধ</v>
      </c>
    </row>
    <row r="6741">
      <c r="A6741" s="2" t="s">
        <v>7873</v>
      </c>
      <c r="B6741" s="3" t="str">
        <f>IFERROR(__xludf.DUMMYFUNCTION("GOOGLETRANSLATE(A6741, ""ar"", ""bn"")"),"আত্মহত্যা")</f>
        <v>আত্মহত্যা</v>
      </c>
    </row>
    <row r="6742">
      <c r="A6742" s="2" t="s">
        <v>7874</v>
      </c>
      <c r="B6742" s="3" t="str">
        <f>IFERROR(__xludf.DUMMYFUNCTION("GOOGLETRANSLATE(A6742, ""ar"", ""bn"")"),"আত্মহত্যা")</f>
        <v>আত্মহত্যা</v>
      </c>
    </row>
    <row r="6743">
      <c r="A6743" s="2" t="s">
        <v>7709</v>
      </c>
      <c r="B6743" s="3" t="str">
        <f>IFERROR(__xludf.DUMMYFUNCTION("GOOGLETRANSLATE(A6743, ""ar"", ""bn"")"),"হিংসক")</f>
        <v>হিংসক</v>
      </c>
    </row>
    <row r="6744">
      <c r="A6744" s="2" t="s">
        <v>5611</v>
      </c>
      <c r="B6744" s="3" t="str">
        <f>IFERROR(__xludf.DUMMYFUNCTION("GOOGLETRANSLATE(A6744, ""ar"", ""bn"")"),"ভয়ানক")</f>
        <v>ভয়ানক</v>
      </c>
    </row>
    <row r="6745">
      <c r="A6745" s="2" t="s">
        <v>6856</v>
      </c>
      <c r="B6745" s="3" t="str">
        <f>IFERROR(__xludf.DUMMYFUNCTION("GOOGLETRANSLATE(A6745, ""ar"", ""bn"")"),"বিস্ফুরিত")</f>
        <v>বিস্ফুরিত</v>
      </c>
    </row>
    <row r="6746">
      <c r="A6746" s="2" t="s">
        <v>7562</v>
      </c>
      <c r="B6746" s="3" t="str">
        <f>IFERROR(__xludf.DUMMYFUNCTION("GOOGLETRANSLATE(A6746, ""ar"", ""bn"")"),"পৃষ্ঠস্থ")</f>
        <v>পৃষ্ঠস্থ</v>
      </c>
    </row>
    <row r="6747">
      <c r="A6747" s="2" t="s">
        <v>7875</v>
      </c>
      <c r="B6747" s="3" t="str">
        <f>IFERROR(__xludf.DUMMYFUNCTION("GOOGLETRANSLATE(A6747, ""ar"", ""bn"")"),"বহিরঙ্গ")</f>
        <v>বহিরঙ্গ</v>
      </c>
    </row>
    <row r="6748">
      <c r="A6748" s="2" t="s">
        <v>7876</v>
      </c>
      <c r="B6748" s="3" t="str">
        <f>IFERROR(__xludf.DUMMYFUNCTION("GOOGLETRANSLATE(A6748, ""ar"", ""bn"")"),"ভাসা-ভাসাভাবে")</f>
        <v>ভাসা-ভাসাভাবে</v>
      </c>
    </row>
    <row r="6749">
      <c r="A6749" s="2" t="s">
        <v>7877</v>
      </c>
      <c r="B6749" s="3" t="str">
        <f>IFERROR(__xludf.DUMMYFUNCTION("GOOGLETRANSLATE(A6749, ""ar"", ""bn"")"),"জরুরী না")</f>
        <v>জরুরী না</v>
      </c>
    </row>
    <row r="6750">
      <c r="A6750" s="2" t="s">
        <v>7878</v>
      </c>
      <c r="B6750" s="3" t="str">
        <f>IFERROR(__xludf.DUMMYFUNCTION("GOOGLETRANSLATE(A6750, ""ar"", ""bn"")"),"শ্রুতি")</f>
        <v>শ্রুতি</v>
      </c>
    </row>
    <row r="6751">
      <c r="A6751" s="2" t="s">
        <v>7879</v>
      </c>
      <c r="B6751" s="3" t="str">
        <f>IFERROR(__xludf.DUMMYFUNCTION("GOOGLETRANSLATE(A6751, ""ar"", ""bn"")"),"মিথস")</f>
        <v>মিথস</v>
      </c>
    </row>
    <row r="6752">
      <c r="A6752" s="2" t="s">
        <v>7880</v>
      </c>
      <c r="B6752" s="3" t="str">
        <f>IFERROR(__xludf.DUMMYFUNCTION("GOOGLETRANSLATE(A6752, ""ar"", ""bn"")"),"কল্পিত")</f>
        <v>কল্পিত</v>
      </c>
    </row>
    <row r="6753">
      <c r="A6753" s="2" t="s">
        <v>7881</v>
      </c>
      <c r="B6753" s="3" t="str">
        <f>IFERROR(__xludf.DUMMYFUNCTION("GOOGLETRANSLATE(A6753, ""ar"", ""bn"")"),"কুসংস্কারবশত")</f>
        <v>কুসংস্কারবশত</v>
      </c>
    </row>
    <row r="6754">
      <c r="A6754" s="2" t="s">
        <v>7125</v>
      </c>
      <c r="B6754" s="3" t="str">
        <f>IFERROR(__xludf.DUMMYFUNCTION("GOOGLETRANSLATE(A6754, ""ar"", ""bn"")"),"চাপাচাপি")</f>
        <v>চাপাচাপি</v>
      </c>
    </row>
    <row r="6755">
      <c r="A6755" s="2" t="s">
        <v>7126</v>
      </c>
      <c r="B6755" s="3" t="str">
        <f>IFERROR(__xludf.DUMMYFUNCTION("GOOGLETRANSLATE(A6755, ""ar"", ""bn"")"),"অবদমিত")</f>
        <v>অবদমিত</v>
      </c>
    </row>
    <row r="6756">
      <c r="A6756" s="2" t="s">
        <v>7127</v>
      </c>
      <c r="B6756" s="3" t="str">
        <f>IFERROR(__xludf.DUMMYFUNCTION("GOOGLETRANSLATE(A6756, ""ar"", ""bn"")"),"শ্বাসরুদ্ধ করিয়া মারা")</f>
        <v>শ্বাসরুদ্ধ করিয়া মারা</v>
      </c>
    </row>
    <row r="6757">
      <c r="A6757" s="2" t="s">
        <v>7882</v>
      </c>
      <c r="B6757" s="3" t="str">
        <f>IFERROR(__xludf.DUMMYFUNCTION("GOOGLETRANSLATE(A6757, ""ar"", ""bn"")"),"দমন")</f>
        <v>দমন</v>
      </c>
    </row>
    <row r="6758">
      <c r="A6758" s="2" t="s">
        <v>7883</v>
      </c>
      <c r="B6758" s="3" t="str">
        <f>IFERROR(__xludf.DUMMYFUNCTION("GOOGLETRANSLATE(A6758, ""ar"", ""bn"")"),"নিচে ফাটল")</f>
        <v>নিচে ফাটল</v>
      </c>
    </row>
    <row r="6759">
      <c r="A6759" s="2" t="s">
        <v>7125</v>
      </c>
      <c r="B6759" s="3" t="str">
        <f>IFERROR(__xludf.DUMMYFUNCTION("GOOGLETRANSLATE(A6759, ""ar"", ""bn"")"),"চাপাচাপি")</f>
        <v>চাপাচাপি</v>
      </c>
    </row>
    <row r="6760">
      <c r="A6760" s="2" t="s">
        <v>7129</v>
      </c>
      <c r="B6760" s="3" t="str">
        <f>IFERROR(__xludf.DUMMYFUNCTION("GOOGLETRANSLATE(A6760, ""ar"", ""bn"")"),"উত্পীড়নকর")</f>
        <v>উত্পীড়নকর</v>
      </c>
    </row>
    <row r="6761">
      <c r="A6761" s="2" t="s">
        <v>7884</v>
      </c>
      <c r="B6761" s="3" t="str">
        <f>IFERROR(__xludf.DUMMYFUNCTION("GOOGLETRANSLATE(A6761, ""ar"", ""bn"")"),"দমনকারী")</f>
        <v>দমনকারী</v>
      </c>
    </row>
    <row r="6762">
      <c r="A6762" s="2" t="s">
        <v>7885</v>
      </c>
      <c r="B6762" s="3" t="str">
        <f>IFERROR(__xludf.DUMMYFUNCTION("GOOGLETRANSLATE(A6762, ""ar"", ""bn"")"),"ক্যাপাসিটারগুলিকে")</f>
        <v>ক্যাপাসিটারগুলিকে</v>
      </c>
    </row>
    <row r="6763">
      <c r="A6763" s="2" t="s">
        <v>7886</v>
      </c>
      <c r="B6763" s="3" t="str">
        <f>IFERROR(__xludf.DUMMYFUNCTION("GOOGLETRANSLATE(A6763, ""ar"", ""bn"")"),"আধিপত্যবাদী")</f>
        <v>আধিপত্যবাদী</v>
      </c>
    </row>
    <row r="6764">
      <c r="A6764" s="2" t="s">
        <v>7887</v>
      </c>
      <c r="B6764" s="3" t="str">
        <f>IFERROR(__xludf.DUMMYFUNCTION("GOOGLETRANSLATE(A6764, ""ar"", ""bn"")"),"সংবেদনশীলতা")</f>
        <v>সংবেদনশীলতা</v>
      </c>
    </row>
    <row r="6765">
      <c r="A6765" s="2" t="s">
        <v>7888</v>
      </c>
      <c r="B6765" s="3" t="str">
        <f>IFERROR(__xludf.DUMMYFUNCTION("GOOGLETRANSLATE(A6765, ""ar"", ""bn"")"),"সংবেদনশীলতা")</f>
        <v>সংবেদনশীলতা</v>
      </c>
    </row>
    <row r="6766">
      <c r="A6766" s="2" t="s">
        <v>6216</v>
      </c>
      <c r="B6766" s="3" t="str">
        <f>IFERROR(__xludf.DUMMYFUNCTION("GOOGLETRANSLATE(A6766, ""ar"", ""bn"")"),"সমর্থ")</f>
        <v>সমর্থ</v>
      </c>
    </row>
    <row r="6767">
      <c r="A6767" s="2" t="s">
        <v>7889</v>
      </c>
      <c r="B6767" s="3" t="str">
        <f>IFERROR(__xludf.DUMMYFUNCTION("GOOGLETRANSLATE(A6767, ""ar"", ""bn"")"),"সন্দেহভাজন")</f>
        <v>সন্দেহভাজন</v>
      </c>
    </row>
    <row r="6768">
      <c r="A6768" s="2" t="s">
        <v>7890</v>
      </c>
      <c r="B6768" s="3" t="str">
        <f>IFERROR(__xludf.DUMMYFUNCTION("GOOGLETRANSLATE(A6768, ""ar"", ""bn"")"),"সন্দেহভাজন")</f>
        <v>সন্দেহভাজন</v>
      </c>
    </row>
    <row r="6769">
      <c r="A6769" s="2" t="s">
        <v>7891</v>
      </c>
      <c r="B6769" s="3" t="str">
        <f>IFERROR(__xludf.DUMMYFUNCTION("GOOGLETRANSLATE(A6769, ""ar"", ""bn"")"),"সন্দেহভাজন")</f>
        <v>সন্দেহভাজন</v>
      </c>
    </row>
    <row r="6770">
      <c r="A6770" s="2" t="s">
        <v>7892</v>
      </c>
      <c r="B6770" s="3" t="str">
        <f>IFERROR(__xludf.DUMMYFUNCTION("GOOGLETRANSLATE(A6770, ""ar"", ""bn"")"),"সন্দেহভাজন")</f>
        <v>সন্দেহভাজন</v>
      </c>
    </row>
    <row r="6771">
      <c r="A6771" s="2" t="s">
        <v>5695</v>
      </c>
      <c r="B6771" s="3" t="str">
        <f>IFERROR(__xludf.DUMMYFUNCTION("GOOGLETRANSLATE(A6771, ""ar"", ""bn"")"),"মন্তব্য")</f>
        <v>মন্তব্য</v>
      </c>
    </row>
    <row r="6772">
      <c r="A6772" s="2" t="s">
        <v>5702</v>
      </c>
      <c r="B6772" s="3" t="str">
        <f>IFERROR(__xludf.DUMMYFUNCTION("GOOGLETRANSLATE(A6772, ""ar"", ""bn"")"),"ঝুলন্ত")</f>
        <v>ঝুলন্ত</v>
      </c>
    </row>
    <row r="6773">
      <c r="A6773" s="2" t="s">
        <v>7893</v>
      </c>
      <c r="B6773" s="3" t="str">
        <f>IFERROR(__xludf.DUMMYFUNCTION("GOOGLETRANSLATE(A6773, ""ar"", ""bn"")"),"পায়ে মোজা আটকাইয়া রাখার জন্য ফিতাবিশেষ")</f>
        <v>পায়ে মোজা আটকাইয়া রাখার জন্য ফিতাবিশেষ</v>
      </c>
    </row>
    <row r="6774">
      <c r="A6774" s="2" t="s">
        <v>7894</v>
      </c>
      <c r="B6774" s="3" t="str">
        <f>IFERROR(__xludf.DUMMYFUNCTION("GOOGLETRANSLATE(A6774, ""ar"", ""bn"")"),"Suspenders")</f>
        <v>Suspenders</v>
      </c>
    </row>
    <row r="6775">
      <c r="A6775" s="2" t="s">
        <v>7895</v>
      </c>
      <c r="B6775" s="3" t="str">
        <f>IFERROR(__xludf.DUMMYFUNCTION("GOOGLETRANSLATE(A6775, ""ar"", ""bn"")"),"সাসপেনশন")</f>
        <v>সাসপেনশন</v>
      </c>
    </row>
    <row r="6776">
      <c r="A6776" s="2" t="s">
        <v>7896</v>
      </c>
      <c r="B6776" s="3" t="str">
        <f>IFERROR(__xludf.DUMMYFUNCTION("GOOGLETRANSLATE(A6776, ""ar"", ""bn"")"),"জোড়া")</f>
        <v>জোড়া</v>
      </c>
    </row>
    <row r="6777">
      <c r="A6777" s="2" t="s">
        <v>7895</v>
      </c>
      <c r="B6777" s="3" t="str">
        <f>IFERROR(__xludf.DUMMYFUNCTION("GOOGLETRANSLATE(A6777, ""ar"", ""bn"")"),"সাসপেনশন")</f>
        <v>সাসপেনশন</v>
      </c>
    </row>
    <row r="6778">
      <c r="A6778" s="2" t="s">
        <v>7895</v>
      </c>
      <c r="B6778" s="3" t="str">
        <f>IFERROR(__xludf.DUMMYFUNCTION("GOOGLETRANSLATE(A6778, ""ar"", ""bn"")"),"সাসপেনশন")</f>
        <v>সাসপেনশন</v>
      </c>
    </row>
    <row r="6779">
      <c r="A6779" s="2" t="s">
        <v>7897</v>
      </c>
      <c r="B6779" s="3" t="str">
        <f>IFERROR(__xludf.DUMMYFUNCTION("GOOGLETRANSLATE(A6779, ""ar"", ""bn"")"),"সন্দেহ")</f>
        <v>সন্দেহ</v>
      </c>
    </row>
    <row r="6780">
      <c r="A6780" s="2" t="s">
        <v>4996</v>
      </c>
      <c r="B6780" s="3" t="str">
        <f>IFERROR(__xludf.DUMMYFUNCTION("GOOGLETRANSLATE(A6780, ""ar"", ""bn"")"),"সন্দেহ")</f>
        <v>সন্দেহ</v>
      </c>
    </row>
    <row r="6781">
      <c r="A6781" s="2" t="s">
        <v>7898</v>
      </c>
      <c r="B6781" s="3" t="str">
        <f>IFERROR(__xludf.DUMMYFUNCTION("GOOGLETRANSLATE(A6781, ""ar"", ""bn"")"),"সন্দেহজনক")</f>
        <v>সন্দেহজনক</v>
      </c>
    </row>
    <row r="6782">
      <c r="A6782" s="2" t="s">
        <v>7899</v>
      </c>
      <c r="B6782" s="3" t="str">
        <f>IFERROR(__xludf.DUMMYFUNCTION("GOOGLETRANSLATE(A6782, ""ar"", ""bn"")"),"বক্রভাবে")</f>
        <v>বক্রভাবে</v>
      </c>
    </row>
    <row r="6783">
      <c r="A6783" s="2" t="s">
        <v>7900</v>
      </c>
      <c r="B6783" s="3" t="str">
        <f>IFERROR(__xludf.DUMMYFUNCTION("GOOGLETRANSLATE(A6783, ""ar"", ""bn"")"),"আমি শপথ করে বলছি")</f>
        <v>আমি শপথ করে বলছি</v>
      </c>
    </row>
    <row r="6784">
      <c r="A6784" s="2" t="s">
        <v>7901</v>
      </c>
      <c r="B6784" s="3" t="str">
        <f>IFERROR(__xludf.DUMMYFUNCTION("GOOGLETRANSLATE(A6784, ""ar"", ""bn"")"),"সাংবিধানিক শপথ")</f>
        <v>সাংবিধানিক শপথ</v>
      </c>
    </row>
    <row r="6785">
      <c r="A6785" s="2" t="s">
        <v>7902</v>
      </c>
      <c r="B6785" s="3" t="str">
        <f>IFERROR(__xludf.DUMMYFUNCTION("GOOGLETRANSLATE(A6785, ""ar"", ""bn"")"),"ভাগ")</f>
        <v>ভাগ</v>
      </c>
    </row>
    <row r="6786">
      <c r="A6786" s="2" t="s">
        <v>7903</v>
      </c>
      <c r="B6786" s="3" t="str">
        <f>IFERROR(__xludf.DUMMYFUNCTION("GOOGLETRANSLATE(A6786, ""ar"", ""bn"")"),"অপমান")</f>
        <v>অপমান</v>
      </c>
    </row>
    <row r="6787">
      <c r="A6787" s="2" t="s">
        <v>4407</v>
      </c>
      <c r="B6787" s="3" t="str">
        <f>IFERROR(__xludf.DUMMYFUNCTION("GOOGLETRANSLATE(A6787, ""ar"", ""bn"")"),"অভিশাপ")</f>
        <v>অভিশাপ</v>
      </c>
    </row>
    <row r="6788">
      <c r="A6788" s="2" t="s">
        <v>7900</v>
      </c>
      <c r="B6788" s="3" t="str">
        <f>IFERROR(__xludf.DUMMYFUNCTION("GOOGLETRANSLATE(A6788, ""ar"", ""bn"")"),"আমি শপথ করে বলছি")</f>
        <v>আমি শপথ করে বলছি</v>
      </c>
    </row>
    <row r="6789">
      <c r="A6789" s="2" t="s">
        <v>7904</v>
      </c>
      <c r="B6789" s="3" t="str">
        <f>IFERROR(__xludf.DUMMYFUNCTION("GOOGLETRANSLATE(A6789, ""ar"", ""bn"")"),"প্রদর্শনী")</f>
        <v>প্রদর্শনী</v>
      </c>
    </row>
    <row r="6790">
      <c r="A6790" s="2" t="s">
        <v>3230</v>
      </c>
      <c r="B6790" s="3" t="str">
        <f>IFERROR(__xludf.DUMMYFUNCTION("GOOGLETRANSLATE(A6790, ""ar"", ""bn"")"),"আপতিক")</f>
        <v>আপতিক</v>
      </c>
    </row>
    <row r="6791">
      <c r="A6791" s="2" t="s">
        <v>7905</v>
      </c>
      <c r="B6791" s="3" t="str">
        <f>IFERROR(__xludf.DUMMYFUNCTION("GOOGLETRANSLATE(A6791, ""ar"", ""bn"")"),"আপতিক")</f>
        <v>আপতিক</v>
      </c>
    </row>
    <row r="6792">
      <c r="A6792" s="2" t="s">
        <v>7906</v>
      </c>
      <c r="B6792" s="3" t="str">
        <f>IFERROR(__xludf.DUMMYFUNCTION("GOOGLETRANSLATE(A6792, ""ar"", ""bn"")"),"উপসর্গ ছাড়াই")</f>
        <v>উপসর্গ ছাড়াই</v>
      </c>
    </row>
    <row r="6793">
      <c r="A6793" s="2" t="s">
        <v>7907</v>
      </c>
      <c r="B6793" s="3" t="str">
        <f>IFERROR(__xludf.DUMMYFUNCTION("GOOGLETRANSLATE(A6793, ""ar"", ""bn"")"),"লক্ষণ")</f>
        <v>লক্ষণ</v>
      </c>
    </row>
    <row r="6794">
      <c r="A6794" s="2" t="s">
        <v>7908</v>
      </c>
      <c r="B6794" s="3" t="str">
        <f>IFERROR(__xludf.DUMMYFUNCTION("GOOGLETRANSLATE(A6794, ""ar"", ""bn"")"),"নিষিদ্ধ")</f>
        <v>নিষিদ্ধ</v>
      </c>
    </row>
    <row r="6795">
      <c r="A6795" s="2" t="s">
        <v>7909</v>
      </c>
      <c r="B6795" s="3" t="str">
        <f>IFERROR(__xludf.DUMMYFUNCTION("GOOGLETRANSLATE(A6795, ""ar"", ""bn"")"),"নিষিদ্ধ")</f>
        <v>নিষিদ্ধ</v>
      </c>
    </row>
    <row r="6796">
      <c r="A6796" s="2" t="s">
        <v>4182</v>
      </c>
      <c r="B6796" s="3" t="str">
        <f>IFERROR(__xludf.DUMMYFUNCTION("GOOGLETRANSLATE(A6796, ""ar"", ""bn"")"),"অপবিত্রতা")</f>
        <v>অপবিত্রতা</v>
      </c>
    </row>
    <row r="6797">
      <c r="A6797" s="2" t="s">
        <v>7910</v>
      </c>
      <c r="B6797" s="3" t="str">
        <f>IFERROR(__xludf.DUMMYFUNCTION("GOOGLETRANSLATE(A6797, ""ar"", ""bn"")"),"দূষণকারীকে")</f>
        <v>দূষণকারীকে</v>
      </c>
    </row>
    <row r="6798">
      <c r="A6798" s="2" t="s">
        <v>7911</v>
      </c>
      <c r="B6798" s="3" t="str">
        <f>IFERROR(__xludf.DUMMYFUNCTION("GOOGLETRANSLATE(A6798, ""ar"", ""bn"")"),"পুনরায়")</f>
        <v>পুনরায়</v>
      </c>
    </row>
    <row r="6799">
      <c r="A6799" s="2" t="s">
        <v>7912</v>
      </c>
      <c r="B6799" s="3" t="str">
        <f>IFERROR(__xludf.DUMMYFUNCTION("GOOGLETRANSLATE(A6799, ""ar"", ""bn"")"),"চপ")</f>
        <v>চপ</v>
      </c>
    </row>
    <row r="6800">
      <c r="A6800" s="2" t="s">
        <v>7913</v>
      </c>
      <c r="B6800" s="3" t="str">
        <f>IFERROR(__xludf.DUMMYFUNCTION("GOOGLETRANSLATE(A6800, ""ar"", ""bn"")"),"স্বাভাবিক কর্মদক্ষতাহীন")</f>
        <v>স্বাভাবিক কর্মদক্ষতাহীন</v>
      </c>
    </row>
    <row r="6801">
      <c r="A6801" s="2" t="s">
        <v>6319</v>
      </c>
      <c r="B6801" s="3" t="str">
        <f>IFERROR(__xludf.DUMMYFUNCTION("GOOGLETRANSLATE(A6801, ""ar"", ""bn"")"),"নিপূণভাবে ব্যবহার করা")</f>
        <v>নিপূণভাবে ব্যবহার করা</v>
      </c>
    </row>
    <row r="6802">
      <c r="A6802" s="2" t="s">
        <v>6473</v>
      </c>
      <c r="B6802" s="3" t="str">
        <f>IFERROR(__xludf.DUMMYFUNCTION("GOOGLETRANSLATE(A6802, ""ar"", ""bn"")"),"গরমিল")</f>
        <v>গরমিল</v>
      </c>
    </row>
    <row r="6803">
      <c r="A6803" s="2" t="s">
        <v>6473</v>
      </c>
      <c r="B6803" s="3" t="str">
        <f>IFERROR(__xludf.DUMMYFUNCTION("GOOGLETRANSLATE(A6803, ""ar"", ""bn"")"),"গরমিল")</f>
        <v>গরমিল</v>
      </c>
    </row>
    <row r="6804">
      <c r="A6804" s="2" t="s">
        <v>5510</v>
      </c>
      <c r="B6804" s="3" t="str">
        <f>IFERROR(__xludf.DUMMYFUNCTION("GOOGLETRANSLATE(A6804, ""ar"", ""bn"")"),"নিরর্থকতা")</f>
        <v>নিরর্থকতা</v>
      </c>
    </row>
    <row r="6805">
      <c r="A6805" s="2" t="s">
        <v>7914</v>
      </c>
      <c r="B6805" s="3" t="str">
        <f>IFERROR(__xludf.DUMMYFUNCTION("GOOGLETRANSLATE(A6805, ""ar"", ""bn"")"),"দুর্বার ক্রোধ")</f>
        <v>দুর্বার ক্রোধ</v>
      </c>
    </row>
    <row r="6806">
      <c r="A6806" s="2" t="s">
        <v>7915</v>
      </c>
      <c r="B6806" s="3" t="str">
        <f>IFERROR(__xludf.DUMMYFUNCTION("GOOGLETRANSLATE(A6806, ""ar"", ""bn"")"),"বদমেজাজের")</f>
        <v>বদমেজাজের</v>
      </c>
    </row>
    <row r="6807">
      <c r="A6807" s="2" t="s">
        <v>7916</v>
      </c>
      <c r="B6807" s="3" t="str">
        <f>IFERROR(__xludf.DUMMYFUNCTION("GOOGLETRANSLATE(A6807, ""ar"", ""bn"")"),"ধীরে ধীরে")</f>
        <v>ধীরে ধীরে</v>
      </c>
    </row>
    <row r="6808">
      <c r="A6808" s="2" t="s">
        <v>7917</v>
      </c>
      <c r="B6808" s="3" t="str">
        <f>IFERROR(__xludf.DUMMYFUNCTION("GOOGLETRANSLATE(A6808, ""ar"", ""bn"")"),"বিলম্ব")</f>
        <v>বিলম্ব</v>
      </c>
    </row>
    <row r="6809">
      <c r="A6809" s="2" t="s">
        <v>3593</v>
      </c>
      <c r="B6809" s="3" t="str">
        <f>IFERROR(__xludf.DUMMYFUNCTION("GOOGLETRANSLATE(A6809, ""ar"", ""bn"")"),"বিলম্বে")</f>
        <v>বিলম্বে</v>
      </c>
    </row>
    <row r="6810">
      <c r="A6810" s="2" t="s">
        <v>3593</v>
      </c>
      <c r="B6810" s="3" t="str">
        <f>IFERROR(__xludf.DUMMYFUNCTION("GOOGLETRANSLATE(A6810, ""ar"", ""bn"")"),"বিলম্বে")</f>
        <v>বিলম্বে</v>
      </c>
    </row>
    <row r="6811">
      <c r="A6811" s="2" t="s">
        <v>7918</v>
      </c>
      <c r="B6811" s="3" t="str">
        <f>IFERROR(__xludf.DUMMYFUNCTION("GOOGLETRANSLATE(A6811, ""ar"", ""bn"")"),"শুল্ক")</f>
        <v>শুল্ক</v>
      </c>
    </row>
    <row r="6812">
      <c r="A6812" s="2" t="s">
        <v>7919</v>
      </c>
      <c r="B6812" s="3" t="str">
        <f>IFERROR(__xludf.DUMMYFUNCTION("GOOGLETRANSLATE(A6812, ""ar"", ""bn"")"),"সংজ্ঞা")</f>
        <v>সংজ্ঞা</v>
      </c>
    </row>
    <row r="6813">
      <c r="A6813" s="2" t="s">
        <v>7204</v>
      </c>
      <c r="B6813" s="3" t="str">
        <f>IFERROR(__xludf.DUMMYFUNCTION("GOOGLETRANSLATE(A6813, ""ar"", ""bn"")"),"টুটা")</f>
        <v>টুটা</v>
      </c>
    </row>
    <row r="6814">
      <c r="A6814" s="2" t="s">
        <v>7920</v>
      </c>
      <c r="B6814" s="3" t="str">
        <f>IFERROR(__xludf.DUMMYFUNCTION("GOOGLETRANSLATE(A6814, ""ar"", ""bn"")"),"টেনা")</f>
        <v>টেনা</v>
      </c>
    </row>
    <row r="6815">
      <c r="A6815" s="2" t="s">
        <v>6139</v>
      </c>
      <c r="B6815" s="3" t="str">
        <f>IFERROR(__xludf.DUMMYFUNCTION("GOOGLETRANSLATE(A6815, ""ar"", ""bn"")"),"বিদ্রূপ")</f>
        <v>বিদ্রূপ</v>
      </c>
    </row>
    <row r="6816">
      <c r="A6816" s="2" t="s">
        <v>4617</v>
      </c>
      <c r="B6816" s="3" t="str">
        <f>IFERROR(__xludf.DUMMYFUNCTION("GOOGLETRANSLATE(A6816, ""ar"", ""bn"")"),"অবহসিত")</f>
        <v>অবহসিত</v>
      </c>
    </row>
    <row r="6817">
      <c r="A6817" s="2" t="s">
        <v>7921</v>
      </c>
      <c r="B6817" s="3" t="str">
        <f>IFERROR(__xludf.DUMMYFUNCTION("GOOGLETRANSLATE(A6817, ""ar"", ""bn"")"),"পরিহাস")</f>
        <v>পরিহাস</v>
      </c>
    </row>
    <row r="6818">
      <c r="A6818" s="2" t="s">
        <v>7922</v>
      </c>
      <c r="B6818" s="3" t="str">
        <f>IFERROR(__xludf.DUMMYFUNCTION("GOOGLETRANSLATE(A6818, ""ar"", ""bn"")"),"বিদ্রূপ")</f>
        <v>বিদ্রূপ</v>
      </c>
    </row>
    <row r="6819">
      <c r="A6819" s="2" t="s">
        <v>7923</v>
      </c>
      <c r="B6819" s="3" t="str">
        <f>IFERROR(__xludf.DUMMYFUNCTION("GOOGLETRANSLATE(A6819, ""ar"", ""bn"")"),"কর")</f>
        <v>কর</v>
      </c>
    </row>
    <row r="6820">
      <c r="A6820" s="2" t="s">
        <v>7924</v>
      </c>
      <c r="B6820" s="3" t="str">
        <f>IFERROR(__xludf.DUMMYFUNCTION("GOOGLETRANSLATE(A6820, ""ar"", ""bn"")"),"করযোগ্য")</f>
        <v>করযোগ্য</v>
      </c>
    </row>
    <row r="6821">
      <c r="A6821" s="2" t="s">
        <v>7925</v>
      </c>
      <c r="B6821" s="3" t="str">
        <f>IFERROR(__xludf.DUMMYFUNCTION("GOOGLETRANSLATE(A6821, ""ar"", ""bn"")"),"করারোপণ")</f>
        <v>করারোপণ</v>
      </c>
    </row>
    <row r="6822">
      <c r="A6822" s="2" t="s">
        <v>7926</v>
      </c>
      <c r="B6822" s="3" t="str">
        <f>IFERROR(__xludf.DUMMYFUNCTION("GOOGLETRANSLATE(A6822, ""ar"", ""bn"")"),"করের বিবেচনাধীন")</f>
        <v>করের বিবেচনাধীন</v>
      </c>
    </row>
    <row r="6823">
      <c r="A6823" s="2" t="s">
        <v>7927</v>
      </c>
      <c r="B6823" s="3" t="str">
        <f>IFERROR(__xludf.DUMMYFUNCTION("GOOGLETRANSLATE(A6823, ""ar"", ""bn"")"),"করের")</f>
        <v>করের</v>
      </c>
    </row>
    <row r="6824">
      <c r="A6824" s="2" t="s">
        <v>7928</v>
      </c>
      <c r="B6824" s="3" t="str">
        <f>IFERROR(__xludf.DUMMYFUNCTION("GOOGLETRANSLATE(A6824, ""ar"", ""bn"")"),"ট্যাক্সি")</f>
        <v>ট্যাক্সি</v>
      </c>
    </row>
    <row r="6825">
      <c r="A6825" s="2" t="s">
        <v>7928</v>
      </c>
      <c r="B6825" s="3" t="str">
        <f>IFERROR(__xludf.DUMMYFUNCTION("GOOGLETRANSLATE(A6825, ""ar"", ""bn"")"),"ট্যাক্সি")</f>
        <v>ট্যাক্সি</v>
      </c>
    </row>
    <row r="6826">
      <c r="A6826" s="2" t="s">
        <v>7929</v>
      </c>
      <c r="B6826" s="3" t="str">
        <f>IFERROR(__xludf.DUMMYFUNCTION("GOOGLETRANSLATE(A6826, ""ar"", ""bn"")"),"ট্যাক্সিডের্মিস্ট্")</f>
        <v>ট্যাক্সিডের্মিস্ট্</v>
      </c>
    </row>
    <row r="6827">
      <c r="A6827" s="2" t="s">
        <v>7930</v>
      </c>
      <c r="B6827" s="3" t="str">
        <f>IFERROR(__xludf.DUMMYFUNCTION("GOOGLETRANSLATE(A6827, ""ar"", ""bn"")"),"Embalmers")</f>
        <v>Embalmers</v>
      </c>
    </row>
    <row r="6828">
      <c r="A6828" s="2" t="s">
        <v>7931</v>
      </c>
      <c r="B6828" s="3" t="str">
        <f>IFERROR(__xludf.DUMMYFUNCTION("GOOGLETRANSLATE(A6828, ""ar"", ""bn"")"),"ট্যাক্সিডের্মি")</f>
        <v>ট্যাক্সিডের্মি</v>
      </c>
    </row>
    <row r="6829">
      <c r="A6829" s="2" t="s">
        <v>7932</v>
      </c>
      <c r="B6829" s="3" t="str">
        <f>IFERROR(__xludf.DUMMYFUNCTION("GOOGLETRANSLATE(A6829, ""ar"", ""bn"")"),"সরানো হয়েছে")</f>
        <v>সরানো হয়েছে</v>
      </c>
    </row>
    <row r="6830">
      <c r="A6830" s="2" t="s">
        <v>7933</v>
      </c>
      <c r="B6830" s="3" t="str">
        <f>IFERROR(__xludf.DUMMYFUNCTION("GOOGLETRANSLATE(A6830, ""ar"", ""bn"")"),"ট্যাক্সি")</f>
        <v>ট্যাক্সি</v>
      </c>
    </row>
    <row r="6831">
      <c r="A6831" s="2" t="s">
        <v>7934</v>
      </c>
      <c r="B6831" s="3" t="str">
        <f>IFERROR(__xludf.DUMMYFUNCTION("GOOGLETRANSLATE(A6831, ""ar"", ""bn"")"),"ট্যাক্সি দ্বারা পরিবহন")</f>
        <v>ট্যাক্সি দ্বারা পরিবহন</v>
      </c>
    </row>
    <row r="6832">
      <c r="A6832" s="2" t="s">
        <v>7935</v>
      </c>
      <c r="B6832" s="3" t="str">
        <f>IFERROR(__xludf.DUMMYFUNCTION("GOOGLETRANSLATE(A6832, ""ar"", ""bn"")"),"কর আরোপিত")</f>
        <v>কর আরোপিত</v>
      </c>
    </row>
    <row r="6833">
      <c r="A6833" s="2" t="s">
        <v>7936</v>
      </c>
      <c r="B6833" s="3" t="str">
        <f>IFERROR(__xludf.DUMMYFUNCTION("GOOGLETRANSLATE(A6833, ""ar"", ""bn"")"),"ট্যাক্সি")</f>
        <v>ট্যাক্সি</v>
      </c>
    </row>
    <row r="6834">
      <c r="A6834" s="2" t="s">
        <v>7937</v>
      </c>
      <c r="B6834" s="3" t="str">
        <f>IFERROR(__xludf.DUMMYFUNCTION("GOOGLETRANSLATE(A6834, ""ar"", ""bn"")"),"শ্রেণীকরণের সূত্র")</f>
        <v>শ্রেণীকরণের সূত্র</v>
      </c>
    </row>
    <row r="6835">
      <c r="A6835" s="2" t="s">
        <v>7937</v>
      </c>
      <c r="B6835" s="3" t="str">
        <f>IFERROR(__xludf.DUMMYFUNCTION("GOOGLETRANSLATE(A6835, ""ar"", ""bn"")"),"শ্রেণীকরণের সূত্র")</f>
        <v>শ্রেণীকরণের সূত্র</v>
      </c>
    </row>
    <row r="6836">
      <c r="A6836" s="2" t="s">
        <v>7019</v>
      </c>
      <c r="B6836" s="3" t="str">
        <f>IFERROR(__xludf.DUMMYFUNCTION("GOOGLETRANSLATE(A6836, ""ar"", ""bn"")"),"ধরন")</f>
        <v>ধরন</v>
      </c>
    </row>
    <row r="6837">
      <c r="A6837" s="2" t="s">
        <v>7938</v>
      </c>
      <c r="B6837" s="3" t="str">
        <f>IFERROR(__xludf.DUMMYFUNCTION("GOOGLETRANSLATE(A6837, ""ar"", ""bn"")"),"Nasnev স্পেশালিস্ট")</f>
        <v>Nasnev স্পেশালিস্ট</v>
      </c>
    </row>
    <row r="6838">
      <c r="A6838" s="2" t="s">
        <v>7939</v>
      </c>
      <c r="B6838" s="3" t="str">
        <f>IFERROR(__xludf.DUMMYFUNCTION("GOOGLETRANSLATE(A6838, ""ar"", ""bn"")"),"বিশেষজ্ঞরা শ্রেণী")</f>
        <v>বিশেষজ্ঞরা শ্রেণী</v>
      </c>
    </row>
    <row r="6839">
      <c r="A6839" s="2" t="s">
        <v>7940</v>
      </c>
      <c r="B6839" s="3" t="str">
        <f>IFERROR(__xludf.DUMMYFUNCTION("GOOGLETRANSLATE(A6839, ""ar"", ""bn"")"),"বিভাগ")</f>
        <v>বিভাগ</v>
      </c>
    </row>
    <row r="6840">
      <c r="A6840" s="2" t="s">
        <v>7017</v>
      </c>
      <c r="B6840" s="3" t="str">
        <f>IFERROR(__xludf.DUMMYFUNCTION("GOOGLETRANSLATE(A6840, ""ar"", ""bn"")"),"করদাতা")</f>
        <v>করদাতা</v>
      </c>
    </row>
    <row r="6841">
      <c r="A6841" s="2" t="s">
        <v>7018</v>
      </c>
      <c r="B6841" s="3" t="str">
        <f>IFERROR(__xludf.DUMMYFUNCTION("GOOGLETRANSLATE(A6841, ""ar"", ""bn"")"),"করদাতাদের")</f>
        <v>করদাতাদের</v>
      </c>
    </row>
    <row r="6842">
      <c r="A6842" s="2" t="s">
        <v>7941</v>
      </c>
      <c r="B6842" s="3" t="str">
        <f>IFERROR(__xludf.DUMMYFUNCTION("GOOGLETRANSLATE(A6842, ""ar"", ""bn"")"),"কর প্রদান করুন")</f>
        <v>কর প্রদান করুন</v>
      </c>
    </row>
    <row r="6843">
      <c r="A6843" s="2" t="s">
        <v>7265</v>
      </c>
      <c r="B6843" s="3" t="str">
        <f>IFERROR(__xludf.DUMMYFUNCTION("GOOGLETRANSLATE(A6843, ""ar"", ""bn"")"),"বিদারণ")</f>
        <v>বিদারণ</v>
      </c>
    </row>
    <row r="6844">
      <c r="A6844" s="2" t="s">
        <v>7942</v>
      </c>
      <c r="B6844" s="3" t="str">
        <f>IFERROR(__xludf.DUMMYFUNCTION("GOOGLETRANSLATE(A6844, ""ar"", ""bn"")"),"টিয়ার")</f>
        <v>টিয়ার</v>
      </c>
    </row>
    <row r="6845">
      <c r="A6845" s="2" t="s">
        <v>7943</v>
      </c>
      <c r="B6845" s="3" t="str">
        <f>IFERROR(__xludf.DUMMYFUNCTION("GOOGLETRANSLATE(A6845, ""ar"", ""bn"")"),"অশ্রু")</f>
        <v>অশ্রু</v>
      </c>
    </row>
    <row r="6846">
      <c r="A6846" s="2" t="s">
        <v>7944</v>
      </c>
      <c r="B6846" s="3" t="str">
        <f>IFERROR(__xludf.DUMMYFUNCTION("GOOGLETRANSLATE(A6846, ""ar"", ""bn"")"),"অশ্রুপূর্ণ")</f>
        <v>অশ্রুপূর্ণ</v>
      </c>
    </row>
    <row r="6847">
      <c r="A6847" s="2" t="s">
        <v>7945</v>
      </c>
      <c r="B6847" s="3" t="str">
        <f>IFERROR(__xludf.DUMMYFUNCTION("GOOGLETRANSLATE(A6847, ""ar"", ""bn"")"),"তার চোখ অশ্রু")</f>
        <v>তার চোখ অশ্রু</v>
      </c>
    </row>
    <row r="6848">
      <c r="A6848" s="2" t="s">
        <v>7946</v>
      </c>
      <c r="B6848" s="3" t="str">
        <f>IFERROR(__xludf.DUMMYFUNCTION("GOOGLETRANSLATE(A6848, ""ar"", ""bn"")"),"কান্না")</f>
        <v>কান্না</v>
      </c>
    </row>
    <row r="6849">
      <c r="A6849" s="2" t="s">
        <v>7947</v>
      </c>
      <c r="B6849" s="3" t="str">
        <f>IFERROR(__xludf.DUMMYFUNCTION("GOOGLETRANSLATE(A6849, ""ar"", ""bn"")"),"কাঁদুনে গ্যাস")</f>
        <v>কাঁদুনে গ্যাস</v>
      </c>
    </row>
    <row r="6850">
      <c r="A6850" s="2" t="s">
        <v>7206</v>
      </c>
      <c r="B6850" s="3" t="str">
        <f>IFERROR(__xludf.DUMMYFUNCTION("GOOGLETRANSLATE(A6850, ""ar"", ""bn"")"),"নিচে বিচ্ছিন্নকরণ")</f>
        <v>নিচে বিচ্ছিন্নকরণ</v>
      </c>
    </row>
    <row r="6851">
      <c r="A6851" s="2" t="s">
        <v>7948</v>
      </c>
      <c r="B6851" s="3" t="str">
        <f>IFERROR(__xludf.DUMMYFUNCTION("GOOGLETRANSLATE(A6851, ""ar"", ""bn"")"),"কান্না ছাড়াই")</f>
        <v>কান্না ছাড়াই</v>
      </c>
    </row>
    <row r="6852">
      <c r="A6852" s="2" t="s">
        <v>7949</v>
      </c>
      <c r="B6852" s="3" t="str">
        <f>IFERROR(__xludf.DUMMYFUNCTION("GOOGLETRANSLATE(A6852, ""ar"", ""bn"")"),"ক্যাফে")</f>
        <v>ক্যাফে</v>
      </c>
    </row>
    <row r="6853">
      <c r="A6853" s="2" t="s">
        <v>7950</v>
      </c>
      <c r="B6853" s="3" t="str">
        <f>IFERROR(__xludf.DUMMYFUNCTION("GOOGLETRANSLATE(A6853, ""ar"", ""bn"")"),"Tearooms")</f>
        <v>Tearooms</v>
      </c>
    </row>
    <row r="6854">
      <c r="A6854" s="2" t="s">
        <v>7951</v>
      </c>
      <c r="B6854" s="3" t="str">
        <f>IFERROR(__xludf.DUMMYFUNCTION("GOOGLETRANSLATE(A6854, ""ar"", ""bn"")"),"অশ্রু")</f>
        <v>অশ্রু</v>
      </c>
    </row>
    <row r="6855">
      <c r="A6855" s="2" t="s">
        <v>7951</v>
      </c>
      <c r="B6855" s="3" t="str">
        <f>IFERROR(__xludf.DUMMYFUNCTION("GOOGLETRANSLATE(A6855, ""ar"", ""bn"")"),"অশ্রু")</f>
        <v>অশ্রু</v>
      </c>
    </row>
    <row r="6856">
      <c r="A6856" s="2" t="s">
        <v>7952</v>
      </c>
      <c r="B6856" s="3" t="str">
        <f>IFERROR(__xludf.DUMMYFUNCTION("GOOGLETRANSLATE(A6856, ""ar"", ""bn"")"),"আঁচড়ান")</f>
        <v>আঁচড়ান</v>
      </c>
    </row>
    <row r="6857">
      <c r="A6857" s="2" t="s">
        <v>7953</v>
      </c>
      <c r="B6857" s="3" t="str">
        <f>IFERROR(__xludf.DUMMYFUNCTION("GOOGLETRANSLATE(A6857, ""ar"", ""bn"")"),"teased")</f>
        <v>teased</v>
      </c>
    </row>
    <row r="6858">
      <c r="A6858" s="2" t="s">
        <v>7954</v>
      </c>
      <c r="B6858" s="3" t="str">
        <f>IFERROR(__xludf.DUMMYFUNCTION("GOOGLETRANSLATE(A6858, ""ar"", ""bn"")"),"মেজাজ")</f>
        <v>মেজাজ</v>
      </c>
    </row>
    <row r="6859">
      <c r="A6859" s="2" t="s">
        <v>7955</v>
      </c>
      <c r="B6859" s="3" t="str">
        <f>IFERROR(__xludf.DUMMYFUNCTION("GOOGLETRANSLATE(A6859, ""ar"", ""bn"")"),"টিজাররা")</f>
        <v>টিজাররা</v>
      </c>
    </row>
    <row r="6860">
      <c r="A6860" s="2" t="s">
        <v>7956</v>
      </c>
      <c r="B6860" s="3" t="str">
        <f>IFERROR(__xludf.DUMMYFUNCTION("GOOGLETRANSLATE(A6860, ""ar"", ""bn"")"),"উত্থাপন")</f>
        <v>উত্থাপন</v>
      </c>
    </row>
    <row r="6861">
      <c r="A6861" s="2" t="s">
        <v>3764</v>
      </c>
      <c r="B6861" s="3" t="str">
        <f>IFERROR(__xludf.DUMMYFUNCTION("GOOGLETRANSLATE(A6861, ""ar"", ""bn"")"),"Boring")</f>
        <v>Boring</v>
      </c>
    </row>
    <row r="6862">
      <c r="A6862" s="2" t="s">
        <v>7957</v>
      </c>
      <c r="B6862" s="3" t="str">
        <f>IFERROR(__xludf.DUMMYFUNCTION("GOOGLETRANSLATE(A6862, ""ar"", ""bn"")"),"দুরূহ ও সময় সাপেক্ষ")</f>
        <v>দুরূহ ও সময় সাপেক্ষ</v>
      </c>
    </row>
    <row r="6863">
      <c r="A6863" s="2" t="s">
        <v>7958</v>
      </c>
      <c r="B6863" s="3" t="str">
        <f>IFERROR(__xludf.DUMMYFUNCTION("GOOGLETRANSLATE(A6863, ""ar"", ""bn"")"),"Tediousness")</f>
        <v>Tediousness</v>
      </c>
    </row>
    <row r="6864">
      <c r="A6864" s="2" t="s">
        <v>7959</v>
      </c>
      <c r="B6864" s="3" t="str">
        <f>IFERROR(__xludf.DUMMYFUNCTION("GOOGLETRANSLATE(A6864, ""ar"", ""bn"")"),"মেজাজ")</f>
        <v>মেজাজ</v>
      </c>
    </row>
    <row r="6865">
      <c r="A6865" s="2" t="s">
        <v>7960</v>
      </c>
      <c r="B6865" s="3" t="str">
        <f>IFERROR(__xludf.DUMMYFUNCTION("GOOGLETRANSLATE(A6865, ""ar"", ""bn"")"),"তাপমাত্রা")</f>
        <v>তাপমাত্রা</v>
      </c>
    </row>
    <row r="6866">
      <c r="A6866" s="2" t="s">
        <v>7959</v>
      </c>
      <c r="B6866" s="3" t="str">
        <f>IFERROR(__xludf.DUMMYFUNCTION("GOOGLETRANSLATE(A6866, ""ar"", ""bn"")"),"মেজাজ")</f>
        <v>মেজাজ</v>
      </c>
    </row>
    <row r="6867">
      <c r="A6867" s="2" t="s">
        <v>7961</v>
      </c>
      <c r="B6867" s="3" t="str">
        <f>IFERROR(__xludf.DUMMYFUNCTION("GOOGLETRANSLATE(A6867, ""ar"", ""bn"")"),"মেজাজী")</f>
        <v>মেজাজী</v>
      </c>
    </row>
    <row r="6868">
      <c r="A6868" s="2" t="s">
        <v>6554</v>
      </c>
      <c r="B6868" s="3" t="str">
        <f>IFERROR(__xludf.DUMMYFUNCTION("GOOGLETRANSLATE(A6868, ""ar"", ""bn"")"),"মেজাজী")</f>
        <v>মেজাজী</v>
      </c>
    </row>
    <row r="6869">
      <c r="A6869" s="2" t="s">
        <v>7962</v>
      </c>
      <c r="B6869" s="3" t="str">
        <f>IFERROR(__xludf.DUMMYFUNCTION("GOOGLETRANSLATE(A6869, ""ar"", ""bn"")"),"temperaments")</f>
        <v>temperaments</v>
      </c>
    </row>
    <row r="6870">
      <c r="A6870" s="2" t="s">
        <v>7963</v>
      </c>
      <c r="B6870" s="3" t="str">
        <f>IFERROR(__xludf.DUMMYFUNCTION("GOOGLETRANSLATE(A6870, ""ar"", ""bn"")"),"সন্ন্যাস")</f>
        <v>সন্ন্যাস</v>
      </c>
    </row>
    <row r="6871">
      <c r="A6871" s="2" t="s">
        <v>7964</v>
      </c>
      <c r="B6871" s="3" t="str">
        <f>IFERROR(__xludf.DUMMYFUNCTION("GOOGLETRANSLATE(A6871, ""ar"", ""bn"")"),"মধ্যপন্থী")</f>
        <v>মধ্যপন্থী</v>
      </c>
    </row>
    <row r="6872">
      <c r="A6872" s="2" t="s">
        <v>7965</v>
      </c>
      <c r="B6872" s="3" t="str">
        <f>IFERROR(__xludf.DUMMYFUNCTION("GOOGLETRANSLATE(A6872, ""ar"", ""bn"")"),"পরিমিতরূপে")</f>
        <v>পরিমিতরূপে</v>
      </c>
    </row>
    <row r="6873">
      <c r="A6873" s="2" t="s">
        <v>7966</v>
      </c>
      <c r="B6873" s="3" t="str">
        <f>IFERROR(__xludf.DUMMYFUNCTION("GOOGLETRANSLATE(A6873, ""ar"", ""bn"")"),"তাপমাত্রা")</f>
        <v>তাপমাত্রা</v>
      </c>
    </row>
    <row r="6874">
      <c r="A6874" s="2" t="s">
        <v>7960</v>
      </c>
      <c r="B6874" s="3" t="str">
        <f>IFERROR(__xludf.DUMMYFUNCTION("GOOGLETRANSLATE(A6874, ""ar"", ""bn"")"),"তাপমাত্রা")</f>
        <v>তাপমাত্রা</v>
      </c>
    </row>
    <row r="6875">
      <c r="A6875" s="2" t="s">
        <v>5051</v>
      </c>
      <c r="B6875" s="3" t="str">
        <f>IFERROR(__xludf.DUMMYFUNCTION("GOOGLETRANSLATE(A6875, ""ar"", ""bn"")"),"পোক্ত")</f>
        <v>পোক্ত</v>
      </c>
    </row>
    <row r="6876">
      <c r="A6876" s="2" t="s">
        <v>7967</v>
      </c>
      <c r="B6876" s="3" t="str">
        <f>IFERROR(__xludf.DUMMYFUNCTION("GOOGLETRANSLATE(A6876, ""ar"", ""bn"")"),"শান্ত")</f>
        <v>শান্ত</v>
      </c>
    </row>
    <row r="6877">
      <c r="A6877" s="2" t="s">
        <v>7968</v>
      </c>
      <c r="B6877" s="3" t="str">
        <f>IFERROR(__xludf.DUMMYFUNCTION("GOOGLETRANSLATE(A6877, ""ar"", ""bn"")"),"রাগ")</f>
        <v>রাগ</v>
      </c>
    </row>
    <row r="6878">
      <c r="A6878" s="2" t="s">
        <v>7968</v>
      </c>
      <c r="B6878" s="3" t="str">
        <f>IFERROR(__xludf.DUMMYFUNCTION("GOOGLETRANSLATE(A6878, ""ar"", ""bn"")"),"রাগ")</f>
        <v>রাগ</v>
      </c>
    </row>
    <row r="6879">
      <c r="A6879" s="2" t="s">
        <v>7969</v>
      </c>
      <c r="B6879" s="3" t="str">
        <f>IFERROR(__xludf.DUMMYFUNCTION("GOOGLETRANSLATE(A6879, ""ar"", ""bn"")"),"ঘূর্ণিঝড়")</f>
        <v>ঘূর্ণিঝড়</v>
      </c>
    </row>
    <row r="6880">
      <c r="A6880" s="2" t="s">
        <v>7794</v>
      </c>
      <c r="B6880" s="3" t="str">
        <f>IFERROR(__xludf.DUMMYFUNCTION("GOOGLETRANSLATE(A6880, ""ar"", ""bn"")"),"ঝড়")</f>
        <v>ঝড়</v>
      </c>
    </row>
    <row r="6881">
      <c r="A6881" s="2" t="s">
        <v>3734</v>
      </c>
      <c r="B6881" s="3" t="str">
        <f>IFERROR(__xludf.DUMMYFUNCTION("GOOGLETRANSLATE(A6881, ""ar"", ""bn"")"),"ঝড়ো")</f>
        <v>ঝড়ো</v>
      </c>
    </row>
    <row r="6882">
      <c r="A6882" s="2" t="s">
        <v>7970</v>
      </c>
      <c r="B6882" s="3" t="str">
        <f>IFERROR(__xludf.DUMMYFUNCTION("GOOGLETRANSLATE(A6882, ""ar"", ""bn"")"),"অস্থায়ীভাবে")</f>
        <v>অস্থায়ীভাবে</v>
      </c>
    </row>
    <row r="6883">
      <c r="A6883" s="2" t="s">
        <v>3509</v>
      </c>
      <c r="B6883" s="3" t="str">
        <f>IFERROR(__xludf.DUMMYFUNCTION("GOOGLETRANSLATE(A6883, ""ar"", ""bn"")"),"টোপ")</f>
        <v>টোপ</v>
      </c>
    </row>
    <row r="6884">
      <c r="A6884" s="2" t="s">
        <v>7971</v>
      </c>
      <c r="B6884" s="3" t="str">
        <f>IFERROR(__xludf.DUMMYFUNCTION("GOOGLETRANSLATE(A6884, ""ar"", ""bn"")"),"প্রলোভন")</f>
        <v>প্রলোভন</v>
      </c>
    </row>
    <row r="6885">
      <c r="A6885" s="2" t="s">
        <v>7799</v>
      </c>
      <c r="B6885" s="3" t="str">
        <f>IFERROR(__xludf.DUMMYFUNCTION("GOOGLETRANSLATE(A6885, ""ar"", ""bn"")"),"চিন্তা")</f>
        <v>চিন্তা</v>
      </c>
    </row>
    <row r="6886">
      <c r="A6886" s="2" t="s">
        <v>7972</v>
      </c>
      <c r="B6886" s="3" t="str">
        <f>IFERROR(__xludf.DUMMYFUNCTION("GOOGLETRANSLATE(A6886, ""ar"", ""bn"")"),"সমস্যায় জর্জরিত")</f>
        <v>সমস্যায় জর্জরিত</v>
      </c>
    </row>
    <row r="6887">
      <c r="A6887" s="2" t="s">
        <v>7799</v>
      </c>
      <c r="B6887" s="3" t="str">
        <f>IFERROR(__xludf.DUMMYFUNCTION("GOOGLETRANSLATE(A6887, ""ar"", ""bn"")"),"চিন্তা")</f>
        <v>চিন্তা</v>
      </c>
    </row>
    <row r="6888">
      <c r="A6888" s="2" t="s">
        <v>7973</v>
      </c>
      <c r="B6888" s="3" t="str">
        <f>IFERROR(__xludf.DUMMYFUNCTION("GOOGLETRANSLATE(A6888, ""ar"", ""bn"")"),"আরো ক্রিয়ার কাল")</f>
        <v>আরো ক্রিয়ার কাল</v>
      </c>
    </row>
    <row r="6889">
      <c r="A6889" s="2" t="s">
        <v>7974</v>
      </c>
      <c r="B6889" s="3" t="str">
        <f>IFERROR(__xludf.DUMMYFUNCTION("GOOGLETRANSLATE(A6889, ""ar"", ""bn"")"),"কাল")</f>
        <v>কাল</v>
      </c>
    </row>
    <row r="6890">
      <c r="A6890" s="2" t="s">
        <v>7975</v>
      </c>
      <c r="B6890" s="3" t="str">
        <f>IFERROR(__xludf.DUMMYFUNCTION("GOOGLETRANSLATE(A6890, ""ar"", ""bn"")"),"চিন্তা")</f>
        <v>চিন্তা</v>
      </c>
    </row>
    <row r="6891">
      <c r="A6891" s="2" t="s">
        <v>7976</v>
      </c>
      <c r="B6891" s="3" t="str">
        <f>IFERROR(__xludf.DUMMYFUNCTION("GOOGLETRANSLATE(A6891, ""ar"", ""bn"")"),"straining")</f>
        <v>straining</v>
      </c>
    </row>
    <row r="6892">
      <c r="A6892" s="2" t="s">
        <v>7799</v>
      </c>
      <c r="B6892" s="3" t="str">
        <f>IFERROR(__xludf.DUMMYFUNCTION("GOOGLETRANSLATE(A6892, ""ar"", ""bn"")"),"চিন্তা")</f>
        <v>চিন্তা</v>
      </c>
    </row>
    <row r="6893">
      <c r="A6893" s="2" t="s">
        <v>7977</v>
      </c>
      <c r="B6893" s="3" t="str">
        <f>IFERROR(__xludf.DUMMYFUNCTION("GOOGLETRANSLATE(A6893, ""ar"", ""bn"")"),"শারীরিক স্থিতিস্থাপকতা")</f>
        <v>শারীরিক স্থিতিস্থাপকতা</v>
      </c>
    </row>
    <row r="6894">
      <c r="A6894" s="2" t="s">
        <v>7978</v>
      </c>
      <c r="B6894" s="3" t="str">
        <f>IFERROR(__xludf.DUMMYFUNCTION("GOOGLETRANSLATE(A6894, ""ar"", ""bn"")"),"সঙ্কট")</f>
        <v>সঙ্কট</v>
      </c>
    </row>
    <row r="6895">
      <c r="A6895" s="2" t="s">
        <v>7979</v>
      </c>
      <c r="B6895" s="3" t="str">
        <f>IFERROR(__xludf.DUMMYFUNCTION("GOOGLETRANSLATE(A6895, ""ar"", ""bn"")"),"উত্তেজনা ছড়িয়ে")</f>
        <v>উত্তেজনা ছড়িয়ে</v>
      </c>
    </row>
    <row r="6896">
      <c r="A6896" s="2" t="s">
        <v>4777</v>
      </c>
      <c r="B6896" s="3" t="str">
        <f>IFERROR(__xludf.DUMMYFUNCTION("GOOGLETRANSLATE(A6896, ""ar"", ""bn"")"),"অসাধারণ")</f>
        <v>অসাধারণ</v>
      </c>
    </row>
    <row r="6897">
      <c r="A6897" s="2" t="s">
        <v>4777</v>
      </c>
      <c r="B6897" s="3" t="str">
        <f>IFERROR(__xludf.DUMMYFUNCTION("GOOGLETRANSLATE(A6897, ""ar"", ""bn"")"),"অসাধারণ")</f>
        <v>অসাধারণ</v>
      </c>
    </row>
    <row r="6898">
      <c r="A6898" s="2" t="s">
        <v>3301</v>
      </c>
      <c r="B6898" s="3" t="str">
        <f>IFERROR(__xludf.DUMMYFUNCTION("GOOGLETRANSLATE(A6898, ""ar"", ""bn"")"),"আতঙ্কগ্রস্ত")</f>
        <v>আতঙ্কগ্রস্ত</v>
      </c>
    </row>
    <row r="6899">
      <c r="A6899" s="2" t="s">
        <v>7980</v>
      </c>
      <c r="B6899" s="3" t="str">
        <f>IFERROR(__xludf.DUMMYFUNCTION("GOOGLETRANSLATE(A6899, ""ar"", ""bn"")"),"terrifies")</f>
        <v>terrifies</v>
      </c>
    </row>
    <row r="6900">
      <c r="A6900" s="2" t="s">
        <v>7981</v>
      </c>
      <c r="B6900" s="3" t="str">
        <f>IFERROR(__xludf.DUMMYFUNCTION("GOOGLETRANSLATE(A6900, ""ar"", ""bn"")"),"আতঙ্কিত করা")</f>
        <v>আতঙ্কিত করা</v>
      </c>
    </row>
    <row r="6901">
      <c r="A6901" s="2" t="s">
        <v>5822</v>
      </c>
      <c r="B6901" s="3" t="str">
        <f>IFERROR(__xludf.DUMMYFUNCTION("GOOGLETRANSLATE(A6901, ""ar"", ""bn"")"),"আতঙ্কজনক")</f>
        <v>আতঙ্কজনক</v>
      </c>
    </row>
    <row r="6902">
      <c r="A6902" s="2" t="s">
        <v>3469</v>
      </c>
      <c r="B6902" s="3" t="str">
        <f>IFERROR(__xludf.DUMMYFUNCTION("GOOGLETRANSLATE(A6902, ""ar"", ""bn"")"),"ভয়ের")</f>
        <v>ভয়ের</v>
      </c>
    </row>
    <row r="6903">
      <c r="A6903" s="2" t="s">
        <v>5822</v>
      </c>
      <c r="B6903" s="3" t="str">
        <f>IFERROR(__xludf.DUMMYFUNCTION("GOOGLETRANSLATE(A6903, ""ar"", ""bn"")"),"আতঙ্কজনক")</f>
        <v>আতঙ্কজনক</v>
      </c>
    </row>
    <row r="6904">
      <c r="A6904" s="2" t="s">
        <v>3469</v>
      </c>
      <c r="B6904" s="3" t="str">
        <f>IFERROR(__xludf.DUMMYFUNCTION("GOOGLETRANSLATE(A6904, ""ar"", ""bn"")"),"ভয়ের")</f>
        <v>ভয়ের</v>
      </c>
    </row>
    <row r="6905">
      <c r="A6905" s="2" t="s">
        <v>5477</v>
      </c>
      <c r="B6905" s="3" t="str">
        <f>IFERROR(__xludf.DUMMYFUNCTION("GOOGLETRANSLATE(A6905, ""ar"", ""bn"")"),"ভয়")</f>
        <v>ভয়</v>
      </c>
    </row>
    <row r="6906">
      <c r="A6906" s="2" t="s">
        <v>2462</v>
      </c>
      <c r="B6906" s="3" t="str">
        <f>IFERROR(__xludf.DUMMYFUNCTION("GOOGLETRANSLATE(A6906, ""ar"", ""bn"")"),"সন্ত্রাসবাদ")</f>
        <v>সন্ত্রাসবাদ</v>
      </c>
    </row>
    <row r="6907">
      <c r="A6907" s="2" t="s">
        <v>5825</v>
      </c>
      <c r="B6907" s="3" t="str">
        <f>IFERROR(__xludf.DUMMYFUNCTION("GOOGLETRANSLATE(A6907, ""ar"", ""bn"")"),"আতঙ্কিত করা")</f>
        <v>আতঙ্কিত করা</v>
      </c>
    </row>
    <row r="6908">
      <c r="A6908" s="2" t="s">
        <v>2462</v>
      </c>
      <c r="B6908" s="3" t="str">
        <f>IFERROR(__xludf.DUMMYFUNCTION("GOOGLETRANSLATE(A6908, ""ar"", ""bn"")"),"সন্ত্রাসবাদ")</f>
        <v>সন্ত্রাসবাদ</v>
      </c>
    </row>
    <row r="6909">
      <c r="A6909" s="2" t="s">
        <v>2462</v>
      </c>
      <c r="B6909" s="3" t="str">
        <f>IFERROR(__xludf.DUMMYFUNCTION("GOOGLETRANSLATE(A6909, ""ar"", ""bn"")"),"সন্ত্রাসবাদ")</f>
        <v>সন্ত্রাসবাদ</v>
      </c>
    </row>
    <row r="6910">
      <c r="A6910" s="2" t="s">
        <v>2463</v>
      </c>
      <c r="B6910" s="3" t="str">
        <f>IFERROR(__xludf.DUMMYFUNCTION("GOOGLETRANSLATE(A6910, ""ar"", ""bn"")"),"সন্ত্রাসবাদী")</f>
        <v>সন্ত্রাসবাদী</v>
      </c>
    </row>
    <row r="6911">
      <c r="A6911" s="2" t="s">
        <v>7982</v>
      </c>
      <c r="B6911" s="3" t="str">
        <f>IFERROR(__xludf.DUMMYFUNCTION("GOOGLETRANSLATE(A6911, ""ar"", ""bn"")"),"টেররিস্টস")</f>
        <v>টেররিস্টস</v>
      </c>
    </row>
    <row r="6912">
      <c r="A6912" s="2" t="s">
        <v>7983</v>
      </c>
      <c r="B6912" s="3" t="str">
        <f>IFERROR(__xludf.DUMMYFUNCTION("GOOGLETRANSLATE(A6912, ""ar"", ""bn"")"),"ভয়ঙ্করতা")</f>
        <v>ভয়ঙ্করতা</v>
      </c>
    </row>
    <row r="6913">
      <c r="A6913" s="2" t="s">
        <v>5477</v>
      </c>
      <c r="B6913" s="3" t="str">
        <f>IFERROR(__xludf.DUMMYFUNCTION("GOOGLETRANSLATE(A6913, ""ar"", ""bn"")"),"ভয়")</f>
        <v>ভয়</v>
      </c>
    </row>
    <row r="6914">
      <c r="A6914" s="2" t="s">
        <v>2462</v>
      </c>
      <c r="B6914" s="3" t="str">
        <f>IFERROR(__xludf.DUMMYFUNCTION("GOOGLETRANSLATE(A6914, ""ar"", ""bn"")"),"সন্ত্রাসবাদ")</f>
        <v>সন্ত্রাসবাদ</v>
      </c>
    </row>
    <row r="6915">
      <c r="A6915" s="2" t="s">
        <v>5825</v>
      </c>
      <c r="B6915" s="3" t="str">
        <f>IFERROR(__xludf.DUMMYFUNCTION("GOOGLETRANSLATE(A6915, ""ar"", ""bn"")"),"আতঙ্কিত করা")</f>
        <v>আতঙ্কিত করা</v>
      </c>
    </row>
    <row r="6916">
      <c r="A6916" s="2" t="s">
        <v>2462</v>
      </c>
      <c r="B6916" s="3" t="str">
        <f>IFERROR(__xludf.DUMMYFUNCTION("GOOGLETRANSLATE(A6916, ""ar"", ""bn"")"),"সন্ত্রাসবাদ")</f>
        <v>সন্ত্রাসবাদ</v>
      </c>
    </row>
    <row r="6917">
      <c r="A6917" s="2" t="s">
        <v>2462</v>
      </c>
      <c r="B6917" s="3" t="str">
        <f>IFERROR(__xludf.DUMMYFUNCTION("GOOGLETRANSLATE(A6917, ""ar"", ""bn"")"),"সন্ত্রাসবাদ")</f>
        <v>সন্ত্রাসবাদ</v>
      </c>
    </row>
    <row r="6918">
      <c r="A6918" s="2" t="s">
        <v>2463</v>
      </c>
      <c r="B6918" s="3" t="str">
        <f>IFERROR(__xludf.DUMMYFUNCTION("GOOGLETRANSLATE(A6918, ""ar"", ""bn"")"),"সন্ত্রাসবাদী")</f>
        <v>সন্ত্রাসবাদী</v>
      </c>
    </row>
    <row r="6919">
      <c r="A6919" s="2" t="s">
        <v>7982</v>
      </c>
      <c r="B6919" s="3" t="str">
        <f>IFERROR(__xludf.DUMMYFUNCTION("GOOGLETRANSLATE(A6919, ""ar"", ""bn"")"),"টেররিস্টস")</f>
        <v>টেররিস্টস</v>
      </c>
    </row>
    <row r="6920">
      <c r="A6920" s="2" t="s">
        <v>7983</v>
      </c>
      <c r="B6920" s="3" t="str">
        <f>IFERROR(__xludf.DUMMYFUNCTION("GOOGLETRANSLATE(A6920, ""ar"", ""bn"")"),"ভয়ঙ্করতা")</f>
        <v>ভয়ঙ্করতা</v>
      </c>
    </row>
    <row r="6921">
      <c r="A6921" s="2" t="s">
        <v>2462</v>
      </c>
      <c r="B6921" s="3" t="str">
        <f>IFERROR(__xludf.DUMMYFUNCTION("GOOGLETRANSLATE(A6921, ""ar"", ""bn"")"),"সন্ত্রাসবাদ")</f>
        <v>সন্ত্রাসবাদ</v>
      </c>
    </row>
    <row r="6922">
      <c r="A6922" s="2" t="s">
        <v>5825</v>
      </c>
      <c r="B6922" s="3" t="str">
        <f>IFERROR(__xludf.DUMMYFUNCTION("GOOGLETRANSLATE(A6922, ""ar"", ""bn"")"),"আতঙ্কিত করা")</f>
        <v>আতঙ্কিত করা</v>
      </c>
    </row>
    <row r="6923">
      <c r="A6923" s="2" t="s">
        <v>2462</v>
      </c>
      <c r="B6923" s="3" t="str">
        <f>IFERROR(__xludf.DUMMYFUNCTION("GOOGLETRANSLATE(A6923, ""ar"", ""bn"")"),"সন্ত্রাসবাদ")</f>
        <v>সন্ত্রাসবাদ</v>
      </c>
    </row>
    <row r="6924">
      <c r="A6924" s="2" t="s">
        <v>2462</v>
      </c>
      <c r="B6924" s="3" t="str">
        <f>IFERROR(__xludf.DUMMYFUNCTION("GOOGLETRANSLATE(A6924, ""ar"", ""bn"")"),"সন্ত্রাসবাদ")</f>
        <v>সন্ত্রাসবাদ</v>
      </c>
    </row>
    <row r="6925">
      <c r="A6925" s="2" t="s">
        <v>2463</v>
      </c>
      <c r="B6925" s="3" t="str">
        <f>IFERROR(__xludf.DUMMYFUNCTION("GOOGLETRANSLATE(A6925, ""ar"", ""bn"")"),"সন্ত্রাসবাদী")</f>
        <v>সন্ত্রাসবাদী</v>
      </c>
    </row>
    <row r="6926">
      <c r="A6926" s="2" t="s">
        <v>7982</v>
      </c>
      <c r="B6926" s="3" t="str">
        <f>IFERROR(__xludf.DUMMYFUNCTION("GOOGLETRANSLATE(A6926, ""ar"", ""bn"")"),"টেররিস্টস")</f>
        <v>টেররিস্টস</v>
      </c>
    </row>
    <row r="6927">
      <c r="A6927" s="2" t="s">
        <v>7221</v>
      </c>
      <c r="B6927" s="3" t="str">
        <f>IFERROR(__xludf.DUMMYFUNCTION("GOOGLETRANSLATE(A6927, ""ar"", ""bn"")"),"চুরি")</f>
        <v>চুরি</v>
      </c>
    </row>
    <row r="6928">
      <c r="A6928" s="2" t="s">
        <v>7219</v>
      </c>
      <c r="B6928" s="3" t="str">
        <f>IFERROR(__xludf.DUMMYFUNCTION("GOOGLETRANSLATE(A6928, ""ar"", ""bn"")"),"চুরি")</f>
        <v>চুরি</v>
      </c>
    </row>
    <row r="6929">
      <c r="A6929" s="2" t="s">
        <v>3876</v>
      </c>
      <c r="B6929" s="3" t="str">
        <f>IFERROR(__xludf.DUMMYFUNCTION("GOOGLETRANSLATE(A6929, ""ar"", ""bn"")"),"চোর")</f>
        <v>চোর</v>
      </c>
    </row>
    <row r="6930">
      <c r="A6930" s="2" t="s">
        <v>7984</v>
      </c>
      <c r="B6930" s="3" t="str">
        <f>IFERROR(__xludf.DUMMYFUNCTION("GOOGLETRANSLATE(A6930, ""ar"", ""bn"")"),"সে চুরি করেছে")</f>
        <v>সে চুরি করেছে</v>
      </c>
    </row>
    <row r="6931">
      <c r="A6931" s="2" t="s">
        <v>7221</v>
      </c>
      <c r="B6931" s="3" t="str">
        <f>IFERROR(__xludf.DUMMYFUNCTION("GOOGLETRANSLATE(A6931, ""ar"", ""bn"")"),"চুরি")</f>
        <v>চুরি</v>
      </c>
    </row>
    <row r="6932">
      <c r="A6932" s="2" t="s">
        <v>3878</v>
      </c>
      <c r="B6932" s="3" t="str">
        <f>IFERROR(__xludf.DUMMYFUNCTION("GOOGLETRANSLATE(A6932, ""ar"", ""bn"")"),"চোরগুলো")</f>
        <v>চোরগুলো</v>
      </c>
    </row>
    <row r="6933">
      <c r="A6933" s="2" t="s">
        <v>7985</v>
      </c>
      <c r="B6933" s="3" t="str">
        <f>IFERROR(__xludf.DUMMYFUNCTION("GOOGLETRANSLATE(A6933, ""ar"", ""bn"")"),"তৃষ্ণা")</f>
        <v>তৃষ্ণা</v>
      </c>
    </row>
    <row r="6934">
      <c r="A6934" s="2" t="s">
        <v>7985</v>
      </c>
      <c r="B6934" s="3" t="str">
        <f>IFERROR(__xludf.DUMMYFUNCTION("GOOGLETRANSLATE(A6934, ""ar"", ""bn"")"),"তৃষ্ণা")</f>
        <v>তৃষ্ণা</v>
      </c>
    </row>
    <row r="6935">
      <c r="A6935" s="2" t="s">
        <v>7986</v>
      </c>
      <c r="B6935" s="3" t="str">
        <f>IFERROR(__xludf.DUMMYFUNCTION("GOOGLETRANSLATE(A6935, ""ar"", ""bn"")"),"Thirstier")</f>
        <v>Thirstier</v>
      </c>
    </row>
    <row r="6936">
      <c r="A6936" s="2" t="s">
        <v>5837</v>
      </c>
      <c r="B6936" s="3" t="str">
        <f>IFERROR(__xludf.DUMMYFUNCTION("GOOGLETRANSLATE(A6936, ""ar"", ""bn"")"),"তৃষ্ণার্ত")</f>
        <v>তৃষ্ণার্ত</v>
      </c>
    </row>
    <row r="6937">
      <c r="A6937" s="2" t="s">
        <v>7985</v>
      </c>
      <c r="B6937" s="3" t="str">
        <f>IFERROR(__xludf.DUMMYFUNCTION("GOOGLETRANSLATE(A6937, ""ar"", ""bn"")"),"তৃষ্ণা")</f>
        <v>তৃষ্ণা</v>
      </c>
    </row>
    <row r="6938">
      <c r="A6938" s="2" t="s">
        <v>5837</v>
      </c>
      <c r="B6938" s="3" t="str">
        <f>IFERROR(__xludf.DUMMYFUNCTION("GOOGLETRANSLATE(A6938, ""ar"", ""bn"")"),"তৃষ্ণার্ত")</f>
        <v>তৃষ্ণার্ত</v>
      </c>
    </row>
    <row r="6939">
      <c r="A6939" s="2" t="s">
        <v>5837</v>
      </c>
      <c r="B6939" s="3" t="str">
        <f>IFERROR(__xludf.DUMMYFUNCTION("GOOGLETRANSLATE(A6939, ""ar"", ""bn"")"),"তৃষ্ণার্ত")</f>
        <v>তৃষ্ণার্ত</v>
      </c>
    </row>
    <row r="6940">
      <c r="A6940" s="2" t="s">
        <v>6889</v>
      </c>
      <c r="B6940" s="3" t="str">
        <f>IFERROR(__xludf.DUMMYFUNCTION("GOOGLETRANSLATE(A6940, ""ar"", ""bn"")"),"কাঁটা")</f>
        <v>কাঁটা</v>
      </c>
    </row>
    <row r="6941">
      <c r="A6941" s="2" t="s">
        <v>7987</v>
      </c>
      <c r="B6941" s="3" t="str">
        <f>IFERROR(__xludf.DUMMYFUNCTION("GOOGLETRANSLATE(A6941, ""ar"", ""bn"")"),"চপল")</f>
        <v>চপল</v>
      </c>
    </row>
    <row r="6942">
      <c r="A6942" s="2" t="s">
        <v>7988</v>
      </c>
      <c r="B6942" s="3" t="str">
        <f>IFERROR(__xludf.DUMMYFUNCTION("GOOGLETRANSLATE(A6942, ""ar"", ""bn"")"),"চিন্তা")</f>
        <v>চিন্তা</v>
      </c>
    </row>
    <row r="6943">
      <c r="A6943" s="2" t="s">
        <v>7989</v>
      </c>
      <c r="B6943" s="3" t="str">
        <f>IFERROR(__xludf.DUMMYFUNCTION("GOOGLETRANSLATE(A6943, ""ar"", ""bn"")"),"হঠকারিতা")</f>
        <v>হঠকারিতা</v>
      </c>
    </row>
    <row r="6944">
      <c r="A6944" s="2" t="s">
        <v>7990</v>
      </c>
      <c r="B6944" s="3" t="str">
        <f>IFERROR(__xludf.DUMMYFUNCTION("GOOGLETRANSLATE(A6944, ""ar"", ""bn"")"),"চামড়া")</f>
        <v>চামড়া</v>
      </c>
    </row>
    <row r="6945">
      <c r="A6945" s="2" t="s">
        <v>4344</v>
      </c>
      <c r="B6945" s="3" t="str">
        <f>IFERROR(__xludf.DUMMYFUNCTION("GOOGLETRANSLATE(A6945, ""ar"", ""bn"")"),"পিষা")</f>
        <v>পিষা</v>
      </c>
    </row>
    <row r="6946">
      <c r="A6946" s="2" t="s">
        <v>7991</v>
      </c>
      <c r="B6946" s="3" t="str">
        <f>IFERROR(__xludf.DUMMYFUNCTION("GOOGLETRANSLATE(A6946, ""ar"", ""bn"")"),"অধ্যয়নরত")</f>
        <v>অধ্যয়নরত</v>
      </c>
    </row>
    <row r="6947">
      <c r="A6947" s="2" t="s">
        <v>7992</v>
      </c>
      <c r="B6947" s="3" t="str">
        <f>IFERROR(__xludf.DUMMYFUNCTION("GOOGLETRANSLATE(A6947, ""ar"", ""bn"")"),"দুম্ শব্দে আঘাত")</f>
        <v>দুম্ শব্দে আঘাত</v>
      </c>
    </row>
    <row r="6948">
      <c r="A6948" s="2" t="s">
        <v>647</v>
      </c>
      <c r="B6948" s="3" t="str">
        <f>IFERROR(__xludf.DUMMYFUNCTION("GOOGLETRANSLATE(A6948, ""ar"", ""bn"")"),"পরাজয়")</f>
        <v>পরাজয়</v>
      </c>
    </row>
    <row r="6949">
      <c r="A6949" s="2" t="s">
        <v>7993</v>
      </c>
      <c r="B6949" s="3" t="str">
        <f>IFERROR(__xludf.DUMMYFUNCTION("GOOGLETRANSLATE(A6949, ""ar"", ""bn"")"),"হুমকি")</f>
        <v>হুমকি</v>
      </c>
    </row>
    <row r="6950">
      <c r="A6950" s="2" t="s">
        <v>7994</v>
      </c>
      <c r="B6950" s="3" t="str">
        <f>IFERROR(__xludf.DUMMYFUNCTION("GOOGLETRANSLATE(A6950, ""ar"", ""bn"")"),"শাসান")</f>
        <v>শাসান</v>
      </c>
    </row>
    <row r="6951">
      <c r="A6951" s="2" t="s">
        <v>7995</v>
      </c>
      <c r="B6951" s="3" t="str">
        <f>IFERROR(__xludf.DUMMYFUNCTION("GOOGLETRANSLATE(A6951, ""ar"", ""bn"")"),"হুমকি")</f>
        <v>হুমকি</v>
      </c>
    </row>
    <row r="6952">
      <c r="A6952" s="2" t="s">
        <v>7996</v>
      </c>
      <c r="B6952" s="3" t="str">
        <f>IFERROR(__xludf.DUMMYFUNCTION("GOOGLETRANSLATE(A6952, ""ar"", ""bn"")"),"হুমকি")</f>
        <v>হুমকি</v>
      </c>
    </row>
    <row r="6953">
      <c r="A6953" s="2" t="s">
        <v>7997</v>
      </c>
      <c r="B6953" s="3" t="str">
        <f>IFERROR(__xludf.DUMMYFUNCTION("GOOGLETRANSLATE(A6953, ""ar"", ""bn"")"),"Threateningly")</f>
        <v>Threateningly</v>
      </c>
    </row>
    <row r="6954">
      <c r="A6954" s="2" t="s">
        <v>5120</v>
      </c>
      <c r="B6954" s="3" t="str">
        <f>IFERROR(__xludf.DUMMYFUNCTION("GOOGLETRANSLATE(A6954, ""ar"", ""bn"")"),"হুমকি")</f>
        <v>হুমকি</v>
      </c>
    </row>
    <row r="6955">
      <c r="A6955" s="2" t="s">
        <v>7998</v>
      </c>
      <c r="B6955" s="3" t="str">
        <f>IFERROR(__xludf.DUMMYFUNCTION("GOOGLETRANSLATE(A6955, ""ar"", ""bn"")"),"হুমকি")</f>
        <v>হুমকি</v>
      </c>
    </row>
    <row r="6956">
      <c r="A6956" s="2" t="s">
        <v>7999</v>
      </c>
      <c r="B6956" s="3" t="str">
        <f>IFERROR(__xludf.DUMMYFUNCTION("GOOGLETRANSLATE(A6956, ""ar"", ""bn"")"),"ঝমঝম")</f>
        <v>ঝমঝম</v>
      </c>
    </row>
    <row r="6957">
      <c r="A6957" s="2" t="s">
        <v>8000</v>
      </c>
      <c r="B6957" s="3" t="str">
        <f>IFERROR(__xludf.DUMMYFUNCTION("GOOGLETRANSLATE(A6957, ""ar"", ""bn"")"),"দৃশ্যমান")</f>
        <v>দৃশ্যমান</v>
      </c>
    </row>
    <row r="6958">
      <c r="A6958" s="2" t="s">
        <v>8001</v>
      </c>
      <c r="B6958" s="3" t="str">
        <f>IFERROR(__xludf.DUMMYFUNCTION("GOOGLETRANSLATE(A6958, ""ar"", ""bn"")"),"ক্র্যাশ")</f>
        <v>ক্র্যাশ</v>
      </c>
    </row>
    <row r="6959">
      <c r="A6959" s="2" t="s">
        <v>8002</v>
      </c>
      <c r="B6959" s="3" t="str">
        <f>IFERROR(__xludf.DUMMYFUNCTION("GOOGLETRANSLATE(A6959, ""ar"", ""bn"")"),"বজ্রধ্বনি")</f>
        <v>বজ্রধ্বনি</v>
      </c>
    </row>
    <row r="6960">
      <c r="A6960" s="2" t="s">
        <v>5490</v>
      </c>
      <c r="B6960" s="3" t="str">
        <f>IFERROR(__xludf.DUMMYFUNCTION("GOOGLETRANSLATE(A6960, ""ar"", ""bn"")"),"পরাজয়")</f>
        <v>পরাজয়</v>
      </c>
    </row>
    <row r="6961">
      <c r="A6961" s="2" t="s">
        <v>8003</v>
      </c>
      <c r="B6961" s="3" t="str">
        <f>IFERROR(__xludf.DUMMYFUNCTION("GOOGLETRANSLATE(A6961, ""ar"", ""bn"")"),"হতাশ")</f>
        <v>হতাশ</v>
      </c>
    </row>
    <row r="6962">
      <c r="A6962" s="2" t="s">
        <v>8004</v>
      </c>
      <c r="B6962" s="3" t="str">
        <f>IFERROR(__xludf.DUMMYFUNCTION("GOOGLETRANSLATE(A6962, ""ar"", ""bn"")"),"হতাশাজনক")</f>
        <v>হতাশাজনক</v>
      </c>
    </row>
    <row r="6963">
      <c r="A6963" s="2" t="s">
        <v>5489</v>
      </c>
      <c r="B6963" s="3" t="str">
        <f>IFERROR(__xludf.DUMMYFUNCTION("GOOGLETRANSLATE(A6963, ""ar"", ""bn"")"),"হতাশ")</f>
        <v>হতাশ</v>
      </c>
    </row>
    <row r="6964">
      <c r="A6964" s="2" t="s">
        <v>8005</v>
      </c>
      <c r="B6964" s="3" t="str">
        <f>IFERROR(__xludf.DUMMYFUNCTION("GOOGLETRANSLATE(A6964, ""ar"", ""bn"")"),"টিক")</f>
        <v>টিক</v>
      </c>
    </row>
    <row r="6965">
      <c r="A6965" s="2" t="s">
        <v>5097</v>
      </c>
      <c r="B6965" s="3" t="str">
        <f>IFERROR(__xludf.DUMMYFUNCTION("GOOGLETRANSLATE(A6965, ""ar"", ""bn"")"),"ভীতু")</f>
        <v>ভীতু</v>
      </c>
    </row>
    <row r="6966">
      <c r="A6966" s="2" t="s">
        <v>3541</v>
      </c>
      <c r="B6966" s="3" t="str">
        <f>IFERROR(__xludf.DUMMYFUNCTION("GOOGLETRANSLATE(A6966, ""ar"", ""bn"")"),"ব্রীড়া")</f>
        <v>ব্রীড়া</v>
      </c>
    </row>
    <row r="6967">
      <c r="A6967" s="2" t="s">
        <v>8006</v>
      </c>
      <c r="B6967" s="3" t="str">
        <f>IFERROR(__xludf.DUMMYFUNCTION("GOOGLETRANSLATE(A6967, ""ar"", ""bn"")"),"timidly")</f>
        <v>timidly</v>
      </c>
    </row>
    <row r="6968">
      <c r="A6968" s="2" t="s">
        <v>8007</v>
      </c>
      <c r="B6968" s="3" t="str">
        <f>IFERROR(__xludf.DUMMYFUNCTION("GOOGLETRANSLATE(A6968, ""ar"", ""bn"")"),"পাগড়ি")</f>
        <v>পাগড়ি</v>
      </c>
    </row>
    <row r="6969">
      <c r="A6969" s="2" t="s">
        <v>8008</v>
      </c>
      <c r="B6969" s="3" t="str">
        <f>IFERROR(__xludf.DUMMYFUNCTION("GOOGLETRANSLATE(A6969, ""ar"", ""bn"")"),"ক্লান্ত")</f>
        <v>ক্লান্ত</v>
      </c>
    </row>
    <row r="6970">
      <c r="A6970" s="2" t="s">
        <v>5332</v>
      </c>
      <c r="B6970" s="3" t="str">
        <f>IFERROR(__xludf.DUMMYFUNCTION("GOOGLETRANSLATE(A6970, ""ar"", ""bn"")"),"অবসাদ")</f>
        <v>অবসাদ</v>
      </c>
    </row>
    <row r="6971">
      <c r="A6971" s="2" t="s">
        <v>8009</v>
      </c>
      <c r="B6971" s="3" t="str">
        <f>IFERROR(__xludf.DUMMYFUNCTION("GOOGLETRANSLATE(A6971, ""ar"", ""bn"")"),"অক্লান্ত")</f>
        <v>অক্লান্ত</v>
      </c>
    </row>
    <row r="6972">
      <c r="A6972" s="2" t="s">
        <v>8010</v>
      </c>
      <c r="B6972" s="3" t="str">
        <f>IFERROR(__xludf.DUMMYFUNCTION("GOOGLETRANSLATE(A6972, ""ar"", ""bn"")"),"নিরলসভাবে")</f>
        <v>নিরলসভাবে</v>
      </c>
    </row>
    <row r="6973">
      <c r="A6973" s="2" t="s">
        <v>8011</v>
      </c>
      <c r="B6973" s="3" t="str">
        <f>IFERROR(__xludf.DUMMYFUNCTION("GOOGLETRANSLATE(A6973, ""ar"", ""bn"")"),"ট্যায়ার")</f>
        <v>ট্যায়ার</v>
      </c>
    </row>
    <row r="6974">
      <c r="A6974" s="2" t="s">
        <v>8008</v>
      </c>
      <c r="B6974" s="3" t="str">
        <f>IFERROR(__xludf.DUMMYFUNCTION("GOOGLETRANSLATE(A6974, ""ar"", ""bn"")"),"ক্লান্ত")</f>
        <v>ক্লান্ত</v>
      </c>
    </row>
    <row r="6975">
      <c r="A6975" s="2" t="s">
        <v>8008</v>
      </c>
      <c r="B6975" s="3" t="str">
        <f>IFERROR(__xludf.DUMMYFUNCTION("GOOGLETRANSLATE(A6975, ""ar"", ""bn"")"),"ক্লান্ত")</f>
        <v>ক্লান্ত</v>
      </c>
    </row>
    <row r="6976">
      <c r="A6976" s="2" t="s">
        <v>5332</v>
      </c>
      <c r="B6976" s="3" t="str">
        <f>IFERROR(__xludf.DUMMYFUNCTION("GOOGLETRANSLATE(A6976, ""ar"", ""bn"")"),"অবসাদ")</f>
        <v>অবসাদ</v>
      </c>
    </row>
    <row r="6977">
      <c r="A6977" s="2" t="s">
        <v>8008</v>
      </c>
      <c r="B6977" s="3" t="str">
        <f>IFERROR(__xludf.DUMMYFUNCTION("GOOGLETRANSLATE(A6977, ""ar"", ""bn"")"),"ক্লান্ত")</f>
        <v>ক্লান্ত</v>
      </c>
    </row>
    <row r="6978">
      <c r="A6978" s="2" t="s">
        <v>8012</v>
      </c>
      <c r="B6978" s="3" t="str">
        <f>IFERROR(__xludf.DUMMYFUNCTION("GOOGLETRANSLATE(A6978, ""ar"", ""bn"")"),"খাটুনি")</f>
        <v>খাটুনি</v>
      </c>
    </row>
    <row r="6979">
      <c r="A6979" s="2" t="s">
        <v>8013</v>
      </c>
      <c r="B6979" s="3" t="str">
        <f>IFERROR(__xludf.DUMMYFUNCTION("GOOGLETRANSLATE(A6979, ""ar"", ""bn"")"),"পরিশ্রম")</f>
        <v>পরিশ্রম</v>
      </c>
    </row>
    <row r="6980">
      <c r="A6980" s="2" t="s">
        <v>8014</v>
      </c>
      <c r="B6980" s="3" t="str">
        <f>IFERROR(__xludf.DUMMYFUNCTION("GOOGLETRANSLATE(A6980, ""ar"", ""bn"")"),"টয়লেট")</f>
        <v>টয়লেট</v>
      </c>
    </row>
    <row r="6981">
      <c r="A6981" s="2" t="s">
        <v>8015</v>
      </c>
      <c r="B6981" s="3" t="str">
        <f>IFERROR(__xludf.DUMMYFUNCTION("GOOGLETRANSLATE(A6981, ""ar"", ""bn"")"),"শৌচাগার")</f>
        <v>শৌচাগার</v>
      </c>
    </row>
    <row r="6982">
      <c r="A6982" s="2" t="s">
        <v>8016</v>
      </c>
      <c r="B6982" s="3" t="str">
        <f>IFERROR(__xludf.DUMMYFUNCTION("GOOGLETRANSLATE(A6982, ""ar"", ""bn"")"),"টয়লেট")</f>
        <v>টয়লেট</v>
      </c>
    </row>
    <row r="6983">
      <c r="A6983" s="2" t="s">
        <v>8017</v>
      </c>
      <c r="B6983" s="3" t="str">
        <f>IFERROR(__xludf.DUMMYFUNCTION("GOOGLETRANSLATE(A6983, ""ar"", ""bn"")"),"মালপত্র")</f>
        <v>মালপত্র</v>
      </c>
    </row>
    <row r="6984">
      <c r="A6984" s="2" t="s">
        <v>8018</v>
      </c>
      <c r="B6984" s="3" t="str">
        <f>IFERROR(__xludf.DUMMYFUNCTION("GOOGLETRANSLATE(A6984, ""ar"", ""bn"")"),"প্রসাধন দ্রব্যাদি")</f>
        <v>প্রসাধন দ্রব্যাদি</v>
      </c>
    </row>
    <row r="6985">
      <c r="A6985" s="2" t="s">
        <v>8019</v>
      </c>
      <c r="B6985" s="3" t="str">
        <f>IFERROR(__xludf.DUMMYFUNCTION("GOOGLETRANSLATE(A6985, ""ar"", ""bn"")"),"টয়লেট")</f>
        <v>টয়লেট</v>
      </c>
    </row>
    <row r="6986">
      <c r="A6986" s="2" t="s">
        <v>8016</v>
      </c>
      <c r="B6986" s="3" t="str">
        <f>IFERROR(__xludf.DUMMYFUNCTION("GOOGLETRANSLATE(A6986, ""ar"", ""bn"")"),"টয়লেট")</f>
        <v>টয়লেট</v>
      </c>
    </row>
    <row r="6987">
      <c r="A6987" s="2" t="s">
        <v>8020</v>
      </c>
      <c r="B6987" s="3" t="str">
        <f>IFERROR(__xludf.DUMMYFUNCTION("GOOGLETRANSLATE(A6987, ""ar"", ""bn"")"),"ক্লিষ্ট")</f>
        <v>ক্লিষ্ট</v>
      </c>
    </row>
    <row r="6988">
      <c r="A6988" s="2" t="s">
        <v>8021</v>
      </c>
      <c r="B6988" s="3" t="str">
        <f>IFERROR(__xludf.DUMMYFUNCTION("GOOGLETRANSLATE(A6988, ""ar"", ""bn"")"),"ফাঁদ")</f>
        <v>ফাঁদ</v>
      </c>
    </row>
    <row r="6989">
      <c r="A6989" s="2" t="s">
        <v>6718</v>
      </c>
      <c r="B6989" s="3" t="str">
        <f>IFERROR(__xludf.DUMMYFUNCTION("GOOGLETRANSLATE(A6989, ""ar"", ""bn"")"),"হৃদয়")</f>
        <v>হৃদয়</v>
      </c>
    </row>
    <row r="6990">
      <c r="A6990" s="2" t="s">
        <v>8022</v>
      </c>
      <c r="B6990" s="3" t="str">
        <f>IFERROR(__xludf.DUMMYFUNCTION("GOOGLETRANSLATE(A6990, ""ar"", ""bn"")"),"পরাস্ত")</f>
        <v>পরাস্ত</v>
      </c>
    </row>
    <row r="6991">
      <c r="A6991" s="2" t="s">
        <v>6689</v>
      </c>
      <c r="B6991" s="3" t="str">
        <f>IFERROR(__xludf.DUMMYFUNCTION("GOOGLETRANSLATE(A6991, ""ar"", ""bn"")"),"Ousts")</f>
        <v>Ousts</v>
      </c>
    </row>
    <row r="6992">
      <c r="A6992" s="2" t="s">
        <v>8023</v>
      </c>
      <c r="B6992" s="3" t="str">
        <f>IFERROR(__xludf.DUMMYFUNCTION("GOOGLETRANSLATE(A6992, ""ar"", ""bn"")"),"যন্ত্রণা")</f>
        <v>যন্ত্রণা</v>
      </c>
    </row>
    <row r="6993">
      <c r="A6993" s="2" t="s">
        <v>8024</v>
      </c>
      <c r="B6993" s="3" t="str">
        <f>IFERROR(__xludf.DUMMYFUNCTION("GOOGLETRANSLATE(A6993, ""ar"", ""bn"")"),"নির্যাতন")</f>
        <v>নির্যাতন</v>
      </c>
    </row>
    <row r="6994">
      <c r="A6994" s="2" t="s">
        <v>8025</v>
      </c>
      <c r="B6994" s="3" t="str">
        <f>IFERROR(__xludf.DUMMYFUNCTION("GOOGLETRANSLATE(A6994, ""ar"", ""bn"")"),"যন্ত্রণা")</f>
        <v>যন্ত্রণা</v>
      </c>
    </row>
    <row r="6995">
      <c r="A6995" s="2" t="s">
        <v>8024</v>
      </c>
      <c r="B6995" s="3" t="str">
        <f>IFERROR(__xludf.DUMMYFUNCTION("GOOGLETRANSLATE(A6995, ""ar"", ""bn"")"),"নির্যাতন")</f>
        <v>নির্যাতন</v>
      </c>
    </row>
    <row r="6996">
      <c r="A6996" s="2" t="s">
        <v>8026</v>
      </c>
      <c r="B6996" s="3" t="str">
        <f>IFERROR(__xludf.DUMMYFUNCTION("GOOGLETRANSLATE(A6996, ""ar"", ""bn"")"),"হতভাগ্য")</f>
        <v>হতভাগ্য</v>
      </c>
    </row>
    <row r="6997">
      <c r="A6997" s="2" t="s">
        <v>8027</v>
      </c>
      <c r="B6997" s="3" t="str">
        <f>IFERROR(__xludf.DUMMYFUNCTION("GOOGLETRANSLATE(A6997, ""ar"", ""bn"")"),"প্রায়শ্চিত্তমূলক")</f>
        <v>প্রায়শ্চিত্তমূলক</v>
      </c>
    </row>
    <row r="6998">
      <c r="A6998" s="2" t="s">
        <v>8028</v>
      </c>
      <c r="B6998" s="3" t="str">
        <f>IFERROR(__xludf.DUMMYFUNCTION("GOOGLETRANSLATE(A6998, ""ar"", ""bn"")"),"টরেন্ট")</f>
        <v>টরেন্ট</v>
      </c>
    </row>
    <row r="6999">
      <c r="A6999" s="2" t="s">
        <v>8029</v>
      </c>
      <c r="B6999" s="3" t="str">
        <f>IFERROR(__xludf.DUMMYFUNCTION("GOOGLETRANSLATE(A6999, ""ar"", ""bn"")"),"স্ট্রিমিং")</f>
        <v>স্ট্রিমিং</v>
      </c>
    </row>
    <row r="7000">
      <c r="A7000" s="2" t="s">
        <v>8030</v>
      </c>
      <c r="B7000" s="3" t="str">
        <f>IFERROR(__xludf.DUMMYFUNCTION("GOOGLETRANSLATE(A7000, ""ar"", ""bn"")"),"তথ্যপ্রবাহের")</f>
        <v>তথ্যপ্রবাহের</v>
      </c>
    </row>
    <row r="7001">
      <c r="A7001" s="2" t="s">
        <v>8031</v>
      </c>
      <c r="B7001" s="3" t="str">
        <f>IFERROR(__xludf.DUMMYFUNCTION("GOOGLETRANSLATE(A7001, ""ar"", ""bn"")"),"যন্ত্রণা")</f>
        <v>যন্ত্রণা</v>
      </c>
    </row>
    <row r="7002">
      <c r="A7002" s="2" t="s">
        <v>8031</v>
      </c>
      <c r="B7002" s="3" t="str">
        <f>IFERROR(__xludf.DUMMYFUNCTION("GOOGLETRANSLATE(A7002, ""ar"", ""bn"")"),"যন্ত্রণা")</f>
        <v>যন্ত্রণা</v>
      </c>
    </row>
    <row r="7003">
      <c r="A7003" s="2" t="s">
        <v>8024</v>
      </c>
      <c r="B7003" s="3" t="str">
        <f>IFERROR(__xludf.DUMMYFUNCTION("GOOGLETRANSLATE(A7003, ""ar"", ""bn"")"),"নির্যাতন")</f>
        <v>নির্যাতন</v>
      </c>
    </row>
    <row r="7004">
      <c r="A7004" s="2" t="s">
        <v>8032</v>
      </c>
      <c r="B7004" s="3" t="str">
        <f>IFERROR(__xludf.DUMMYFUNCTION("GOOGLETRANSLATE(A7004, ""ar"", ""bn"")"),"যন্ত্রণা")</f>
        <v>যন্ত্রণা</v>
      </c>
    </row>
    <row r="7005">
      <c r="A7005" s="2" t="s">
        <v>8032</v>
      </c>
      <c r="B7005" s="3" t="str">
        <f>IFERROR(__xludf.DUMMYFUNCTION("GOOGLETRANSLATE(A7005, ""ar"", ""bn"")"),"যন্ত্রণা")</f>
        <v>যন্ত্রণা</v>
      </c>
    </row>
    <row r="7006">
      <c r="A7006" s="2" t="s">
        <v>8031</v>
      </c>
      <c r="B7006" s="3" t="str">
        <f>IFERROR(__xludf.DUMMYFUNCTION("GOOGLETRANSLATE(A7006, ""ar"", ""bn"")"),"যন্ত্রণা")</f>
        <v>যন্ত্রণা</v>
      </c>
    </row>
    <row r="7007">
      <c r="A7007" s="2" t="s">
        <v>8033</v>
      </c>
      <c r="B7007" s="3" t="str">
        <f>IFERROR(__xludf.DUMMYFUNCTION("GOOGLETRANSLATE(A7007, ""ar"", ""bn"")"),"নির্যাতনকে")</f>
        <v>নির্যাতনকে</v>
      </c>
    </row>
    <row r="7008">
      <c r="A7008" s="2" t="s">
        <v>8033</v>
      </c>
      <c r="B7008" s="3" t="str">
        <f>IFERROR(__xludf.DUMMYFUNCTION("GOOGLETRANSLATE(A7008, ""ar"", ""bn"")"),"নির্যাতনকে")</f>
        <v>নির্যাতনকে</v>
      </c>
    </row>
    <row r="7009">
      <c r="A7009" s="2" t="s">
        <v>8034</v>
      </c>
      <c r="B7009" s="3" t="str">
        <f>IFERROR(__xludf.DUMMYFUNCTION("GOOGLETRANSLATE(A7009, ""ar"", ""bn"")"),"খুব সংবেদনশীল")</f>
        <v>খুব সংবেদনশীল</v>
      </c>
    </row>
    <row r="7010">
      <c r="A7010" s="2" t="s">
        <v>8035</v>
      </c>
      <c r="B7010" s="3" t="str">
        <f>IFERROR(__xludf.DUMMYFUNCTION("GOOGLETRANSLATE(A7010, ""ar"", ""bn"")"),"নিষ্ঠুর")</f>
        <v>নিষ্ঠুর</v>
      </c>
    </row>
    <row r="7011">
      <c r="A7011" s="2" t="s">
        <v>8036</v>
      </c>
      <c r="B7011" s="3" t="str">
        <f>IFERROR(__xludf.DUMMYFUNCTION("GOOGLETRANSLATE(A7011, ""ar"", ""bn"")"),"পিত্তলের ন্যায় রঙ্ করা")</f>
        <v>পিত্তলের ন্যায় রঙ্ করা</v>
      </c>
    </row>
    <row r="7012">
      <c r="A7012" s="2" t="s">
        <v>8037</v>
      </c>
      <c r="B7012" s="3" t="str">
        <f>IFERROR(__xludf.DUMMYFUNCTION("GOOGLETRANSLATE(A7012, ""ar"", ""bn"")"),"জোর")</f>
        <v>জোর</v>
      </c>
    </row>
    <row r="7013">
      <c r="A7013" s="2" t="s">
        <v>8038</v>
      </c>
      <c r="B7013" s="3" t="str">
        <f>IFERROR(__xludf.DUMMYFUNCTION("GOOGLETRANSLATE(A7013, ""ar"", ""bn"")"),"চাপ")</f>
        <v>চাপ</v>
      </c>
    </row>
    <row r="7014">
      <c r="A7014" s="2" t="s">
        <v>7764</v>
      </c>
      <c r="B7014" s="3" t="str">
        <f>IFERROR(__xludf.DUMMYFUNCTION("GOOGLETRANSLATE(A7014, ""ar"", ""bn"")"),"আরো কঠোর")</f>
        <v>আরো কঠোর</v>
      </c>
    </row>
    <row r="7015">
      <c r="A7015" s="2" t="s">
        <v>8039</v>
      </c>
      <c r="B7015" s="3" t="str">
        <f>IFERROR(__xludf.DUMMYFUNCTION("GOOGLETRANSLATE(A7015, ""ar"", ""bn"")"),"কঠিনতর")</f>
        <v>কঠিনতর</v>
      </c>
    </row>
    <row r="7016">
      <c r="A7016" s="2" t="s">
        <v>2370</v>
      </c>
      <c r="B7016" s="3" t="str">
        <f>IFERROR(__xludf.DUMMYFUNCTION("GOOGLETRANSLATE(A7016, ""ar"", ""bn"")"),"উপভাষা")</f>
        <v>উপভাষা</v>
      </c>
    </row>
    <row r="7017">
      <c r="A7017" s="2" t="s">
        <v>7194</v>
      </c>
      <c r="B7017" s="3" t="str">
        <f>IFERROR(__xludf.DUMMYFUNCTION("GOOGLETRANSLATE(A7017, ""ar"", ""bn"")"),"কঠোরতা")</f>
        <v>কঠোরতা</v>
      </c>
    </row>
    <row r="7018">
      <c r="A7018" s="2" t="s">
        <v>8040</v>
      </c>
      <c r="B7018" s="3" t="str">
        <f>IFERROR(__xludf.DUMMYFUNCTION("GOOGLETRANSLATE(A7018, ""ar"", ""bn"")"),"Toughs")</f>
        <v>Toughs</v>
      </c>
    </row>
    <row r="7019">
      <c r="A7019" s="2" t="s">
        <v>8041</v>
      </c>
      <c r="B7019" s="3" t="str">
        <f>IFERROR(__xludf.DUMMYFUNCTION("GOOGLETRANSLATE(A7019, ""ar"", ""bn"")"),"বিয়োগান্তক নাটকের রচয়িতা")</f>
        <v>বিয়োগান্তক নাটকের রচয়িতা</v>
      </c>
    </row>
    <row r="7020">
      <c r="A7020" s="2" t="s">
        <v>8042</v>
      </c>
      <c r="B7020" s="3" t="str">
        <f>IFERROR(__xludf.DUMMYFUNCTION("GOOGLETRANSLATE(A7020, ""ar"", ""bn"")"),"ট্রাজেডিয়ানরা")</f>
        <v>ট্রাজেডিয়ানরা</v>
      </c>
    </row>
    <row r="7021">
      <c r="A7021" s="2" t="s">
        <v>8043</v>
      </c>
      <c r="B7021" s="3" t="str">
        <f>IFERROR(__xludf.DUMMYFUNCTION("GOOGLETRANSLATE(A7021, ""ar"", ""bn"")"),"বিয়োগান্তক")</f>
        <v>বিয়োগান্তক</v>
      </c>
    </row>
    <row r="7022">
      <c r="A7022" s="2" t="s">
        <v>8044</v>
      </c>
      <c r="B7022" s="3" t="str">
        <f>IFERROR(__xludf.DUMMYFUNCTION("GOOGLETRANSLATE(A7022, ""ar"", ""bn"")"),"দুঃখজনক ঘটনা")</f>
        <v>দুঃখজনক ঘটনা</v>
      </c>
    </row>
    <row r="7023">
      <c r="A7023" s="2" t="s">
        <v>8045</v>
      </c>
      <c r="B7023" s="3" t="str">
        <f>IFERROR(__xludf.DUMMYFUNCTION("GOOGLETRANSLATE(A7023, ""ar"", ""bn"")"),"মৃতু্যঘটিত")</f>
        <v>মৃতু্যঘটিত</v>
      </c>
    </row>
    <row r="7024">
      <c r="A7024" s="2" t="s">
        <v>8046</v>
      </c>
      <c r="B7024" s="3" t="str">
        <f>IFERROR(__xludf.DUMMYFUNCTION("GOOGLETRANSLATE(A7024, ""ar"", ""bn"")"),"মৃতু্যঘটিত")</f>
        <v>মৃতু্যঘটিত</v>
      </c>
    </row>
    <row r="7025">
      <c r="A7025" s="2" t="s">
        <v>8047</v>
      </c>
      <c r="B7025" s="3" t="str">
        <f>IFERROR(__xludf.DUMMYFUNCTION("GOOGLETRANSLATE(A7025, ""ar"", ""bn"")"),"ঘটনাবহুল")</f>
        <v>ঘটনাবহুল</v>
      </c>
    </row>
    <row r="7026">
      <c r="A7026" s="2" t="s">
        <v>8046</v>
      </c>
      <c r="B7026" s="3" t="str">
        <f>IFERROR(__xludf.DUMMYFUNCTION("GOOGLETRANSLATE(A7026, ""ar"", ""bn"")"),"মৃতু্যঘটিত")</f>
        <v>মৃতু্যঘটিত</v>
      </c>
    </row>
    <row r="7027">
      <c r="A7027" s="2" t="s">
        <v>8047</v>
      </c>
      <c r="B7027" s="3" t="str">
        <f>IFERROR(__xludf.DUMMYFUNCTION("GOOGLETRANSLATE(A7027, ""ar"", ""bn"")"),"ঘটনাবহুল")</f>
        <v>ঘটনাবহুল</v>
      </c>
    </row>
    <row r="7028">
      <c r="A7028" s="2" t="s">
        <v>2489</v>
      </c>
      <c r="B7028" s="3" t="str">
        <f>IFERROR(__xludf.DUMMYFUNCTION("GOOGLETRANSLATE(A7028, ""ar"", ""bn"")"),"বিশ্বাসঘাতক")</f>
        <v>বিশ্বাসঘাতক</v>
      </c>
    </row>
    <row r="7029">
      <c r="A7029" s="2" t="s">
        <v>2489</v>
      </c>
      <c r="B7029" s="3" t="str">
        <f>IFERROR(__xludf.DUMMYFUNCTION("GOOGLETRANSLATE(A7029, ""ar"", ""bn"")"),"বিশ্বাসঘাতক")</f>
        <v>বিশ্বাসঘাতক</v>
      </c>
    </row>
    <row r="7030">
      <c r="A7030" s="2" t="s">
        <v>3630</v>
      </c>
      <c r="B7030" s="3" t="str">
        <f>IFERROR(__xludf.DUMMYFUNCTION("GOOGLETRANSLATE(A7030, ""ar"", ""bn"")"),"দেশদ্রোহীর")</f>
        <v>দেশদ্রোহীর</v>
      </c>
    </row>
    <row r="7031">
      <c r="A7031" s="2" t="s">
        <v>8048</v>
      </c>
      <c r="B7031" s="3" t="str">
        <f>IFERROR(__xludf.DUMMYFUNCTION("GOOGLETRANSLATE(A7031, ""ar"", ""bn"")"),"পদব্রজে ভ্রমণ")</f>
        <v>পদব্রজে ভ্রমণ</v>
      </c>
    </row>
    <row r="7032">
      <c r="A7032" s="2" t="s">
        <v>8049</v>
      </c>
      <c r="B7032" s="3" t="str">
        <f>IFERROR(__xludf.DUMMYFUNCTION("GOOGLETRANSLATE(A7032, ""ar"", ""bn"")"),"ভ্রমণকারী")</f>
        <v>ভ্রমণকারী</v>
      </c>
    </row>
    <row r="7033">
      <c r="A7033" s="2" t="s">
        <v>4344</v>
      </c>
      <c r="B7033" s="3" t="str">
        <f>IFERROR(__xludf.DUMMYFUNCTION("GOOGLETRANSLATE(A7033, ""ar"", ""bn"")"),"পিষা")</f>
        <v>পিষা</v>
      </c>
    </row>
    <row r="7034">
      <c r="A7034" s="2" t="s">
        <v>8050</v>
      </c>
      <c r="B7034" s="3" t="str">
        <f>IFERROR(__xludf.DUMMYFUNCTION("GOOGLETRANSLATE(A7034, ""ar"", ""bn"")"),"ধূলিকণা")</f>
        <v>ধূলিকণা</v>
      </c>
    </row>
    <row r="7035">
      <c r="A7035" s="2" t="s">
        <v>8051</v>
      </c>
      <c r="B7035" s="3" t="str">
        <f>IFERROR(__xludf.DUMMYFUNCTION("GOOGLETRANSLATE(A7035, ""ar"", ""bn"")"),"পদদলিত")</f>
        <v>পদদলিত</v>
      </c>
    </row>
    <row r="7036">
      <c r="A7036" s="2" t="s">
        <v>8052</v>
      </c>
      <c r="B7036" s="3" t="str">
        <f>IFERROR(__xludf.DUMMYFUNCTION("GOOGLETRANSLATE(A7036, ""ar"", ""bn"")"),"Aldous")</f>
        <v>Aldous</v>
      </c>
    </row>
    <row r="7037">
      <c r="A7037" s="2" t="s">
        <v>8053</v>
      </c>
      <c r="B7037" s="3" t="str">
        <f>IFERROR(__xludf.DUMMYFUNCTION("GOOGLETRANSLATE(A7037, ""ar"", ""bn"")"),"trampoline")</f>
        <v>trampoline</v>
      </c>
    </row>
    <row r="7038">
      <c r="A7038" s="2" t="s">
        <v>8053</v>
      </c>
      <c r="B7038" s="3" t="str">
        <f>IFERROR(__xludf.DUMMYFUNCTION("GOOGLETRANSLATE(A7038, ""ar"", ""bn"")"),"trampoline")</f>
        <v>trampoline</v>
      </c>
    </row>
    <row r="7039">
      <c r="A7039" s="2" t="s">
        <v>8053</v>
      </c>
      <c r="B7039" s="3" t="str">
        <f>IFERROR(__xludf.DUMMYFUNCTION("GOOGLETRANSLATE(A7039, ""ar"", ""bn"")"),"trampoline")</f>
        <v>trampoline</v>
      </c>
    </row>
    <row r="7040">
      <c r="A7040" s="2" t="s">
        <v>8054</v>
      </c>
      <c r="B7040" s="3" t="str">
        <f>IFERROR(__xludf.DUMMYFUNCTION("GOOGLETRANSLATE(A7040, ""ar"", ""bn"")"),"tramps")</f>
        <v>tramps</v>
      </c>
    </row>
    <row r="7041">
      <c r="A7041" s="2" t="s">
        <v>4344</v>
      </c>
      <c r="B7041" s="3" t="str">
        <f>IFERROR(__xludf.DUMMYFUNCTION("GOOGLETRANSLATE(A7041, ""ar"", ""bn"")"),"পিষা")</f>
        <v>পিষা</v>
      </c>
    </row>
    <row r="7042">
      <c r="A7042" s="2" t="s">
        <v>8050</v>
      </c>
      <c r="B7042" s="3" t="str">
        <f>IFERROR(__xludf.DUMMYFUNCTION("GOOGLETRANSLATE(A7042, ""ar"", ""bn"")"),"ধূলিকণা")</f>
        <v>ধূলিকণা</v>
      </c>
    </row>
    <row r="7043">
      <c r="A7043" s="2" t="s">
        <v>8051</v>
      </c>
      <c r="B7043" s="3" t="str">
        <f>IFERROR(__xludf.DUMMYFUNCTION("GOOGLETRANSLATE(A7043, ""ar"", ""bn"")"),"পদদলিত")</f>
        <v>পদদলিত</v>
      </c>
    </row>
    <row r="7044">
      <c r="A7044" s="2" t="s">
        <v>5111</v>
      </c>
      <c r="B7044" s="3" t="str">
        <f>IFERROR(__xludf.DUMMYFUNCTION("GOOGLETRANSLATE(A7044, ""ar"", ""bn"")"),"পদদলিত করা")</f>
        <v>পদদলিত করা</v>
      </c>
    </row>
    <row r="7045">
      <c r="A7045" s="2" t="s">
        <v>8055</v>
      </c>
      <c r="B7045" s="3" t="str">
        <f>IFERROR(__xludf.DUMMYFUNCTION("GOOGLETRANSLATE(A7045, ""ar"", ""bn"")"),"অতিক্রান্ত")</f>
        <v>অতিক্রান্ত</v>
      </c>
    </row>
    <row r="7046">
      <c r="A7046" s="2" t="s">
        <v>8056</v>
      </c>
      <c r="B7046" s="3" t="str">
        <f>IFERROR(__xludf.DUMMYFUNCTION("GOOGLETRANSLATE(A7046, ""ar"", ""bn"")"),"সীমালঙ্ঘন করা")</f>
        <v>সীমালঙ্ঘন করা</v>
      </c>
    </row>
    <row r="7047">
      <c r="A7047" s="2" t="s">
        <v>8057</v>
      </c>
      <c r="B7047" s="3" t="str">
        <f>IFERROR(__xludf.DUMMYFUNCTION("GOOGLETRANSLATE(A7047, ""ar"", ""bn"")"),"লঙ্ঘন")</f>
        <v>লঙ্ঘন</v>
      </c>
    </row>
    <row r="7048">
      <c r="A7048" s="2" t="s">
        <v>6014</v>
      </c>
      <c r="B7048" s="3" t="str">
        <f>IFERROR(__xludf.DUMMYFUNCTION("GOOGLETRANSLATE(A7048, ""ar"", ""bn"")"),"ব্যত্যয়")</f>
        <v>ব্যত্যয়</v>
      </c>
    </row>
    <row r="7049">
      <c r="A7049" s="2" t="s">
        <v>5204</v>
      </c>
      <c r="B7049" s="3" t="str">
        <f>IFERROR(__xludf.DUMMYFUNCTION("GOOGLETRANSLATE(A7049, ""ar"", ""bn"")"),"বাহুল্যও")</f>
        <v>বাহুল্যও</v>
      </c>
    </row>
    <row r="7050">
      <c r="A7050" s="2" t="s">
        <v>8058</v>
      </c>
      <c r="B7050" s="3" t="str">
        <f>IFERROR(__xludf.DUMMYFUNCTION("GOOGLETRANSLATE(A7050, ""ar"", ""bn"")"),"অপবিত্র")</f>
        <v>অপবিত্র</v>
      </c>
    </row>
    <row r="7051">
      <c r="A7051" s="2" t="s">
        <v>8059</v>
      </c>
      <c r="B7051" s="3" t="str">
        <f>IFERROR(__xludf.DUMMYFUNCTION("GOOGLETRANSLATE(A7051, ""ar"", ""bn"")"),"পাপ")</f>
        <v>পাপ</v>
      </c>
    </row>
    <row r="7052">
      <c r="A7052" s="2" t="s">
        <v>8060</v>
      </c>
      <c r="B7052" s="3" t="str">
        <f>IFERROR(__xludf.DUMMYFUNCTION("GOOGLETRANSLATE(A7052, ""ar"", ""bn"")"),"জালেমরা")</f>
        <v>জালেমরা</v>
      </c>
    </row>
    <row r="7053">
      <c r="A7053" s="2" t="s">
        <v>8061</v>
      </c>
      <c r="B7053" s="3" t="str">
        <f>IFERROR(__xludf.DUMMYFUNCTION("GOOGLETRANSLATE(A7053, ""ar"", ""bn"")"),"ফাঁদ")</f>
        <v>ফাঁদ</v>
      </c>
    </row>
    <row r="7054">
      <c r="A7054" s="2" t="s">
        <v>8062</v>
      </c>
      <c r="B7054" s="3" t="str">
        <f>IFERROR(__xludf.DUMMYFUNCTION("GOOGLETRANSLATE(A7054, ""ar"", ""bn"")"),"গৃহতলস্থ দরজা")</f>
        <v>গৃহতলস্থ দরজা</v>
      </c>
    </row>
    <row r="7055">
      <c r="A7055" s="2" t="s">
        <v>8063</v>
      </c>
      <c r="B7055" s="3" t="str">
        <f>IFERROR(__xludf.DUMMYFUNCTION("GOOGLETRANSLATE(A7055, ""ar"", ""bn"")"),"দোল")</f>
        <v>দোল</v>
      </c>
    </row>
    <row r="7056">
      <c r="A7056" s="2" t="s">
        <v>8064</v>
      </c>
      <c r="B7056" s="3" t="str">
        <f>IFERROR(__xludf.DUMMYFUNCTION("GOOGLETRANSLATE(A7056, ""ar"", ""bn"")"),"শনাক্ত করা সম্ভব")</f>
        <v>শনাক্ত করা সম্ভব</v>
      </c>
    </row>
    <row r="7057">
      <c r="A7057" s="2" t="s">
        <v>8065</v>
      </c>
      <c r="B7057" s="3" t="str">
        <f>IFERROR(__xludf.DUMMYFUNCTION("GOOGLETRANSLATE(A7057, ""ar"", ""bn"")"),"আটকা পড়ে")</f>
        <v>আটকা পড়ে</v>
      </c>
    </row>
    <row r="7058">
      <c r="A7058" s="2" t="s">
        <v>8066</v>
      </c>
      <c r="B7058" s="3" t="str">
        <f>IFERROR(__xludf.DUMMYFUNCTION("GOOGLETRANSLATE(A7058, ""ar"", ""bn"")"),"শিকারি")</f>
        <v>শিকারি</v>
      </c>
    </row>
    <row r="7059">
      <c r="A7059" s="2" t="s">
        <v>8067</v>
      </c>
      <c r="B7059" s="3" t="str">
        <f>IFERROR(__xludf.DUMMYFUNCTION("GOOGLETRANSLATE(A7059, ""ar"", ""bn"")"),"শিকারী")</f>
        <v>শিকারী</v>
      </c>
    </row>
    <row r="7060">
      <c r="A7060" s="2" t="s">
        <v>8068</v>
      </c>
      <c r="B7060" s="3" t="str">
        <f>IFERROR(__xludf.DUMMYFUNCTION("GOOGLETRANSLATE(A7060, ""ar"", ""bn"")"),"অবরোধ")</f>
        <v>অবরোধ</v>
      </c>
    </row>
    <row r="7061">
      <c r="A7061" s="2" t="s">
        <v>8069</v>
      </c>
      <c r="B7061" s="3" t="str">
        <f>IFERROR(__xludf.DUMMYFUNCTION("GOOGLETRANSLATE(A7061, ""ar"", ""bn"")"),"মোটিফগুলি")</f>
        <v>মোটিফগুলি</v>
      </c>
    </row>
    <row r="7062">
      <c r="A7062" s="2" t="s">
        <v>8070</v>
      </c>
      <c r="B7062" s="3" t="str">
        <f>IFERROR(__xludf.DUMMYFUNCTION("GOOGLETRANSLATE(A7062, ""ar"", ""bn"")"),"যাত্রীর সঙ্গের নিজলটবহর")</f>
        <v>যাত্রীর সঙ্গের নিজলটবহর</v>
      </c>
    </row>
    <row r="7063">
      <c r="A7063" s="2" t="s">
        <v>5543</v>
      </c>
      <c r="B7063" s="3" t="str">
        <f>IFERROR(__xludf.DUMMYFUNCTION("GOOGLETRANSLATE(A7063, ""ar"", ""bn"")"),"আবর্জনা")</f>
        <v>আবর্জনা</v>
      </c>
    </row>
    <row r="7064">
      <c r="A7064" s="2" t="s">
        <v>8071</v>
      </c>
      <c r="B7064" s="3" t="str">
        <f>IFERROR(__xludf.DUMMYFUNCTION("GOOGLETRANSLATE(A7064, ""ar"", ""bn"")"),"নিম্নতম স্থান")</f>
        <v>নিম্নতম স্থান</v>
      </c>
    </row>
    <row r="7065">
      <c r="A7065" s="2" t="s">
        <v>8072</v>
      </c>
      <c r="B7065" s="3" t="str">
        <f>IFERROR(__xludf.DUMMYFUNCTION("GOOGLETRANSLATE(A7065, ""ar"", ""bn"")"),"বাজে")</f>
        <v>বাজে</v>
      </c>
    </row>
    <row r="7066">
      <c r="A7066" s="2" t="s">
        <v>7445</v>
      </c>
      <c r="B7066" s="3" t="str">
        <f>IFERROR(__xludf.DUMMYFUNCTION("GOOGLETRANSLATE(A7066, ""ar"", ""bn"")"),"অভিঘাত")</f>
        <v>অভিঘাত</v>
      </c>
    </row>
    <row r="7067">
      <c r="A7067" s="2" t="s">
        <v>7449</v>
      </c>
      <c r="B7067" s="3" t="str">
        <f>IFERROR(__xludf.DUMMYFUNCTION("GOOGLETRANSLATE(A7067, ""ar"", ""bn"")"),"শক")</f>
        <v>শক</v>
      </c>
    </row>
    <row r="7068">
      <c r="A7068" s="2" t="s">
        <v>8073</v>
      </c>
      <c r="B7068" s="3" t="str">
        <f>IFERROR(__xludf.DUMMYFUNCTION("GOOGLETRANSLATE(A7068, ""ar"", ""bn"")"),"মানসিক আঘাত")</f>
        <v>মানসিক আঘাত</v>
      </c>
    </row>
    <row r="7069">
      <c r="A7069" s="2" t="s">
        <v>8074</v>
      </c>
      <c r="B7069" s="3" t="str">
        <f>IFERROR(__xludf.DUMMYFUNCTION("GOOGLETRANSLATE(A7069, ""ar"", ""bn"")"),"অভিঘাত")</f>
        <v>অভিঘাত</v>
      </c>
    </row>
    <row r="7070">
      <c r="A7070" s="2" t="s">
        <v>8075</v>
      </c>
      <c r="B7070" s="3" t="str">
        <f>IFERROR(__xludf.DUMMYFUNCTION("GOOGLETRANSLATE(A7070, ""ar"", ""bn"")"),"ব্যাথা")</f>
        <v>ব্যাথা</v>
      </c>
    </row>
    <row r="7071">
      <c r="A7071" s="2" t="s">
        <v>7445</v>
      </c>
      <c r="B7071" s="3" t="str">
        <f>IFERROR(__xludf.DUMMYFUNCTION("GOOGLETRANSLATE(A7071, ""ar"", ""bn"")"),"অভিঘাত")</f>
        <v>অভিঘাত</v>
      </c>
    </row>
    <row r="7072">
      <c r="A7072" s="2" t="s">
        <v>6039</v>
      </c>
      <c r="B7072" s="3" t="str">
        <f>IFERROR(__xludf.DUMMYFUNCTION("GOOGLETRANSLATE(A7072, ""ar"", ""bn"")"),"বাম")</f>
        <v>বাম</v>
      </c>
    </row>
    <row r="7073">
      <c r="A7073" s="2" t="s">
        <v>8076</v>
      </c>
      <c r="B7073" s="3" t="str">
        <f>IFERROR(__xludf.DUMMYFUNCTION("GOOGLETRANSLATE(A7073, ""ar"", ""bn"")"),"প্রতারণাপূর্ণ")</f>
        <v>প্রতারণাপূর্ণ</v>
      </c>
    </row>
    <row r="7074">
      <c r="A7074" s="2" t="s">
        <v>2494</v>
      </c>
      <c r="B7074" s="3" t="str">
        <f>IFERROR(__xludf.DUMMYFUNCTION("GOOGLETRANSLATE(A7074, ""ar"", ""bn"")"),"বিশ্বাসঘাতকতা")</f>
        <v>বিশ্বাসঘাতকতা</v>
      </c>
    </row>
    <row r="7075">
      <c r="A7075" s="2" t="s">
        <v>2494</v>
      </c>
      <c r="B7075" s="3" t="str">
        <f>IFERROR(__xludf.DUMMYFUNCTION("GOOGLETRANSLATE(A7075, ""ar"", ""bn"")"),"বিশ্বাসঘাতকতা")</f>
        <v>বিশ্বাসঘাতকতা</v>
      </c>
    </row>
    <row r="7076">
      <c r="A7076" s="2" t="s">
        <v>2489</v>
      </c>
      <c r="B7076" s="3" t="str">
        <f>IFERROR(__xludf.DUMMYFUNCTION("GOOGLETRANSLATE(A7076, ""ar"", ""bn"")"),"বিশ্বাসঘাতক")</f>
        <v>বিশ্বাসঘাতক</v>
      </c>
    </row>
    <row r="7077">
      <c r="A7077" s="2" t="s">
        <v>2494</v>
      </c>
      <c r="B7077" s="3" t="str">
        <f>IFERROR(__xludf.DUMMYFUNCTION("GOOGLETRANSLATE(A7077, ""ar"", ""bn"")"),"বিশ্বাসঘাতকতা")</f>
        <v>বিশ্বাসঘাতকতা</v>
      </c>
    </row>
    <row r="7078">
      <c r="A7078" s="2" t="s">
        <v>8077</v>
      </c>
      <c r="B7078" s="3" t="str">
        <f>IFERROR(__xludf.DUMMYFUNCTION("GOOGLETRANSLATE(A7078, ""ar"", ""bn"")"),"বিশ্বাসঘাতকতা")</f>
        <v>বিশ্বাসঘাতকতা</v>
      </c>
    </row>
    <row r="7079">
      <c r="A7079" s="2" t="s">
        <v>8078</v>
      </c>
      <c r="B7079" s="3" t="str">
        <f>IFERROR(__xludf.DUMMYFUNCTION("GOOGLETRANSLATE(A7079, ""ar"", ""bn"")"),"কাঁপা")</f>
        <v>কাঁপা</v>
      </c>
    </row>
    <row r="7080">
      <c r="A7080" s="2" t="s">
        <v>8079</v>
      </c>
      <c r="B7080" s="3" t="str">
        <f>IFERROR(__xludf.DUMMYFUNCTION("GOOGLETRANSLATE(A7080, ""ar"", ""bn"")"),"trembles")</f>
        <v>trembles</v>
      </c>
    </row>
    <row r="7081">
      <c r="A7081" s="2" t="s">
        <v>8080</v>
      </c>
      <c r="B7081" s="3" t="str">
        <f>IFERROR(__xludf.DUMMYFUNCTION("GOOGLETRANSLATE(A7081, ""ar"", ""bn"")"),"ট্রেম্ব্লার")</f>
        <v>ট্রেম্ব্লার</v>
      </c>
    </row>
    <row r="7082">
      <c r="A7082" s="2" t="s">
        <v>8081</v>
      </c>
      <c r="B7082" s="3" t="str">
        <f>IFERROR(__xludf.DUMMYFUNCTION("GOOGLETRANSLATE(A7082, ""ar"", ""bn"")"),"কম্পিত")</f>
        <v>কম্পিত</v>
      </c>
    </row>
    <row r="7083">
      <c r="A7083" s="2" t="s">
        <v>8082</v>
      </c>
      <c r="B7083" s="3" t="str">
        <f>IFERROR(__xludf.DUMMYFUNCTION("GOOGLETRANSLATE(A7083, ""ar"", ""bn"")"),"টুইটার")</f>
        <v>টুইটার</v>
      </c>
    </row>
    <row r="7084">
      <c r="A7084" s="2" t="s">
        <v>8083</v>
      </c>
      <c r="B7084" s="3" t="str">
        <f>IFERROR(__xludf.DUMMYFUNCTION("GOOGLETRANSLATE(A7084, ""ar"", ""bn"")"),"অন্যায়ভাবে সীমালঙ্ঘন")</f>
        <v>অন্যায়ভাবে সীমালঙ্ঘন</v>
      </c>
    </row>
    <row r="7085">
      <c r="A7085" s="2" t="s">
        <v>5112</v>
      </c>
      <c r="B7085" s="3" t="str">
        <f>IFERROR(__xludf.DUMMYFUNCTION("GOOGLETRANSLATE(A7085, ""ar"", ""bn"")"),"অতিক্রম করেছে")</f>
        <v>অতিক্রম করেছে</v>
      </c>
    </row>
    <row r="7086">
      <c r="A7086" s="2" t="s">
        <v>8059</v>
      </c>
      <c r="B7086" s="3" t="str">
        <f>IFERROR(__xludf.DUMMYFUNCTION("GOOGLETRANSLATE(A7086, ""ar"", ""bn"")"),"পাপ")</f>
        <v>পাপ</v>
      </c>
    </row>
    <row r="7087">
      <c r="A7087" s="2" t="s">
        <v>8084</v>
      </c>
      <c r="B7087" s="3" t="str">
        <f>IFERROR(__xludf.DUMMYFUNCTION("GOOGLETRANSLATE(A7087, ""ar"", ""bn"")"),"অনুপ্রবেশকারী")</f>
        <v>অনুপ্রবেশকারী</v>
      </c>
    </row>
    <row r="7088">
      <c r="A7088" s="2" t="s">
        <v>8085</v>
      </c>
      <c r="B7088" s="3" t="str">
        <f>IFERROR(__xludf.DUMMYFUNCTION("GOOGLETRANSLATE(A7088, ""ar"", ""bn"")"),"অন্যায়ের")</f>
        <v>অন্যায়ের</v>
      </c>
    </row>
    <row r="7089">
      <c r="A7089" s="2" t="s">
        <v>8086</v>
      </c>
      <c r="B7089" s="3" t="str">
        <f>IFERROR(__xludf.DUMMYFUNCTION("GOOGLETRANSLATE(A7089, ""ar"", ""bn"")"),"অনধিকারপ্রবেশকারী")</f>
        <v>অনধিকারপ্রবেশকারী</v>
      </c>
    </row>
    <row r="7090">
      <c r="A7090" s="2" t="s">
        <v>8087</v>
      </c>
      <c r="B7090" s="3" t="str">
        <f>IFERROR(__xludf.DUMMYFUNCTION("GOOGLETRANSLATE(A7090, ""ar"", ""bn"")"),"কৌতুক")</f>
        <v>কৌতুক</v>
      </c>
    </row>
    <row r="7091">
      <c r="A7091" s="2" t="s">
        <v>3587</v>
      </c>
      <c r="B7091" s="3" t="str">
        <f>IFERROR(__xludf.DUMMYFUNCTION("GOOGLETRANSLATE(A7091, ""ar"", ""bn"")"),"প্রতারিত")</f>
        <v>প্রতারিত</v>
      </c>
    </row>
    <row r="7092">
      <c r="A7092" s="2" t="s">
        <v>8088</v>
      </c>
      <c r="B7092" s="3" t="str">
        <f>IFERROR(__xludf.DUMMYFUNCTION("GOOGLETRANSLATE(A7092, ""ar"", ""bn"")"),"কপট")</f>
        <v>কপট</v>
      </c>
    </row>
    <row r="7093">
      <c r="A7093" s="2" t="s">
        <v>7765</v>
      </c>
      <c r="B7093" s="3" t="str">
        <f>IFERROR(__xludf.DUMMYFUNCTION("GOOGLETRANSLATE(A7093, ""ar"", ""bn"")"),"কঠিন")</f>
        <v>কঠিন</v>
      </c>
    </row>
    <row r="7094">
      <c r="A7094" s="2" t="s">
        <v>8039</v>
      </c>
      <c r="B7094" s="3" t="str">
        <f>IFERROR(__xludf.DUMMYFUNCTION("GOOGLETRANSLATE(A7094, ""ar"", ""bn"")"),"কঠিনতর")</f>
        <v>কঠিনতর</v>
      </c>
    </row>
    <row r="7095">
      <c r="A7095" s="2" t="s">
        <v>3587</v>
      </c>
      <c r="B7095" s="3" t="str">
        <f>IFERROR(__xludf.DUMMYFUNCTION("GOOGLETRANSLATE(A7095, ""ar"", ""bn"")"),"প্রতারিত")</f>
        <v>প্রতারিত</v>
      </c>
    </row>
    <row r="7096">
      <c r="A7096" s="2" t="s">
        <v>8089</v>
      </c>
      <c r="B7096" s="3" t="str">
        <f>IFERROR(__xludf.DUMMYFUNCTION("GOOGLETRANSLATE(A7096, ""ar"", ""bn"")"),"ক্ষরা")</f>
        <v>ক্ষরা</v>
      </c>
    </row>
    <row r="7097">
      <c r="A7097" s="2" t="s">
        <v>4546</v>
      </c>
      <c r="B7097" s="3" t="str">
        <f>IFERROR(__xludf.DUMMYFUNCTION("GOOGLETRANSLATE(A7097, ""ar"", ""bn"")"),"নির্গত")</f>
        <v>নির্গত</v>
      </c>
    </row>
    <row r="7098">
      <c r="A7098" s="2" t="s">
        <v>8090</v>
      </c>
      <c r="B7098" s="3" t="str">
        <f>IFERROR(__xludf.DUMMYFUNCTION("GOOGLETRANSLATE(A7098, ""ar"", ""bn"")"),"trickles")</f>
        <v>trickles</v>
      </c>
    </row>
    <row r="7099">
      <c r="A7099" s="2" t="s">
        <v>8091</v>
      </c>
      <c r="B7099" s="3" t="str">
        <f>IFERROR(__xludf.DUMMYFUNCTION("GOOGLETRANSLATE(A7099, ""ar"", ""bn"")"),"trickling")</f>
        <v>trickling</v>
      </c>
    </row>
    <row r="7100">
      <c r="A7100" s="2" t="s">
        <v>8092</v>
      </c>
      <c r="B7100" s="3" t="str">
        <f>IFERROR(__xludf.DUMMYFUNCTION("GOOGLETRANSLATE(A7100, ""ar"", ""bn"")"),"ঠাট")</f>
        <v>ঠাট</v>
      </c>
    </row>
    <row r="7101">
      <c r="A7101" s="2" t="s">
        <v>5463</v>
      </c>
      <c r="B7101" s="3" t="str">
        <f>IFERROR(__xludf.DUMMYFUNCTION("GOOGLETRANSLATE(A7101, ""ar"", ""bn"")"),"বিরূদ্ধে মানুষ")</f>
        <v>বিরূদ্ধে মানুষ</v>
      </c>
    </row>
    <row r="7102">
      <c r="A7102" s="2" t="s">
        <v>4301</v>
      </c>
      <c r="B7102" s="3" t="str">
        <f>IFERROR(__xludf.DUMMYFUNCTION("GOOGLETRANSLATE(A7102, ""ar"", ""bn"")"),"কথা বলবেন সে ধোঁকাবাজ")</f>
        <v>কথা বলবেন সে ধোঁকাবাজ</v>
      </c>
    </row>
    <row r="7103">
      <c r="A7103" s="2" t="s">
        <v>4725</v>
      </c>
      <c r="B7103" s="3" t="str">
        <f>IFERROR(__xludf.DUMMYFUNCTION("GOOGLETRANSLATE(A7103, ""ar"", ""bn"")"),"কঠিন")</f>
        <v>কঠিন</v>
      </c>
    </row>
    <row r="7104">
      <c r="A7104" s="2" t="s">
        <v>5679</v>
      </c>
      <c r="B7104" s="3" t="str">
        <f>IFERROR(__xludf.DUMMYFUNCTION("GOOGLETRANSLATE(A7104, ""ar"", ""bn"")"),"আঠাল")</f>
        <v>আঠাল</v>
      </c>
    </row>
    <row r="7105">
      <c r="A7105" s="2" t="s">
        <v>8093</v>
      </c>
      <c r="B7105" s="3" t="str">
        <f>IFERROR(__xludf.DUMMYFUNCTION("GOOGLETRANSLATE(A7105, ""ar"", ""bn"")"),"Triteness")</f>
        <v>Triteness</v>
      </c>
    </row>
    <row r="7106">
      <c r="A7106" s="2" t="s">
        <v>8094</v>
      </c>
      <c r="B7106" s="3" t="str">
        <f>IFERROR(__xludf.DUMMYFUNCTION("GOOGLETRANSLATE(A7106, ""ar"", ""bn"")"),"তুচ্ছ বস্তু")</f>
        <v>তুচ্ছ বস্তু</v>
      </c>
    </row>
    <row r="7107">
      <c r="A7107" s="2" t="s">
        <v>3515</v>
      </c>
      <c r="B7107" s="3" t="str">
        <f>IFERROR(__xludf.DUMMYFUNCTION("GOOGLETRANSLATE(A7107, ""ar"", ""bn"")"),"হেলাফেলা করা")</f>
        <v>হেলাফেলা করা</v>
      </c>
    </row>
    <row r="7108">
      <c r="A7108" s="2" t="s">
        <v>8095</v>
      </c>
      <c r="B7108" s="3" t="str">
        <f>IFERROR(__xludf.DUMMYFUNCTION("GOOGLETRANSLATE(A7108, ""ar"", ""bn"")"),"pales")</f>
        <v>pales</v>
      </c>
    </row>
    <row r="7109">
      <c r="A7109" s="2" t="s">
        <v>8096</v>
      </c>
      <c r="B7109" s="3" t="str">
        <f>IFERROR(__xludf.DUMMYFUNCTION("GOOGLETRANSLATE(A7109, ""ar"", ""bn"")"),"ন্যূনতম")</f>
        <v>ন্যূনতম</v>
      </c>
    </row>
    <row r="7110">
      <c r="A7110" s="2" t="s">
        <v>8097</v>
      </c>
      <c r="B7110" s="3" t="str">
        <f>IFERROR(__xludf.DUMMYFUNCTION("GOOGLETRANSLATE(A7110, ""ar"", ""bn"")"),"Trivialization")</f>
        <v>Trivialization</v>
      </c>
    </row>
    <row r="7111">
      <c r="A7111" s="2" t="s">
        <v>3516</v>
      </c>
      <c r="B7111" s="3" t="str">
        <f>IFERROR(__xludf.DUMMYFUNCTION("GOOGLETRANSLATE(A7111, ""ar"", ""bn"")"),"Trivialities")</f>
        <v>Trivialities</v>
      </c>
    </row>
    <row r="7112">
      <c r="A7112" s="2" t="s">
        <v>3517</v>
      </c>
      <c r="B7112" s="3" t="str">
        <f>IFERROR(__xludf.DUMMYFUNCTION("GOOGLETRANSLATE(A7112, ""ar"", ""bn"")"),"ক্ষুদ্রতা")</f>
        <v>ক্ষুদ্রতা</v>
      </c>
    </row>
    <row r="7113">
      <c r="A7113" s="2" t="s">
        <v>8098</v>
      </c>
      <c r="B7113" s="3" t="str">
        <f>IFERROR(__xludf.DUMMYFUNCTION("GOOGLETRANSLATE(A7113, ""ar"", ""bn"")"),"রসাল")</f>
        <v>রসাল</v>
      </c>
    </row>
    <row r="7114">
      <c r="A7114" s="2" t="s">
        <v>6892</v>
      </c>
      <c r="B7114" s="3" t="str">
        <f>IFERROR(__xludf.DUMMYFUNCTION("GOOGLETRANSLATE(A7114, ""ar"", ""bn"")"),"সমস্যা")</f>
        <v>সমস্যা</v>
      </c>
    </row>
    <row r="7115">
      <c r="A7115" s="2" t="s">
        <v>4894</v>
      </c>
      <c r="B7115" s="3" t="str">
        <f>IFERROR(__xludf.DUMMYFUNCTION("GOOGLETRANSLATE(A7115, ""ar"", ""bn"")"),"অস্থির")</f>
        <v>অস্থির</v>
      </c>
    </row>
    <row r="7116">
      <c r="A7116" s="2" t="s">
        <v>8099</v>
      </c>
      <c r="B7116" s="3" t="str">
        <f>IFERROR(__xludf.DUMMYFUNCTION("GOOGLETRANSLATE(A7116, ""ar"", ""bn"")"),"জননেতাসুলভ")</f>
        <v>জননেতাসুলভ</v>
      </c>
    </row>
    <row r="7117">
      <c r="A7117" s="2" t="s">
        <v>8100</v>
      </c>
      <c r="B7117" s="3" t="str">
        <f>IFERROR(__xludf.DUMMYFUNCTION("GOOGLETRANSLATE(A7117, ""ar"", ""bn"")"),"কষ্ট প্রস্তুতকারকদের")</f>
        <v>কষ্ট প্রস্তুতকারকদের</v>
      </c>
    </row>
    <row r="7118">
      <c r="A7118" s="2" t="s">
        <v>6896</v>
      </c>
      <c r="B7118" s="3" t="str">
        <f>IFERROR(__xludf.DUMMYFUNCTION("GOOGLETRANSLATE(A7118, ""ar"", ""bn"")"),"সমস্যা")</f>
        <v>সমস্যা</v>
      </c>
    </row>
    <row r="7119">
      <c r="A7119" s="2" t="s">
        <v>8101</v>
      </c>
      <c r="B7119" s="3" t="str">
        <f>IFERROR(__xludf.DUMMYFUNCTION("GOOGLETRANSLATE(A7119, ""ar"", ""bn"")"),"সমস্যা সমাধানকারী")</f>
        <v>সমস্যা সমাধানকারী</v>
      </c>
    </row>
    <row r="7120">
      <c r="A7120" s="2" t="s">
        <v>8102</v>
      </c>
      <c r="B7120" s="3" t="str">
        <f>IFERROR(__xludf.DUMMYFUNCTION("GOOGLETRANSLATE(A7120, ""ar"", ""bn"")"),"ভুল খুঁজে এটি সমাধান")</f>
        <v>ভুল খুঁজে এটি সমাধান</v>
      </c>
    </row>
    <row r="7121">
      <c r="A7121" s="2" t="s">
        <v>8102</v>
      </c>
      <c r="B7121" s="3" t="str">
        <f>IFERROR(__xludf.DUMMYFUNCTION("GOOGLETRANSLATE(A7121, ""ar"", ""bn"")"),"ভুল খুঁজে এটি সমাধান")</f>
        <v>ভুল খুঁজে এটি সমাধান</v>
      </c>
    </row>
    <row r="7122">
      <c r="A7122" s="2" t="s">
        <v>3386</v>
      </c>
      <c r="B7122" s="3" t="str">
        <f>IFERROR(__xludf.DUMMYFUNCTION("GOOGLETRANSLATE(A7122, ""ar"", ""bn"")"),"বিরক্তিকর")</f>
        <v>বিরক্তিকর</v>
      </c>
    </row>
    <row r="7123">
      <c r="A7123" s="2" t="s">
        <v>4836</v>
      </c>
      <c r="B7123" s="3" t="str">
        <f>IFERROR(__xludf.DUMMYFUNCTION("GOOGLETRANSLATE(A7123, ""ar"", ""bn"")"),"ঝগড়া")</f>
        <v>ঝগড়া</v>
      </c>
    </row>
    <row r="7124">
      <c r="A7124" s="2" t="s">
        <v>4961</v>
      </c>
      <c r="B7124" s="3" t="str">
        <f>IFERROR(__xludf.DUMMYFUNCTION("GOOGLETRANSLATE(A7124, ""ar"", ""bn"")"),"উদ্বেজক")</f>
        <v>উদ্বেজক</v>
      </c>
    </row>
    <row r="7125">
      <c r="A7125" s="2" t="s">
        <v>3203</v>
      </c>
      <c r="B7125" s="3" t="str">
        <f>IFERROR(__xludf.DUMMYFUNCTION("GOOGLETRANSLATE(A7125, ""ar"", ""bn"")"),"অনুপস্থিত")</f>
        <v>অনুপস্থিত</v>
      </c>
    </row>
    <row r="7126">
      <c r="A7126" s="2" t="s">
        <v>8103</v>
      </c>
      <c r="B7126" s="3" t="str">
        <f>IFERROR(__xludf.DUMMYFUNCTION("GOOGLETRANSLATE(A7126, ""ar"", ""bn"")"),"স্কুল এড়িয়ে")</f>
        <v>স্কুল এড়িয়ে</v>
      </c>
    </row>
    <row r="7127">
      <c r="A7127" s="2" t="s">
        <v>8104</v>
      </c>
      <c r="B7127" s="3" t="str">
        <f>IFERROR(__xludf.DUMMYFUNCTION("GOOGLETRANSLATE(A7127, ""ar"", ""bn"")"),"Truants")</f>
        <v>Truants</v>
      </c>
    </row>
    <row r="7128">
      <c r="A7128" s="2" t="s">
        <v>8105</v>
      </c>
      <c r="B7128" s="3" t="str">
        <f>IFERROR(__xludf.DUMMYFUNCTION("GOOGLETRANSLATE(A7128, ""ar"", ""bn"")"),"টানিয়া টানিয়া চলা")</f>
        <v>টানিয়া টানিয়া চলা</v>
      </c>
    </row>
    <row r="7129">
      <c r="A7129" s="2" t="s">
        <v>8106</v>
      </c>
      <c r="B7129" s="3" t="str">
        <f>IFERROR(__xludf.DUMMYFUNCTION("GOOGLETRANSLATE(A7129, ""ar"", ""bn"")"),"চলাফেরার পথ")</f>
        <v>চলাফেরার পথ</v>
      </c>
    </row>
    <row r="7130">
      <c r="A7130" s="2" t="s">
        <v>8107</v>
      </c>
      <c r="B7130" s="3" t="str">
        <f>IFERROR(__xludf.DUMMYFUNCTION("GOOGLETRANSLATE(A7130, ""ar"", ""bn"")"),"হাঁটা")</f>
        <v>হাঁটা</v>
      </c>
    </row>
    <row r="7131">
      <c r="A7131" s="2" t="s">
        <v>4894</v>
      </c>
      <c r="B7131" s="3" t="str">
        <f>IFERROR(__xludf.DUMMYFUNCTION("GOOGLETRANSLATE(A7131, ""ar"", ""bn"")"),"অস্থির")</f>
        <v>অস্থির</v>
      </c>
    </row>
    <row r="7132">
      <c r="A7132" s="2" t="s">
        <v>4893</v>
      </c>
      <c r="B7132" s="3" t="str">
        <f>IFERROR(__xludf.DUMMYFUNCTION("GOOGLETRANSLATE(A7132, ""ar"", ""bn"")"),"ঝামেলা")</f>
        <v>ঝামেলা</v>
      </c>
    </row>
    <row r="7133">
      <c r="A7133" s="2" t="s">
        <v>4082</v>
      </c>
      <c r="B7133" s="3" t="str">
        <f>IFERROR(__xludf.DUMMYFUNCTION("GOOGLETRANSLATE(A7133, ""ar"", ""bn"")"),"ডিসঅর্ডারস")</f>
        <v>ডিসঅর্ডারস</v>
      </c>
    </row>
    <row r="7134">
      <c r="A7134" s="2" t="s">
        <v>8108</v>
      </c>
      <c r="B7134" s="3" t="str">
        <f>IFERROR(__xludf.DUMMYFUNCTION("GOOGLETRANSLATE(A7134, ""ar"", ""bn"")"),"ক্রোধ")</f>
        <v>ক্রোধ</v>
      </c>
    </row>
    <row r="7135">
      <c r="A7135" s="2" t="s">
        <v>8109</v>
      </c>
      <c r="B7135" s="3" t="str">
        <f>IFERROR(__xludf.DUMMYFUNCTION("GOOGLETRANSLATE(A7135, ""ar"", ""bn"")"),"আকস্মিক টান")</f>
        <v>আকস্মিক টান</v>
      </c>
    </row>
    <row r="7136">
      <c r="A7136" s="2" t="s">
        <v>8110</v>
      </c>
      <c r="B7136" s="3" t="str">
        <f>IFERROR(__xludf.DUMMYFUNCTION("GOOGLETRANSLATE(A7136, ""ar"", ""bn"")"),"Twitched")</f>
        <v>Twitched</v>
      </c>
    </row>
    <row r="7137">
      <c r="A7137" s="2" t="s">
        <v>4248</v>
      </c>
      <c r="B7137" s="3" t="str">
        <f>IFERROR(__xludf.DUMMYFUNCTION("GOOGLETRANSLATE(A7137, ""ar"", ""bn"")"),"বাধা")</f>
        <v>বাধা</v>
      </c>
    </row>
    <row r="7138">
      <c r="A7138" s="2" t="s">
        <v>6884</v>
      </c>
      <c r="B7138" s="3" t="str">
        <f>IFERROR(__xludf.DUMMYFUNCTION("GOOGLETRANSLATE(A7138, ""ar"", ""bn"")"),"চিকিত্সা-পদ্ধতি বিশেষ")</f>
        <v>চিকিত্সা-পদ্ধতি বিশেষ</v>
      </c>
    </row>
    <row r="7139">
      <c r="A7139" s="2" t="s">
        <v>4894</v>
      </c>
      <c r="B7139" s="3" t="str">
        <f>IFERROR(__xludf.DUMMYFUNCTION("GOOGLETRANSLATE(A7139, ""ar"", ""bn"")"),"অস্থির")</f>
        <v>অস্থির</v>
      </c>
    </row>
    <row r="7140">
      <c r="A7140" s="2" t="s">
        <v>8111</v>
      </c>
      <c r="B7140" s="3" t="str">
        <f>IFERROR(__xludf.DUMMYFUNCTION("GOOGLETRANSLATE(A7140, ""ar"", ""bn"")"),"টুইটার")</f>
        <v>টুইটার</v>
      </c>
    </row>
    <row r="7141">
      <c r="A7141" s="2" t="s">
        <v>8112</v>
      </c>
      <c r="B7141" s="3" t="str">
        <f>IFERROR(__xludf.DUMMYFUNCTION("GOOGLETRANSLATE(A7141, ""ar"", ""bn"")"),"বাচাল ব্যক্তি")</f>
        <v>বাচাল ব্যক্তি</v>
      </c>
    </row>
    <row r="7142">
      <c r="A7142" s="2" t="s">
        <v>8113</v>
      </c>
      <c r="B7142" s="3" t="str">
        <f>IFERROR(__xludf.DUMMYFUNCTION("GOOGLETRANSLATE(A7142, ""ar"", ""bn"")"),"কিচিরমিচির")</f>
        <v>কিচিরমিচির</v>
      </c>
    </row>
    <row r="7143">
      <c r="A7143" s="2" t="s">
        <v>8109</v>
      </c>
      <c r="B7143" s="3" t="str">
        <f>IFERROR(__xludf.DUMMYFUNCTION("GOOGLETRANSLATE(A7143, ""ar"", ""bn"")"),"আকস্মিক টান")</f>
        <v>আকস্মিক টান</v>
      </c>
    </row>
    <row r="7144">
      <c r="A7144" s="2" t="s">
        <v>8110</v>
      </c>
      <c r="B7144" s="3" t="str">
        <f>IFERROR(__xludf.DUMMYFUNCTION("GOOGLETRANSLATE(A7144, ""ar"", ""bn"")"),"Twitched")</f>
        <v>Twitched</v>
      </c>
    </row>
    <row r="7145">
      <c r="A7145" s="2" t="s">
        <v>4248</v>
      </c>
      <c r="B7145" s="3" t="str">
        <f>IFERROR(__xludf.DUMMYFUNCTION("GOOGLETRANSLATE(A7145, ""ar"", ""bn"")"),"বাধা")</f>
        <v>বাধা</v>
      </c>
    </row>
    <row r="7146">
      <c r="A7146" s="2" t="s">
        <v>6884</v>
      </c>
      <c r="B7146" s="3" t="str">
        <f>IFERROR(__xludf.DUMMYFUNCTION("GOOGLETRANSLATE(A7146, ""ar"", ""bn"")"),"চিকিত্সা-পদ্ধতি বিশেষ")</f>
        <v>চিকিত্সা-পদ্ধতি বিশেষ</v>
      </c>
    </row>
    <row r="7147">
      <c r="A7147" s="2" t="s">
        <v>4894</v>
      </c>
      <c r="B7147" s="3" t="str">
        <f>IFERROR(__xludf.DUMMYFUNCTION("GOOGLETRANSLATE(A7147, ""ar"", ""bn"")"),"অস্থির")</f>
        <v>অস্থির</v>
      </c>
    </row>
    <row r="7148">
      <c r="A7148" s="2" t="s">
        <v>2510</v>
      </c>
      <c r="B7148" s="3" t="str">
        <f>IFERROR(__xludf.DUMMYFUNCTION("GOOGLETRANSLATE(A7148, ""ar"", ""bn"")"),"স্বৈরশাসন")</f>
        <v>স্বৈরশাসন</v>
      </c>
    </row>
    <row r="7149">
      <c r="A7149" s="2" t="s">
        <v>8114</v>
      </c>
      <c r="B7149" s="3" t="str">
        <f>IFERROR(__xludf.DUMMYFUNCTION("GOOGLETRANSLATE(A7149, ""ar"", ""bn"")"),"অত্যাচারী")</f>
        <v>অত্যাচারী</v>
      </c>
    </row>
    <row r="7150">
      <c r="A7150" s="2" t="s">
        <v>8115</v>
      </c>
      <c r="B7150" s="3" t="str">
        <f>IFERROR(__xludf.DUMMYFUNCTION("GOOGLETRANSLATE(A7150, ""ar"", ""bn"")"),"জালেম ও নিষ্ঠুরের")</f>
        <v>জালেম ও নিষ্ঠুরের</v>
      </c>
    </row>
    <row r="7151">
      <c r="A7151" s="2" t="s">
        <v>8116</v>
      </c>
      <c r="B7151" s="3" t="str">
        <f>IFERROR(__xludf.DUMMYFUNCTION("GOOGLETRANSLATE(A7151, ""ar"", ""bn"")"),"uglier")</f>
        <v>uglier</v>
      </c>
    </row>
    <row r="7152">
      <c r="A7152" s="2" t="s">
        <v>8117</v>
      </c>
      <c r="B7152" s="3" t="str">
        <f>IFERROR(__xludf.DUMMYFUNCTION("GOOGLETRANSLATE(A7152, ""ar"", ""bn"")"),"কুৎসিত")</f>
        <v>কুৎসিত</v>
      </c>
    </row>
    <row r="7153">
      <c r="A7153" s="2" t="s">
        <v>6588</v>
      </c>
      <c r="B7153" s="3" t="str">
        <f>IFERROR(__xludf.DUMMYFUNCTION("GOOGLETRANSLATE(A7153, ""ar"", ""bn"")"),"কদর্যতা")</f>
        <v>কদর্যতা</v>
      </c>
    </row>
    <row r="7154">
      <c r="A7154" s="2" t="s">
        <v>8118</v>
      </c>
      <c r="B7154" s="3" t="str">
        <f>IFERROR(__xludf.DUMMYFUNCTION("GOOGLETRANSLATE(A7154, ""ar"", ""bn"")"),"অরুপ")</f>
        <v>অরুপ</v>
      </c>
    </row>
    <row r="7155">
      <c r="A7155" s="2" t="s">
        <v>2511</v>
      </c>
      <c r="B7155" s="3" t="str">
        <f>IFERROR(__xludf.DUMMYFUNCTION("GOOGLETRANSLATE(A7155, ""ar"", ""bn"")"),"সতর্কতা")</f>
        <v>সতর্কতা</v>
      </c>
    </row>
    <row r="7156">
      <c r="A7156" s="2" t="s">
        <v>8119</v>
      </c>
      <c r="B7156" s="3" t="str">
        <f>IFERROR(__xludf.DUMMYFUNCTION("GOOGLETRANSLATE(A7156, ""ar"", ""bn"")"),"সতর্কবাণী")</f>
        <v>সতর্কবাণী</v>
      </c>
    </row>
    <row r="7157">
      <c r="A7157" s="2" t="s">
        <v>8120</v>
      </c>
      <c r="B7157" s="3" t="str">
        <f>IFERROR(__xludf.DUMMYFUNCTION("GOOGLETRANSLATE(A7157, ""ar"", ""bn"")"),"অভ্যস্থ নয়")</f>
        <v>অভ্যস্থ নয়</v>
      </c>
    </row>
    <row r="7158">
      <c r="A7158" s="2" t="s">
        <v>8121</v>
      </c>
      <c r="B7158" s="3" t="str">
        <f>IFERROR(__xludf.DUMMYFUNCTION("GOOGLETRANSLATE(A7158, ""ar"", ""bn"")"),"অনাকর্ষণীয়")</f>
        <v>অনাকর্ষণীয়</v>
      </c>
    </row>
    <row r="7159">
      <c r="A7159" s="2" t="s">
        <v>8122</v>
      </c>
      <c r="B7159" s="3" t="str">
        <f>IFERROR(__xludf.DUMMYFUNCTION("GOOGLETRANSLATE(A7159, ""ar"", ""bn"")"),"মাধ্যাকর্ষণ")</f>
        <v>মাধ্যাকর্ষণ</v>
      </c>
    </row>
    <row r="7160">
      <c r="A7160" s="2" t="s">
        <v>8123</v>
      </c>
      <c r="B7160" s="3" t="str">
        <f>IFERROR(__xludf.DUMMYFUNCTION("GOOGLETRANSLATE(A7160, ""ar"", ""bn"")"),"সত্যতা নিরূপিত")</f>
        <v>সত্যতা নিরূপিত</v>
      </c>
    </row>
    <row r="7161">
      <c r="A7161" s="2" t="s">
        <v>8124</v>
      </c>
      <c r="B7161" s="3" t="str">
        <f>IFERROR(__xludf.DUMMYFUNCTION("GOOGLETRANSLATE(A7161, ""ar"", ""bn"")"),"কোনভাবেই না")</f>
        <v>কোনভাবেই না</v>
      </c>
    </row>
    <row r="7162">
      <c r="A7162" s="2" t="s">
        <v>6078</v>
      </c>
      <c r="B7162" s="3" t="str">
        <f>IFERROR(__xludf.DUMMYFUNCTION("GOOGLETRANSLATE(A7162, ""ar"", ""bn"")"),"অসহ্য")</f>
        <v>অসহ্য</v>
      </c>
    </row>
    <row r="7163">
      <c r="A7163" s="2" t="s">
        <v>6078</v>
      </c>
      <c r="B7163" s="3" t="str">
        <f>IFERROR(__xludf.DUMMYFUNCTION("GOOGLETRANSLATE(A7163, ""ar"", ""bn"")"),"অসহ্য")</f>
        <v>অসহ্য</v>
      </c>
    </row>
    <row r="7164">
      <c r="A7164" s="2" t="s">
        <v>8125</v>
      </c>
      <c r="B7164" s="3" t="str">
        <f>IFERROR(__xludf.DUMMYFUNCTION("GOOGLETRANSLATE(A7164, ""ar"", ""bn"")"),"অবিশ্বাস্য")</f>
        <v>অবিশ্বাস্য</v>
      </c>
    </row>
    <row r="7165">
      <c r="A7165" s="2" t="s">
        <v>8125</v>
      </c>
      <c r="B7165" s="3" t="str">
        <f>IFERROR(__xludf.DUMMYFUNCTION("GOOGLETRANSLATE(A7165, ""ar"", ""bn"")"),"অবিশ্বাস্য")</f>
        <v>অবিশ্বাস্য</v>
      </c>
    </row>
    <row r="7166">
      <c r="A7166" s="2" t="s">
        <v>8126</v>
      </c>
      <c r="B7166" s="3" t="str">
        <f>IFERROR(__xludf.DUMMYFUNCTION("GOOGLETRANSLATE(A7166, ""ar"", ""bn"")"),"অনিশ্চিত")</f>
        <v>অনিশ্চিত</v>
      </c>
    </row>
    <row r="7167">
      <c r="A7167" s="2" t="s">
        <v>8127</v>
      </c>
      <c r="B7167" s="3" t="str">
        <f>IFERROR(__xludf.DUMMYFUNCTION("GOOGLETRANSLATE(A7167, ""ar"", ""bn"")"),"অনিশ্চয়তা")</f>
        <v>অনিশ্চয়তা</v>
      </c>
    </row>
    <row r="7168">
      <c r="A7168" s="2" t="s">
        <v>4996</v>
      </c>
      <c r="B7168" s="3" t="str">
        <f>IFERROR(__xludf.DUMMYFUNCTION("GOOGLETRANSLATE(A7168, ""ar"", ""bn"")"),"সন্দেহ")</f>
        <v>সন্দেহ</v>
      </c>
    </row>
    <row r="7169">
      <c r="A7169" s="2" t="s">
        <v>4987</v>
      </c>
      <c r="B7169" s="3" t="str">
        <f>IFERROR(__xludf.DUMMYFUNCTION("GOOGLETRANSLATE(A7169, ""ar"", ""bn"")"),"সন্দেহ")</f>
        <v>সন্দেহ</v>
      </c>
    </row>
    <row r="7170">
      <c r="A7170" s="2" t="s">
        <v>3530</v>
      </c>
      <c r="B7170" s="3" t="str">
        <f>IFERROR(__xludf.DUMMYFUNCTION("GOOGLETRANSLATE(A7170, ""ar"", ""bn"")"),"আদিম")</f>
        <v>আদিম</v>
      </c>
    </row>
    <row r="7171">
      <c r="A7171" s="2" t="s">
        <v>8128</v>
      </c>
      <c r="B7171" s="3" t="str">
        <f>IFERROR(__xludf.DUMMYFUNCTION("GOOGLETRANSLATE(A7171, ""ar"", ""bn"")"),"অসভ্য")</f>
        <v>অসভ্য</v>
      </c>
    </row>
    <row r="7172">
      <c r="A7172" s="2" t="s">
        <v>5940</v>
      </c>
      <c r="B7172" s="3" t="str">
        <f>IFERROR(__xludf.DUMMYFUNCTION("GOOGLETRANSLATE(A7172, ""ar"", ""bn"")"),"অপবিত্র")</f>
        <v>অপবিত্র</v>
      </c>
    </row>
    <row r="7173">
      <c r="A7173" s="2" t="s">
        <v>4801</v>
      </c>
      <c r="B7173" s="3" t="str">
        <f>IFERROR(__xludf.DUMMYFUNCTION("GOOGLETRANSLATE(A7173, ""ar"", ""bn"")"),"ময়লা")</f>
        <v>ময়লা</v>
      </c>
    </row>
    <row r="7174">
      <c r="A7174" s="2" t="s">
        <v>4806</v>
      </c>
      <c r="B7174" s="3" t="str">
        <f>IFERROR(__xludf.DUMMYFUNCTION("GOOGLETRANSLATE(A7174, ""ar"", ""bn"")"),"মলিন")</f>
        <v>মলিন</v>
      </c>
    </row>
    <row r="7175">
      <c r="A7175" s="2" t="s">
        <v>8129</v>
      </c>
      <c r="B7175" s="3" t="str">
        <f>IFERROR(__xludf.DUMMYFUNCTION("GOOGLETRANSLATE(A7175, ""ar"", ""bn"")"),"অস্পষ্ট")</f>
        <v>অস্পষ্ট</v>
      </c>
    </row>
    <row r="7176">
      <c r="A7176" s="2" t="s">
        <v>8130</v>
      </c>
      <c r="B7176" s="3" t="str">
        <f>IFERROR(__xludf.DUMMYFUNCTION("GOOGLETRANSLATE(A7176, ""ar"", ""bn"")"),"সাফ করা")</f>
        <v>সাফ করা</v>
      </c>
    </row>
    <row r="7177">
      <c r="A7177" s="2" t="s">
        <v>5956</v>
      </c>
      <c r="B7177" s="3" t="str">
        <f>IFERROR(__xludf.DUMMYFUNCTION("GOOGLETRANSLATE(A7177, ""ar"", ""bn"")"),"অস্বচ্ছন্দ")</f>
        <v>অস্বচ্ছন্দ</v>
      </c>
    </row>
    <row r="7178">
      <c r="A7178" s="2" t="s">
        <v>5956</v>
      </c>
      <c r="B7178" s="3" t="str">
        <f>IFERROR(__xludf.DUMMYFUNCTION("GOOGLETRANSLATE(A7178, ""ar"", ""bn"")"),"অস্বচ্ছন্দ")</f>
        <v>অস্বচ্ছন্দ</v>
      </c>
    </row>
    <row r="7179">
      <c r="A7179" s="2" t="s">
        <v>8131</v>
      </c>
      <c r="B7179" s="3" t="str">
        <f>IFERROR(__xludf.DUMMYFUNCTION("GOOGLETRANSLATE(A7179, ""ar"", ""bn"")"),"এটা নিয়ন্ত্রণ করতে পারবে না")</f>
        <v>এটা নিয়ন্ত্রণ করতে পারবে না</v>
      </c>
    </row>
    <row r="7180">
      <c r="A7180" s="2" t="s">
        <v>8132</v>
      </c>
      <c r="B7180" s="3" t="str">
        <f>IFERROR(__xludf.DUMMYFUNCTION("GOOGLETRANSLATE(A7180, ""ar"", ""bn"")"),"Uncontrollably")</f>
        <v>Uncontrollably</v>
      </c>
    </row>
    <row r="7181">
      <c r="A7181" s="2" t="s">
        <v>8133</v>
      </c>
      <c r="B7181" s="3" t="str">
        <f>IFERROR(__xludf.DUMMYFUNCTION("GOOGLETRANSLATE(A7181, ""ar"", ""bn"")"),"অবশ")</f>
        <v>অবশ</v>
      </c>
    </row>
    <row r="7182">
      <c r="A7182" s="2" t="s">
        <v>8134</v>
      </c>
      <c r="B7182" s="3" t="str">
        <f>IFERROR(__xludf.DUMMYFUNCTION("GOOGLETRANSLATE(A7182, ""ar"", ""bn"")"),"অপরিচিত")</f>
        <v>অপরিচিত</v>
      </c>
    </row>
    <row r="7183">
      <c r="A7183" s="2" t="s">
        <v>3714</v>
      </c>
      <c r="B7183" s="3" t="str">
        <f>IFERROR(__xludf.DUMMYFUNCTION("GOOGLETRANSLATE(A7183, ""ar"", ""bn"")"),"কর্কশতা")</f>
        <v>কর্কশতা</v>
      </c>
    </row>
    <row r="7184">
      <c r="A7184" s="2" t="s">
        <v>8135</v>
      </c>
      <c r="B7184" s="3" t="str">
        <f>IFERROR(__xludf.DUMMYFUNCTION("GOOGLETRANSLATE(A7184, ""ar"", ""bn"")"),"অধোদেশ খনন করা")</f>
        <v>অধোদেশ খনন করা</v>
      </c>
    </row>
    <row r="7185">
      <c r="A7185" s="2" t="s">
        <v>8136</v>
      </c>
      <c r="B7185" s="3" t="str">
        <f>IFERROR(__xludf.DUMMYFUNCTION("GOOGLETRANSLATE(A7185, ""ar"", ""bn"")"),"কমিয়ে")</f>
        <v>কমিয়ে</v>
      </c>
    </row>
    <row r="7186">
      <c r="A7186" s="2" t="s">
        <v>8137</v>
      </c>
      <c r="B7186" s="3" t="str">
        <f>IFERROR(__xludf.DUMMYFUNCTION("GOOGLETRANSLATE(A7186, ""ar"", ""bn"")"),"চলছে")</f>
        <v>চলছে</v>
      </c>
    </row>
    <row r="7187">
      <c r="A7187" s="2" t="s">
        <v>5764</v>
      </c>
      <c r="B7187" s="3" t="str">
        <f>IFERROR(__xludf.DUMMYFUNCTION("GOOGLETRANSLATE(A7187, ""ar"", ""bn"")"),"জাহান্নাম")</f>
        <v>জাহান্নাম</v>
      </c>
    </row>
    <row r="7188">
      <c r="A7188" s="2" t="s">
        <v>8138</v>
      </c>
      <c r="B7188" s="3" t="str">
        <f>IFERROR(__xludf.DUMMYFUNCTION("GOOGLETRANSLATE(A7188, ""ar"", ""bn"")"),"অনাবশ্যক")</f>
        <v>অনাবশ্যক</v>
      </c>
    </row>
    <row r="7189">
      <c r="A7189" s="2" t="s">
        <v>8139</v>
      </c>
      <c r="B7189" s="3" t="str">
        <f>IFERROR(__xludf.DUMMYFUNCTION("GOOGLETRANSLATE(A7189, ""ar"", ""bn"")"),"অনাবশ্যক")</f>
        <v>অনাবশ্যক</v>
      </c>
    </row>
    <row r="7190">
      <c r="A7190" s="2" t="s">
        <v>8138</v>
      </c>
      <c r="B7190" s="3" t="str">
        <f>IFERROR(__xludf.DUMMYFUNCTION("GOOGLETRANSLATE(A7190, ""ar"", ""bn"")"),"অনাবশ্যক")</f>
        <v>অনাবশ্যক</v>
      </c>
    </row>
    <row r="7191">
      <c r="A7191" s="2" t="s">
        <v>6618</v>
      </c>
      <c r="B7191" s="3" t="str">
        <f>IFERROR(__xludf.DUMMYFUNCTION("GOOGLETRANSLATE(A7191, ""ar"", ""bn"")"),"বাতিল")</f>
        <v>বাতিল</v>
      </c>
    </row>
    <row r="7192">
      <c r="A7192" s="2" t="s">
        <v>8140</v>
      </c>
      <c r="B7192" s="3" t="str">
        <f>IFERROR(__xludf.DUMMYFUNCTION("GOOGLETRANSLATE(A7192, ""ar"", ""bn"")"),"অসম্ভ্রান্ত")</f>
        <v>অসম্ভ্রান্ত</v>
      </c>
    </row>
    <row r="7193">
      <c r="A7193" s="2" t="s">
        <v>7409</v>
      </c>
      <c r="B7193" s="3" t="str">
        <f>IFERROR(__xludf.DUMMYFUNCTION("GOOGLETRANSLATE(A7193, ""ar"", ""bn"")"),"চোয়াল")</f>
        <v>চোয়াল</v>
      </c>
    </row>
    <row r="7194">
      <c r="A7194" s="2" t="s">
        <v>8141</v>
      </c>
      <c r="B7194" s="3" t="str">
        <f>IFERROR(__xludf.DUMMYFUNCTION("GOOGLETRANSLATE(A7194, ""ar"", ""bn"")"),"অনথিভুক্ত")</f>
        <v>অনথিভুক্ত</v>
      </c>
    </row>
    <row r="7195">
      <c r="A7195" s="2" t="s">
        <v>4628</v>
      </c>
      <c r="B7195" s="3" t="str">
        <f>IFERROR(__xludf.DUMMYFUNCTION("GOOGLETRANSLATE(A7195, ""ar"", ""bn"")"),"সর্বনাশ")</f>
        <v>সর্বনাশ</v>
      </c>
    </row>
    <row r="7196">
      <c r="A7196" s="2" t="s">
        <v>8142</v>
      </c>
      <c r="B7196" s="3" t="str">
        <f>IFERROR(__xludf.DUMMYFUNCTION("GOOGLETRANSLATE(A7196, ""ar"", ""bn"")"),"Alabtalat")</f>
        <v>Alabtalat</v>
      </c>
    </row>
    <row r="7197">
      <c r="A7197" s="2" t="s">
        <v>8143</v>
      </c>
      <c r="B7197" s="3" t="str">
        <f>IFERROR(__xludf.DUMMYFUNCTION("GOOGLETRANSLATE(A7197, ""ar"", ""bn"")"),"অ পোষ")</f>
        <v>অ পোষ</v>
      </c>
    </row>
    <row r="7198">
      <c r="A7198" s="2" t="s">
        <v>8144</v>
      </c>
      <c r="B7198" s="3" t="str">
        <f>IFERROR(__xludf.DUMMYFUNCTION("GOOGLETRANSLATE(A7198, ""ar"", ""bn"")"),"অসম্পন্ন")</f>
        <v>অসম্পন্ন</v>
      </c>
    </row>
    <row r="7199">
      <c r="A7199" s="2" t="s">
        <v>8145</v>
      </c>
      <c r="B7199" s="3" t="str">
        <f>IFERROR(__xludf.DUMMYFUNCTION("GOOGLETRANSLATE(A7199, ""ar"", ""bn"")"),"কোনো সন্দেহ নেই")</f>
        <v>কোনো সন্দেহ নেই</v>
      </c>
    </row>
    <row r="7200">
      <c r="A7200" s="2" t="s">
        <v>8146</v>
      </c>
      <c r="B7200" s="3" t="str">
        <f>IFERROR(__xludf.DUMMYFUNCTION("GOOGLETRANSLATE(A7200, ""ar"", ""bn"")"),"অবশ্যই")</f>
        <v>অবশ্যই</v>
      </c>
    </row>
    <row r="7201">
      <c r="A7201" s="2" t="s">
        <v>8144</v>
      </c>
      <c r="B7201" s="3" t="str">
        <f>IFERROR(__xludf.DUMMYFUNCTION("GOOGLETRANSLATE(A7201, ""ar"", ""bn"")"),"অসম্পন্ন")</f>
        <v>অসম্পন্ন</v>
      </c>
    </row>
    <row r="7202">
      <c r="A7202" s="2" t="s">
        <v>7877</v>
      </c>
      <c r="B7202" s="3" t="str">
        <f>IFERROR(__xludf.DUMMYFUNCTION("GOOGLETRANSLATE(A7202, ""ar"", ""bn"")"),"জরুরী না")</f>
        <v>জরুরী না</v>
      </c>
    </row>
    <row r="7203">
      <c r="A7203" s="2" t="s">
        <v>3397</v>
      </c>
      <c r="B7203" s="3" t="str">
        <f>IFERROR(__xludf.DUMMYFUNCTION("GOOGLETRANSLATE(A7203, ""ar"", ""bn"")"),"উদ্বেগ")</f>
        <v>উদ্বেগ</v>
      </c>
    </row>
    <row r="7204">
      <c r="A7204" s="2" t="s">
        <v>8147</v>
      </c>
      <c r="B7204" s="3" t="str">
        <f>IFERROR(__xludf.DUMMYFUNCTION("GOOGLETRANSLATE(A7204, ""ar"", ""bn"")"),"কঠিনভাবে")</f>
        <v>কঠিনভাবে</v>
      </c>
    </row>
    <row r="7205">
      <c r="A7205" s="2" t="s">
        <v>3324</v>
      </c>
      <c r="B7205" s="3" t="str">
        <f>IFERROR(__xludf.DUMMYFUNCTION("GOOGLETRANSLATE(A7205, ""ar"", ""bn"")"),"উদ্বেগ")</f>
        <v>উদ্বেগ</v>
      </c>
    </row>
    <row r="7206">
      <c r="A7206" s="2" t="s">
        <v>8148</v>
      </c>
      <c r="B7206" s="3" t="str">
        <f>IFERROR(__xludf.DUMMYFUNCTION("GOOGLETRANSLATE(A7206, ""ar"", ""bn"")"),"অস্থিতিশীল")</f>
        <v>অস্থিতিশীল</v>
      </c>
    </row>
    <row r="7207">
      <c r="A7207" s="2" t="s">
        <v>3324</v>
      </c>
      <c r="B7207" s="3" t="str">
        <f>IFERROR(__xludf.DUMMYFUNCTION("GOOGLETRANSLATE(A7207, ""ar"", ""bn"")"),"উদ্বেগ")</f>
        <v>উদ্বেগ</v>
      </c>
    </row>
    <row r="7208">
      <c r="A7208" s="2" t="s">
        <v>8148</v>
      </c>
      <c r="B7208" s="3" t="str">
        <f>IFERROR(__xludf.DUMMYFUNCTION("GOOGLETRANSLATE(A7208, ""ar"", ""bn"")"),"অস্থিতিশীল")</f>
        <v>অস্থিতিশীল</v>
      </c>
    </row>
    <row r="7209">
      <c r="A7209" s="2" t="s">
        <v>8149</v>
      </c>
      <c r="B7209" s="3" t="str">
        <f>IFERROR(__xludf.DUMMYFUNCTION("GOOGLETRANSLATE(A7209, ""ar"", ""bn"")"),"অ-সামাজিক")</f>
        <v>অ-সামাজিক</v>
      </c>
    </row>
    <row r="7210">
      <c r="A7210" s="2" t="s">
        <v>8150</v>
      </c>
      <c r="B7210" s="3" t="str">
        <f>IFERROR(__xludf.DUMMYFUNCTION("GOOGLETRANSLATE(A7210, ""ar"", ""bn"")"),"বেকার")</f>
        <v>বেকার</v>
      </c>
    </row>
    <row r="7211">
      <c r="A7211" s="2" t="s">
        <v>8151</v>
      </c>
      <c r="B7211" s="3" t="str">
        <f>IFERROR(__xludf.DUMMYFUNCTION("GOOGLETRANSLATE(A7211, ""ar"", ""bn"")"),"অসম")</f>
        <v>অসম</v>
      </c>
    </row>
    <row r="7212">
      <c r="A7212" s="2" t="s">
        <v>8152</v>
      </c>
      <c r="B7212" s="3" t="str">
        <f>IFERROR(__xludf.DUMMYFUNCTION("GOOGLETRANSLATE(A7212, ""ar"", ""bn"")"),"অনুপম")</f>
        <v>অনুপম</v>
      </c>
    </row>
    <row r="7213">
      <c r="A7213" s="2" t="s">
        <v>8151</v>
      </c>
      <c r="B7213" s="3" t="str">
        <f>IFERROR(__xludf.DUMMYFUNCTION("GOOGLETRANSLATE(A7213, ""ar"", ""bn"")"),"অসম")</f>
        <v>অসম</v>
      </c>
    </row>
    <row r="7214">
      <c r="A7214" s="2" t="s">
        <v>8153</v>
      </c>
      <c r="B7214" s="3" t="str">
        <f>IFERROR(__xludf.DUMMYFUNCTION("GOOGLETRANSLATE(A7214, ""ar"", ""bn"")"),"অমসৃণ")</f>
        <v>অমসৃণ</v>
      </c>
    </row>
    <row r="7215">
      <c r="A7215" s="2" t="s">
        <v>8154</v>
      </c>
      <c r="B7215" s="3" t="str">
        <f>IFERROR(__xludf.DUMMYFUNCTION("GOOGLETRANSLATE(A7215, ""ar"", ""bn"")"),"সমান না")</f>
        <v>সমান না</v>
      </c>
    </row>
    <row r="7216">
      <c r="A7216" s="2" t="s">
        <v>8155</v>
      </c>
      <c r="B7216" s="3" t="str">
        <f>IFERROR(__xludf.DUMMYFUNCTION("GOOGLETRANSLATE(A7216, ""ar"", ""bn"")"),"অসমতা")</f>
        <v>অসমতা</v>
      </c>
    </row>
    <row r="7217">
      <c r="A7217" s="2" t="s">
        <v>8156</v>
      </c>
      <c r="B7217" s="3" t="str">
        <f>IFERROR(__xludf.DUMMYFUNCTION("GOOGLETRANSLATE(A7217, ""ar"", ""bn"")"),"শান্ত")</f>
        <v>শান্ত</v>
      </c>
    </row>
    <row r="7218">
      <c r="A7218" s="2" t="s">
        <v>8157</v>
      </c>
      <c r="B7218" s="3" t="str">
        <f>IFERROR(__xludf.DUMMYFUNCTION("GOOGLETRANSLATE(A7218, ""ar"", ""bn"")"),"শান্তভাবে")</f>
        <v>শান্তভাবে</v>
      </c>
    </row>
    <row r="7219">
      <c r="A7219" s="2" t="s">
        <v>3194</v>
      </c>
      <c r="B7219" s="3" t="str">
        <f>IFERROR(__xludf.DUMMYFUNCTION("GOOGLETRANSLATE(A7219, ""ar"", ""bn"")"),"হঠাৎ")</f>
        <v>হঠাৎ</v>
      </c>
    </row>
    <row r="7220">
      <c r="A7220" s="2" t="s">
        <v>8158</v>
      </c>
      <c r="B7220" s="3" t="str">
        <f>IFERROR(__xludf.DUMMYFUNCTION("GOOGLETRANSLATE(A7220, ""ar"", ""bn"")"),"অন্যায্য")</f>
        <v>অন্যায্য</v>
      </c>
    </row>
    <row r="7221">
      <c r="A7221" s="2" t="s">
        <v>8159</v>
      </c>
      <c r="B7221" s="3" t="str">
        <f>IFERROR(__xludf.DUMMYFUNCTION("GOOGLETRANSLATE(A7221, ""ar"", ""bn"")"),"এটা ঠিক না")</f>
        <v>এটা ঠিক না</v>
      </c>
    </row>
    <row r="7222">
      <c r="A7222" s="2" t="s">
        <v>6674</v>
      </c>
      <c r="B7222" s="3" t="str">
        <f>IFERROR(__xludf.DUMMYFUNCTION("GOOGLETRANSLATE(A7222, ""ar"", ""bn"")"),"পক্ষপাতদুষ্টতা")</f>
        <v>পক্ষপাতদুষ্টতা</v>
      </c>
    </row>
    <row r="7223">
      <c r="A7223" s="2" t="s">
        <v>6043</v>
      </c>
      <c r="B7223" s="3" t="str">
        <f>IFERROR(__xludf.DUMMYFUNCTION("GOOGLETRANSLATE(A7223, ""ar"", ""bn"")"),"অবিশ্বস্ত")</f>
        <v>অবিশ্বস্ত</v>
      </c>
    </row>
    <row r="7224">
      <c r="A7224" s="2" t="s">
        <v>2494</v>
      </c>
      <c r="B7224" s="3" t="str">
        <f>IFERROR(__xludf.DUMMYFUNCTION("GOOGLETRANSLATE(A7224, ""ar"", ""bn"")"),"বিশ্বাসঘাতকতা")</f>
        <v>বিশ্বাসঘাতকতা</v>
      </c>
    </row>
    <row r="7225">
      <c r="A7225" s="2" t="s">
        <v>8134</v>
      </c>
      <c r="B7225" s="3" t="str">
        <f>IFERROR(__xludf.DUMMYFUNCTION("GOOGLETRANSLATE(A7225, ""ar"", ""bn"")"),"অপরিচিত")</f>
        <v>অপরিচিত</v>
      </c>
    </row>
    <row r="7226">
      <c r="A7226" s="2" t="s">
        <v>8160</v>
      </c>
      <c r="B7226" s="3" t="str">
        <f>IFERROR(__xludf.DUMMYFUNCTION("GOOGLETRANSLATE(A7226, ""ar"", ""bn"")"),"পরিচিতি অভাব")</f>
        <v>পরিচিতি অভাব</v>
      </c>
    </row>
    <row r="7227">
      <c r="A7227" s="2" t="s">
        <v>8161</v>
      </c>
      <c r="B7227" s="3" t="str">
        <f>IFERROR(__xludf.DUMMYFUNCTION("GOOGLETRANSLATE(A7227, ""ar"", ""bn"")"),"অনুভূতিহীন")</f>
        <v>অনুভূতিহীন</v>
      </c>
    </row>
    <row r="7228">
      <c r="A7228" s="2" t="s">
        <v>8162</v>
      </c>
      <c r="B7228" s="3" t="str">
        <f>IFERROR(__xludf.DUMMYFUNCTION("GOOGLETRANSLATE(A7228, ""ar"", ""bn"")"),"অনুত্তীর্ন")</f>
        <v>অনুত্তীর্ন</v>
      </c>
    </row>
    <row r="7229">
      <c r="A7229" s="2" t="s">
        <v>8163</v>
      </c>
      <c r="B7229" s="3" t="str">
        <f>IFERROR(__xludf.DUMMYFUNCTION("GOOGLETRANSLATE(A7229, ""ar"", ""bn"")"),"ফিটনেস অভাব")</f>
        <v>ফিটনেস অভাব</v>
      </c>
    </row>
    <row r="7230">
      <c r="A7230" s="2" t="s">
        <v>8164</v>
      </c>
      <c r="B7230" s="3" t="str">
        <f>IFERROR(__xludf.DUMMYFUNCTION("GOOGLETRANSLATE(A7230, ""ar"", ""bn"")"),"ফিট")</f>
        <v>ফিট</v>
      </c>
    </row>
    <row r="7231">
      <c r="A7231" s="2" t="s">
        <v>8165</v>
      </c>
      <c r="B7231" s="3" t="str">
        <f>IFERROR(__xludf.DUMMYFUNCTION("GOOGLETRANSLATE(A7231, ""ar"", ""bn"")"),"অপ্রত্যাশিত")</f>
        <v>অপ্রত্যাশিত</v>
      </c>
    </row>
    <row r="7232">
      <c r="A7232" s="2" t="s">
        <v>8166</v>
      </c>
      <c r="B7232" s="3" t="str">
        <f>IFERROR(__xludf.DUMMYFUNCTION("GOOGLETRANSLATE(A7232, ""ar"", ""bn"")"),"দুর্ভাগা")</f>
        <v>দুর্ভাগা</v>
      </c>
    </row>
    <row r="7233">
      <c r="A7233" s="2" t="s">
        <v>7105</v>
      </c>
      <c r="B7233" s="3" t="str">
        <f>IFERROR(__xludf.DUMMYFUNCTION("GOOGLETRANSLATE(A7233, ""ar"", ""bn"")"),"দুর্ভাগ্যবশত")</f>
        <v>দুর্ভাগ্যবশত</v>
      </c>
    </row>
    <row r="7234">
      <c r="A7234" s="2" t="s">
        <v>8167</v>
      </c>
      <c r="B7234" s="3" t="str">
        <f>IFERROR(__xludf.DUMMYFUNCTION("GOOGLETRANSLATE(A7234, ""ar"", ""bn"")"),"লোক,")</f>
        <v>লোক,</v>
      </c>
    </row>
    <row r="7235">
      <c r="A7235" s="2" t="s">
        <v>8168</v>
      </c>
      <c r="B7235" s="3" t="str">
        <f>IFERROR(__xludf.DUMMYFUNCTION("GOOGLETRANSLATE(A7235, ""ar"", ""bn"")"),"অনাত্মীয়")</f>
        <v>অনাত্মীয়</v>
      </c>
    </row>
    <row r="7236">
      <c r="A7236" s="2" t="s">
        <v>8169</v>
      </c>
      <c r="B7236" s="3" t="str">
        <f>IFERROR(__xludf.DUMMYFUNCTION("GOOGLETRANSLATE(A7236, ""ar"", ""bn"")"),"অকৃতজ্ঞ")</f>
        <v>অকৃতজ্ঞ</v>
      </c>
    </row>
    <row r="7237">
      <c r="A7237" s="2" t="s">
        <v>8170</v>
      </c>
      <c r="B7237" s="3" t="str">
        <f>IFERROR(__xludf.DUMMYFUNCTION("GOOGLETRANSLATE(A7237, ""ar"", ""bn"")"),"অকৃতজ্ঞ")</f>
        <v>অকৃতজ্ঞ</v>
      </c>
    </row>
    <row r="7238">
      <c r="A7238" s="2" t="s">
        <v>8171</v>
      </c>
      <c r="B7238" s="3" t="str">
        <f>IFERROR(__xludf.DUMMYFUNCTION("GOOGLETRANSLATE(A7238, ""ar"", ""bn"")"),"অসতর্ক")</f>
        <v>অসতর্ক</v>
      </c>
    </row>
    <row r="7239">
      <c r="A7239" s="2" t="s">
        <v>8172</v>
      </c>
      <c r="B7239" s="3" t="str">
        <f>IFERROR(__xludf.DUMMYFUNCTION("GOOGLETRANSLATE(A7239, ""ar"", ""bn"")"),"অশান্তি")</f>
        <v>অশান্তি</v>
      </c>
    </row>
    <row r="7240">
      <c r="A7240" s="2" t="s">
        <v>8173</v>
      </c>
      <c r="B7240" s="3" t="str">
        <f>IFERROR(__xludf.DUMMYFUNCTION("GOOGLETRANSLATE(A7240, ""ar"", ""bn"")"),"সবচেয়ে বেশি অসুখী")</f>
        <v>সবচেয়ে বেশি অসুখী</v>
      </c>
    </row>
    <row r="7241">
      <c r="A7241" s="2" t="s">
        <v>8174</v>
      </c>
      <c r="B7241" s="3" t="str">
        <f>IFERROR(__xludf.DUMMYFUNCTION("GOOGLETRANSLATE(A7241, ""ar"", ""bn"")"),"অসুখী")</f>
        <v>অসুখী</v>
      </c>
    </row>
    <row r="7242">
      <c r="A7242" s="2" t="s">
        <v>8172</v>
      </c>
      <c r="B7242" s="3" t="str">
        <f>IFERROR(__xludf.DUMMYFUNCTION("GOOGLETRANSLATE(A7242, ""ar"", ""bn"")"),"অশান্তি")</f>
        <v>অশান্তি</v>
      </c>
    </row>
    <row r="7243">
      <c r="A7243" s="2" t="s">
        <v>8175</v>
      </c>
      <c r="B7243" s="3" t="str">
        <f>IFERROR(__xludf.DUMMYFUNCTION("GOOGLETRANSLATE(A7243, ""ar"", ""bn"")"),"অসুখী")</f>
        <v>অসুখী</v>
      </c>
    </row>
    <row r="7244">
      <c r="A7244" s="2" t="s">
        <v>8176</v>
      </c>
      <c r="B7244" s="3" t="str">
        <f>IFERROR(__xludf.DUMMYFUNCTION("GOOGLETRANSLATE(A7244, ""ar"", ""bn"")"),"Oonhltar")</f>
        <v>Oonhltar</v>
      </c>
    </row>
    <row r="7245">
      <c r="A7245" s="2" t="s">
        <v>8177</v>
      </c>
      <c r="B7245" s="3" t="str">
        <f>IFERROR(__xludf.DUMMYFUNCTION("GOOGLETRANSLATE(A7245, ""ar"", ""bn"")"),"অস্বাস্থ্যকর")</f>
        <v>অস্বাস্থ্যকর</v>
      </c>
    </row>
    <row r="7246">
      <c r="A7246" s="2" t="s">
        <v>8177</v>
      </c>
      <c r="B7246" s="3" t="str">
        <f>IFERROR(__xludf.DUMMYFUNCTION("GOOGLETRANSLATE(A7246, ""ar"", ""bn"")"),"অস্বাস্থ্যকর")</f>
        <v>অস্বাস্থ্যকর</v>
      </c>
    </row>
    <row r="7247">
      <c r="A7247" s="2" t="s">
        <v>8178</v>
      </c>
      <c r="B7247" s="3" t="str">
        <f>IFERROR(__xludf.DUMMYFUNCTION("GOOGLETRANSLATE(A7247, ""ar"", ""bn"")"),"অস্বাস্থ্যকর")</f>
        <v>অস্বাস্থ্যকর</v>
      </c>
    </row>
    <row r="7248">
      <c r="A7248" s="2" t="s">
        <v>8179</v>
      </c>
      <c r="B7248" s="3" t="str">
        <f>IFERROR(__xludf.DUMMYFUNCTION("GOOGLETRANSLATE(A7248, ""ar"", ""bn"")"),"গুরুত্বপুর্ন না")</f>
        <v>গুরুত্বপুর্ন না</v>
      </c>
    </row>
    <row r="7249">
      <c r="A7249" s="2" t="s">
        <v>8180</v>
      </c>
      <c r="B7249" s="3" t="str">
        <f>IFERROR(__xludf.DUMMYFUNCTION("GOOGLETRANSLATE(A7249, ""ar"", ""bn"")"),"সতর্ক")</f>
        <v>সতর্ক</v>
      </c>
    </row>
    <row r="7250">
      <c r="A7250" s="2" t="s">
        <v>8181</v>
      </c>
      <c r="B7250" s="3" t="str">
        <f>IFERROR(__xludf.DUMMYFUNCTION("GOOGLETRANSLATE(A7250, ""ar"", ""bn"")"),"বিনয়ী")</f>
        <v>বিনয়ী</v>
      </c>
    </row>
    <row r="7251">
      <c r="A7251" s="2" t="s">
        <v>2942</v>
      </c>
      <c r="B7251" s="3" t="str">
        <f>IFERROR(__xludf.DUMMYFUNCTION("GOOGLETRANSLATE(A7251, ""ar"", ""bn"")"),"অজ্ঞতা")</f>
        <v>অজ্ঞতা</v>
      </c>
    </row>
    <row r="7252">
      <c r="A7252" s="2" t="s">
        <v>6680</v>
      </c>
      <c r="B7252" s="3" t="str">
        <f>IFERROR(__xludf.DUMMYFUNCTION("GOOGLETRANSLATE(A7252, ""ar"", ""bn"")"),"অন্যায্য")</f>
        <v>অন্যায্য</v>
      </c>
    </row>
    <row r="7253">
      <c r="A7253" s="2" t="s">
        <v>8182</v>
      </c>
      <c r="B7253" s="3" t="str">
        <f>IFERROR(__xludf.DUMMYFUNCTION("GOOGLETRANSLATE(A7253, ""ar"", ""bn"")"),"কোন ন্যায্যতা প্রতিপাদন করা")</f>
        <v>কোন ন্যায্যতা প্রতিপাদন করা</v>
      </c>
    </row>
    <row r="7254">
      <c r="A7254" s="2" t="s">
        <v>8182</v>
      </c>
      <c r="B7254" s="3" t="str">
        <f>IFERROR(__xludf.DUMMYFUNCTION("GOOGLETRANSLATE(A7254, ""ar"", ""bn"")"),"কোন ন্যায্যতা প্রতিপাদন করা")</f>
        <v>কোন ন্যায্যতা প্রতিপাদন করা</v>
      </c>
    </row>
    <row r="7255">
      <c r="A7255" s="2" t="s">
        <v>8183</v>
      </c>
      <c r="B7255" s="3" t="str">
        <f>IFERROR(__xludf.DUMMYFUNCTION("GOOGLETRANSLATE(A7255, ""ar"", ""bn"")"),"অহেতুক")</f>
        <v>অহেতুক</v>
      </c>
    </row>
    <row r="7256">
      <c r="A7256" s="2" t="s">
        <v>8184</v>
      </c>
      <c r="B7256" s="3" t="str">
        <f>IFERROR(__xludf.DUMMYFUNCTION("GOOGLETRANSLATE(A7256, ""ar"", ""bn"")"),"অযথা")</f>
        <v>অযথা</v>
      </c>
    </row>
    <row r="7257">
      <c r="A7257" s="2" t="s">
        <v>8182</v>
      </c>
      <c r="B7257" s="3" t="str">
        <f>IFERROR(__xludf.DUMMYFUNCTION("GOOGLETRANSLATE(A7257, ""ar"", ""bn"")"),"কোন ন্যায্যতা প্রতিপাদন করা")</f>
        <v>কোন ন্যায্যতা প্রতিপাদন করা</v>
      </c>
    </row>
    <row r="7258">
      <c r="A7258" s="2" t="s">
        <v>8182</v>
      </c>
      <c r="B7258" s="3" t="str">
        <f>IFERROR(__xludf.DUMMYFUNCTION("GOOGLETRANSLATE(A7258, ""ar"", ""bn"")"),"কোন ন্যায্যতা প্রতিপাদন করা")</f>
        <v>কোন ন্যায্যতা প্রতিপাদন করা</v>
      </c>
    </row>
    <row r="7259">
      <c r="A7259" s="2" t="s">
        <v>8183</v>
      </c>
      <c r="B7259" s="3" t="str">
        <f>IFERROR(__xludf.DUMMYFUNCTION("GOOGLETRANSLATE(A7259, ""ar"", ""bn"")"),"অহেতুক")</f>
        <v>অহেতুক</v>
      </c>
    </row>
    <row r="7260">
      <c r="A7260" s="2" t="s">
        <v>4335</v>
      </c>
      <c r="B7260" s="3" t="str">
        <f>IFERROR(__xludf.DUMMYFUNCTION("GOOGLETRANSLATE(A7260, ""ar"", ""bn"")"),"কঠোর")</f>
        <v>কঠোর</v>
      </c>
    </row>
    <row r="7261">
      <c r="A7261" s="2" t="s">
        <v>8185</v>
      </c>
      <c r="B7261" s="3" t="str">
        <f>IFERROR(__xludf.DUMMYFUNCTION("GOOGLETRANSLATE(A7261, ""ar"", ""bn"")"),"অভদ্র")</f>
        <v>অভদ্র</v>
      </c>
    </row>
    <row r="7262">
      <c r="A7262" s="2" t="s">
        <v>4337</v>
      </c>
      <c r="B7262" s="3" t="str">
        <f>IFERROR(__xludf.DUMMYFUNCTION("GOOGLETRANSLATE(A7262, ""ar"", ""bn"")"),"নিষ্ঠুরতা")</f>
        <v>নিষ্ঠুরতা</v>
      </c>
    </row>
    <row r="7263">
      <c r="A7263" s="2" t="s">
        <v>5873</v>
      </c>
      <c r="B7263" s="3" t="str">
        <f>IFERROR(__xludf.DUMMYFUNCTION("GOOGLETRANSLATE(A7263, ""ar"", ""bn"")"),"অবৈধ")</f>
        <v>অবৈধ</v>
      </c>
    </row>
    <row r="7264">
      <c r="A7264" s="2" t="s">
        <v>5876</v>
      </c>
      <c r="B7264" s="3" t="str">
        <f>IFERROR(__xludf.DUMMYFUNCTION("GOOGLETRANSLATE(A7264, ""ar"", ""bn"")"),"অবৈধভাবে")</f>
        <v>অবৈধভাবে</v>
      </c>
    </row>
    <row r="7265">
      <c r="A7265" s="2" t="s">
        <v>8186</v>
      </c>
      <c r="B7265" s="3" t="str">
        <f>IFERROR(__xludf.DUMMYFUNCTION("GOOGLETRANSLATE(A7265, ""ar"", ""bn"")"),"বৈধতা")</f>
        <v>বৈধতা</v>
      </c>
    </row>
    <row r="7266">
      <c r="A7266" s="2" t="s">
        <v>8187</v>
      </c>
      <c r="B7266" s="3" t="str">
        <f>IFERROR(__xludf.DUMMYFUNCTION("GOOGLETRANSLATE(A7266, ""ar"", ""bn"")"),"loveable")</f>
        <v>loveable</v>
      </c>
    </row>
    <row r="7267">
      <c r="A7267" s="2" t="s">
        <v>8188</v>
      </c>
      <c r="B7267" s="3" t="str">
        <f>IFERROR(__xludf.DUMMYFUNCTION("GOOGLETRANSLATE(A7267, ""ar"", ""bn"")"),"ঘৃণ্য")</f>
        <v>ঘৃণ্য</v>
      </c>
    </row>
    <row r="7268">
      <c r="A7268" s="2" t="s">
        <v>8189</v>
      </c>
      <c r="B7268" s="3" t="str">
        <f>IFERROR(__xludf.DUMMYFUNCTION("GOOGLETRANSLATE(A7268, ""ar"", ""bn"")"),"জঘন্য")</f>
        <v>জঘন্য</v>
      </c>
    </row>
    <row r="7269">
      <c r="A7269" s="2" t="s">
        <v>8190</v>
      </c>
      <c r="B7269" s="3" t="str">
        <f>IFERROR(__xludf.DUMMYFUNCTION("GOOGLETRANSLATE(A7269, ""ar"", ""bn"")"),"অনুরক্তিহীন")</f>
        <v>অনুরক্তিহীন</v>
      </c>
    </row>
    <row r="7270">
      <c r="A7270" s="2" t="s">
        <v>5713</v>
      </c>
      <c r="B7270" s="3" t="str">
        <f>IFERROR(__xludf.DUMMYFUNCTION("GOOGLETRANSLATE(A7270, ""ar"", ""bn"")"),"হতভাগ্য")</f>
        <v>হতভাগ্য</v>
      </c>
    </row>
    <row r="7271">
      <c r="A7271" s="2" t="s">
        <v>3399</v>
      </c>
      <c r="B7271" s="3" t="str">
        <f>IFERROR(__xludf.DUMMYFUNCTION("GOOGLETRANSLATE(A7271, ""ar"", ""bn"")"),"উদাসী")</f>
        <v>উদাসী</v>
      </c>
    </row>
    <row r="7272">
      <c r="A7272" s="2" t="s">
        <v>3180</v>
      </c>
      <c r="B7272" s="3" t="str">
        <f>IFERROR(__xludf.DUMMYFUNCTION("GOOGLETRANSLATE(A7272, ""ar"", ""bn"")"),"অস্বাভাবিক")</f>
        <v>অস্বাভাবিক</v>
      </c>
    </row>
    <row r="7273">
      <c r="A7273" s="2" t="s">
        <v>3180</v>
      </c>
      <c r="B7273" s="3" t="str">
        <f>IFERROR(__xludf.DUMMYFUNCTION("GOOGLETRANSLATE(A7273, ""ar"", ""bn"")"),"অস্বাভাবিক")</f>
        <v>অস্বাভাবিক</v>
      </c>
    </row>
    <row r="7274">
      <c r="A7274" s="2" t="s">
        <v>8191</v>
      </c>
      <c r="B7274" s="3" t="str">
        <f>IFERROR(__xludf.DUMMYFUNCTION("GOOGLETRANSLATE(A7274, ""ar"", ""bn"")"),"অপ্রয়োজনীয়")</f>
        <v>অপ্রয়োজনীয়</v>
      </c>
    </row>
    <row r="7275">
      <c r="A7275" s="2" t="s">
        <v>7877</v>
      </c>
      <c r="B7275" s="3" t="str">
        <f>IFERROR(__xludf.DUMMYFUNCTION("GOOGLETRANSLATE(A7275, ""ar"", ""bn"")"),"জরুরী না")</f>
        <v>জরুরী না</v>
      </c>
    </row>
    <row r="7276">
      <c r="A7276" s="2" t="s">
        <v>8192</v>
      </c>
      <c r="B7276" s="3" t="str">
        <f>IFERROR(__xludf.DUMMYFUNCTION("GOOGLETRANSLATE(A7276, ""ar"", ""bn"")"),"সাহসশূন্য বলশূন্য করা")</f>
        <v>সাহসশূন্য বলশূন্য করা</v>
      </c>
    </row>
    <row r="7277">
      <c r="A7277" s="2" t="s">
        <v>7799</v>
      </c>
      <c r="B7277" s="3" t="str">
        <f>IFERROR(__xludf.DUMMYFUNCTION("GOOGLETRANSLATE(A7277, ""ar"", ""bn"")"),"চিন্তা")</f>
        <v>চিন্তা</v>
      </c>
    </row>
    <row r="7278">
      <c r="A7278" s="2" t="s">
        <v>8193</v>
      </c>
      <c r="B7278" s="3" t="str">
        <f>IFERROR(__xludf.DUMMYFUNCTION("GOOGLETRANSLATE(A7278, ""ar"", ""bn"")"),"অলক্ষিত এক")</f>
        <v>অলক্ষিত এক</v>
      </c>
    </row>
    <row r="7279">
      <c r="A7279" s="2" t="s">
        <v>8194</v>
      </c>
      <c r="B7279" s="3" t="str">
        <f>IFERROR(__xludf.DUMMYFUNCTION("GOOGLETRANSLATE(A7279, ""ar"", ""bn"")"),"গোপন")</f>
        <v>গোপন</v>
      </c>
    </row>
    <row r="7280">
      <c r="A7280" s="2" t="s">
        <v>3177</v>
      </c>
      <c r="B7280" s="3" t="str">
        <f>IFERROR(__xludf.DUMMYFUNCTION("GOOGLETRANSLATE(A7280, ""ar"", ""bn"")"),"অরূচিকর")</f>
        <v>অরূচিকর</v>
      </c>
    </row>
    <row r="7281">
      <c r="A7281" s="2" t="s">
        <v>8195</v>
      </c>
      <c r="B7281" s="3" t="str">
        <f>IFERROR(__xludf.DUMMYFUNCTION("GOOGLETRANSLATE(A7281, ""ar"", ""bn"")"),"ভিন্নমত")</f>
        <v>ভিন্নমত</v>
      </c>
    </row>
    <row r="7282">
      <c r="A7282" s="2" t="s">
        <v>8196</v>
      </c>
      <c r="B7282" s="3" t="str">
        <f>IFERROR(__xludf.DUMMYFUNCTION("GOOGLETRANSLATE(A7282, ""ar"", ""bn"")"),"তথাপি")</f>
        <v>তথাপি</v>
      </c>
    </row>
    <row r="7283">
      <c r="A7283" s="2" t="s">
        <v>8197</v>
      </c>
      <c r="B7283" s="3" t="str">
        <f>IFERROR(__xludf.DUMMYFUNCTION("GOOGLETRANSLATE(A7283, ""ar"", ""bn"")"),"জনসাধারণের অপ্রি়")</f>
        <v>জনসাধারণের অপ্রি়</v>
      </c>
    </row>
    <row r="7284">
      <c r="A7284" s="2" t="s">
        <v>8198</v>
      </c>
      <c r="B7284" s="3" t="str">
        <f>IFERROR(__xludf.DUMMYFUNCTION("GOOGLETRANSLATE(A7284, ""ar"", ""bn"")"),"জনপ্রিয়তা")</f>
        <v>জনপ্রিয়তা</v>
      </c>
    </row>
    <row r="7285">
      <c r="A7285" s="2" t="s">
        <v>8199</v>
      </c>
      <c r="B7285" s="3" t="str">
        <f>IFERROR(__xludf.DUMMYFUNCTION("GOOGLETRANSLATE(A7285, ""ar"", ""bn"")"),"লাভহীন")</f>
        <v>লাভহীন</v>
      </c>
    </row>
    <row r="7286">
      <c r="A7286" s="2" t="s">
        <v>8200</v>
      </c>
      <c r="B7286" s="3" t="str">
        <f>IFERROR(__xludf.DUMMYFUNCTION("GOOGLETRANSLATE(A7286, ""ar"", ""bn"")"),"অরক্ষিত")</f>
        <v>অরক্ষিত</v>
      </c>
    </row>
    <row r="7287">
      <c r="A7287" s="2" t="s">
        <v>8162</v>
      </c>
      <c r="B7287" s="3" t="str">
        <f>IFERROR(__xludf.DUMMYFUNCTION("GOOGLETRANSLATE(A7287, ""ar"", ""bn"")"),"অনুত্তীর্ন")</f>
        <v>অনুত্তীর্ন</v>
      </c>
    </row>
    <row r="7288">
      <c r="A7288" s="2" t="s">
        <v>6871</v>
      </c>
      <c r="B7288" s="3" t="str">
        <f>IFERROR(__xludf.DUMMYFUNCTION("GOOGLETRANSLATE(A7288, ""ar"", ""bn"")"),"অবিশ্বাস্য")</f>
        <v>অবিশ্বাস্য</v>
      </c>
    </row>
    <row r="7289">
      <c r="A7289" s="2" t="s">
        <v>8201</v>
      </c>
      <c r="B7289" s="3" t="str">
        <f>IFERROR(__xludf.DUMMYFUNCTION("GOOGLETRANSLATE(A7289, ""ar"", ""bn"")"),"যুক্তিবাদিতা")</f>
        <v>যুক্তিবাদিতা</v>
      </c>
    </row>
    <row r="7290">
      <c r="A7290" s="2" t="s">
        <v>6871</v>
      </c>
      <c r="B7290" s="3" t="str">
        <f>IFERROR(__xludf.DUMMYFUNCTION("GOOGLETRANSLATE(A7290, ""ar"", ""bn"")"),"অবিশ্বাস্য")</f>
        <v>অবিশ্বাস্য</v>
      </c>
    </row>
    <row r="7291">
      <c r="A7291" s="2" t="s">
        <v>8202</v>
      </c>
      <c r="B7291" s="3" t="str">
        <f>IFERROR(__xludf.DUMMYFUNCTION("GOOGLETRANSLATE(A7291, ""ar"", ""bn"")"),"সত্যতা")</f>
        <v>সত্যতা</v>
      </c>
    </row>
    <row r="7292">
      <c r="A7292" s="2" t="s">
        <v>8203</v>
      </c>
      <c r="B7292" s="3" t="str">
        <f>IFERROR(__xludf.DUMMYFUNCTION("GOOGLETRANSLATE(A7292, ""ar"", ""bn"")"),"অবিশ্বাসযোগ্য")</f>
        <v>অবিশ্বাসযোগ্য</v>
      </c>
    </row>
    <row r="7293">
      <c r="A7293" s="2" t="s">
        <v>8204</v>
      </c>
      <c r="B7293" s="3" t="str">
        <f>IFERROR(__xludf.DUMMYFUNCTION("GOOGLETRANSLATE(A7293, ""ar"", ""bn"")"),"অবিশ্বস্থ")</f>
        <v>অবিশ্বস্থ</v>
      </c>
    </row>
    <row r="7294">
      <c r="A7294" s="2" t="s">
        <v>4893</v>
      </c>
      <c r="B7294" s="3" t="str">
        <f>IFERROR(__xludf.DUMMYFUNCTION("GOOGLETRANSLATE(A7294, ""ar"", ""bn"")"),"ঝামেলা")</f>
        <v>ঝামেলা</v>
      </c>
    </row>
    <row r="7295">
      <c r="A7295" s="2" t="s">
        <v>8205</v>
      </c>
      <c r="B7295" s="3" t="str">
        <f>IFERROR(__xludf.DUMMYFUNCTION("GOOGLETRANSLATE(A7295, ""ar"", ""bn"")"),"শিথিল")</f>
        <v>শিথিল</v>
      </c>
    </row>
    <row r="7296">
      <c r="A7296" s="2" t="s">
        <v>4970</v>
      </c>
      <c r="B7296" s="3" t="str">
        <f>IFERROR(__xludf.DUMMYFUNCTION("GOOGLETRANSLATE(A7296, ""ar"", ""bn"")"),"পরম")</f>
        <v>পরম</v>
      </c>
    </row>
    <row r="7297">
      <c r="A7297" s="2" t="s">
        <v>4082</v>
      </c>
      <c r="B7297" s="3" t="str">
        <f>IFERROR(__xludf.DUMMYFUNCTION("GOOGLETRANSLATE(A7297, ""ar"", ""bn"")"),"ডিসঅর্ডারস")</f>
        <v>ডিসঅর্ডারস</v>
      </c>
    </row>
    <row r="7298">
      <c r="A7298" s="2" t="s">
        <v>6648</v>
      </c>
      <c r="B7298" s="3" t="str">
        <f>IFERROR(__xludf.DUMMYFUNCTION("GOOGLETRANSLATE(A7298, ""ar"", ""bn"")"),"একগুঁয়ে")</f>
        <v>একগুঁয়ে</v>
      </c>
    </row>
    <row r="7299">
      <c r="A7299" s="2" t="s">
        <v>6035</v>
      </c>
      <c r="B7299" s="3" t="str">
        <f>IFERROR(__xludf.DUMMYFUNCTION("GOOGLETRANSLATE(A7299, ""ar"", ""bn"")"),"বিপজ্জনক")</f>
        <v>বিপজ্জনক</v>
      </c>
    </row>
    <row r="7300">
      <c r="A7300" s="2" t="s">
        <v>8206</v>
      </c>
      <c r="B7300" s="3" t="str">
        <f>IFERROR(__xludf.DUMMYFUNCTION("GOOGLETRANSLATE(A7300, ""ar"", ""bn"")"),"নিরাপদ না")</f>
        <v>নিরাপদ না</v>
      </c>
    </row>
    <row r="7301">
      <c r="A7301" s="2" t="s">
        <v>8207</v>
      </c>
      <c r="B7301" s="3" t="str">
        <f>IFERROR(__xludf.DUMMYFUNCTION("GOOGLETRANSLATE(A7301, ""ar"", ""bn"")"),"অসন্তোষজনক")</f>
        <v>অসন্তোষজনক</v>
      </c>
    </row>
    <row r="7302">
      <c r="A7302" s="2" t="s">
        <v>3515</v>
      </c>
      <c r="B7302" s="3" t="str">
        <f>IFERROR(__xludf.DUMMYFUNCTION("GOOGLETRANSLATE(A7302, ""ar"", ""bn"")"),"হেলাফেলা করা")</f>
        <v>হেলাফেলা করা</v>
      </c>
    </row>
    <row r="7303">
      <c r="A7303" s="2" t="s">
        <v>3515</v>
      </c>
      <c r="B7303" s="3" t="str">
        <f>IFERROR(__xludf.DUMMYFUNCTION("GOOGLETRANSLATE(A7303, ""ar"", ""bn"")"),"হেলাফেলা করা")</f>
        <v>হেলাফেলা করা</v>
      </c>
    </row>
    <row r="7304">
      <c r="A7304" s="2" t="s">
        <v>8208</v>
      </c>
      <c r="B7304" s="3" t="str">
        <f>IFERROR(__xludf.DUMMYFUNCTION("GOOGLETRANSLATE(A7304, ""ar"", ""bn"")"),"বিবেকবর্জিত")</f>
        <v>বিবেকবর্জিত</v>
      </c>
    </row>
    <row r="7305">
      <c r="A7305" s="2" t="s">
        <v>8209</v>
      </c>
      <c r="B7305" s="3" t="str">
        <f>IFERROR(__xludf.DUMMYFUNCTION("GOOGLETRANSLATE(A7305, ""ar"", ""bn"")"),"অদৃশ্য")</f>
        <v>অদৃশ্য</v>
      </c>
    </row>
    <row r="7306">
      <c r="A7306" s="2" t="s">
        <v>8210</v>
      </c>
      <c r="B7306" s="3" t="str">
        <f>IFERROR(__xludf.DUMMYFUNCTION("GOOGLETRANSLATE(A7306, ""ar"", ""bn"")"),"ধকল")</f>
        <v>ধকল</v>
      </c>
    </row>
    <row r="7307">
      <c r="A7307" s="2" t="s">
        <v>8211</v>
      </c>
      <c r="B7307" s="3" t="str">
        <f>IFERROR(__xludf.DUMMYFUNCTION("GOOGLETRANSLATE(A7307, ""ar"", ""bn"")"),"নিরাপদ না")</f>
        <v>নিরাপদ না</v>
      </c>
    </row>
    <row r="7308">
      <c r="A7308" s="2" t="s">
        <v>8212</v>
      </c>
      <c r="B7308" s="3" t="str">
        <f>IFERROR(__xludf.DUMMYFUNCTION("GOOGLETRANSLATE(A7308, ""ar"", ""bn"")"),"ভাঙ্গন")</f>
        <v>ভাঙ্গন</v>
      </c>
    </row>
    <row r="7309">
      <c r="A7309" s="2" t="s">
        <v>8213</v>
      </c>
      <c r="B7309" s="3" t="str">
        <f>IFERROR(__xludf.DUMMYFUNCTION("GOOGLETRANSLATE(A7309, ""ar"", ""bn"")"),"বর্ণনাতীত")</f>
        <v>বর্ণনাতীত</v>
      </c>
    </row>
    <row r="7310">
      <c r="A7310" s="2" t="s">
        <v>8148</v>
      </c>
      <c r="B7310" s="3" t="str">
        <f>IFERROR(__xludf.DUMMYFUNCTION("GOOGLETRANSLATE(A7310, ""ar"", ""bn"")"),"অস্থিতিশীল")</f>
        <v>অস্থিতিশীল</v>
      </c>
    </row>
    <row r="7311">
      <c r="A7311" s="2" t="s">
        <v>8214</v>
      </c>
      <c r="B7311" s="3" t="str">
        <f>IFERROR(__xludf.DUMMYFUNCTION("GOOGLETRANSLATE(A7311, ""ar"", ""bn"")"),"দৃঢ়তা অভাব")</f>
        <v>দৃঢ়তা অভাব</v>
      </c>
    </row>
    <row r="7312">
      <c r="A7312" s="2" t="s">
        <v>5170</v>
      </c>
      <c r="B7312" s="3" t="str">
        <f>IFERROR(__xludf.DUMMYFUNCTION("GOOGLETRANSLATE(A7312, ""ar"", ""bn"")"),"উদ্বায়ী")</f>
        <v>উদ্বায়ী</v>
      </c>
    </row>
    <row r="7313">
      <c r="A7313" s="2" t="s">
        <v>8215</v>
      </c>
      <c r="B7313" s="3" t="str">
        <f>IFERROR(__xludf.DUMMYFUNCTION("GOOGLETRANSLATE(A7313, ""ar"", ""bn"")"),"ব্যার্থ")</f>
        <v>ব্যার্থ</v>
      </c>
    </row>
    <row r="7314">
      <c r="A7314" s="2" t="s">
        <v>5486</v>
      </c>
      <c r="B7314" s="3" t="str">
        <f>IFERROR(__xludf.DUMMYFUNCTION("GOOGLETRANSLATE(A7314, ""ar"", ""bn"")"),"কোন উপকার")</f>
        <v>কোন উপকার</v>
      </c>
    </row>
    <row r="7315">
      <c r="A7315" s="2" t="s">
        <v>8216</v>
      </c>
      <c r="B7315" s="3" t="str">
        <f>IFERROR(__xludf.DUMMYFUNCTION("GOOGLETRANSLATE(A7315, ""ar"", ""bn"")"),"নিশ্চিত না")</f>
        <v>নিশ্চিত না</v>
      </c>
    </row>
    <row r="7316">
      <c r="A7316" s="2" t="s">
        <v>3472</v>
      </c>
      <c r="B7316" s="3" t="str">
        <f>IFERROR(__xludf.DUMMYFUNCTION("GOOGLETRANSLATE(A7316, ""ar"", ""bn"")"),"অনুপযুক্ত")</f>
        <v>অনুপযুক্ত</v>
      </c>
    </row>
    <row r="7317">
      <c r="A7317" s="2" t="s">
        <v>8217</v>
      </c>
      <c r="B7317" s="3" t="str">
        <f>IFERROR(__xludf.DUMMYFUNCTION("GOOGLETRANSLATE(A7317, ""ar"", ""bn"")"),"গোলা")</f>
        <v>গোলা</v>
      </c>
    </row>
    <row r="7318">
      <c r="A7318" s="2" t="s">
        <v>5935</v>
      </c>
      <c r="B7318" s="3" t="str">
        <f>IFERROR(__xludf.DUMMYFUNCTION("GOOGLETRANSLATE(A7318, ""ar"", ""bn"")"),"ত্রুটিপূর্ণ")</f>
        <v>ত্রুটিপূর্ণ</v>
      </c>
    </row>
    <row r="7319">
      <c r="A7319" s="2" t="s">
        <v>8218</v>
      </c>
      <c r="B7319" s="3" t="str">
        <f>IFERROR(__xludf.DUMMYFUNCTION("GOOGLETRANSLATE(A7319, ""ar"", ""bn"")"),"অবিশ্বাসযোগ্য")</f>
        <v>অবিশ্বাসযোগ্য</v>
      </c>
    </row>
    <row r="7320">
      <c r="A7320" s="2" t="s">
        <v>5294</v>
      </c>
      <c r="B7320" s="3" t="str">
        <f>IFERROR(__xludf.DUMMYFUNCTION("GOOGLETRANSLATE(A7320, ""ar"", ""bn"")"),"মিথ্যা")</f>
        <v>মিথ্যা</v>
      </c>
    </row>
    <row r="7321">
      <c r="A7321" s="2" t="s">
        <v>8219</v>
      </c>
      <c r="B7321" s="3" t="str">
        <f>IFERROR(__xludf.DUMMYFUNCTION("GOOGLETRANSLATE(A7321, ""ar"", ""bn"")"),"মিথ্যাবাদী")</f>
        <v>মিথ্যাবাদী</v>
      </c>
    </row>
    <row r="7322">
      <c r="A7322" s="2" t="s">
        <v>8220</v>
      </c>
      <c r="B7322" s="3" t="str">
        <f>IFERROR(__xludf.DUMMYFUNCTION("GOOGLETRANSLATE(A7322, ""ar"", ""bn"")"),"মিথ্যাভাবে")</f>
        <v>মিথ্যাভাবে</v>
      </c>
    </row>
    <row r="7323">
      <c r="A7323" s="2" t="s">
        <v>8221</v>
      </c>
      <c r="B7323" s="3" t="str">
        <f>IFERROR(__xludf.DUMMYFUNCTION("GOOGLETRANSLATE(A7323, ""ar"", ""bn"")"),"মিথ্যা")</f>
        <v>মিথ্যা</v>
      </c>
    </row>
    <row r="7324">
      <c r="A7324" s="2" t="s">
        <v>8138</v>
      </c>
      <c r="B7324" s="3" t="str">
        <f>IFERROR(__xludf.DUMMYFUNCTION("GOOGLETRANSLATE(A7324, ""ar"", ""bn"")"),"অনাবশ্যক")</f>
        <v>অনাবশ্যক</v>
      </c>
    </row>
    <row r="7325">
      <c r="A7325" s="2" t="s">
        <v>8222</v>
      </c>
      <c r="B7325" s="3" t="str">
        <f>IFERROR(__xludf.DUMMYFUNCTION("GOOGLETRANSLATE(A7325, ""ar"", ""bn"")"),"Unwelcoming")</f>
        <v>Unwelcoming</v>
      </c>
    </row>
    <row r="7326">
      <c r="A7326" s="2" t="s">
        <v>8223</v>
      </c>
      <c r="B7326" s="3" t="str">
        <f>IFERROR(__xludf.DUMMYFUNCTION("GOOGLETRANSLATE(A7326, ""ar"", ""bn"")"),"অনিচ্ছুক")</f>
        <v>অনিচ্ছুক</v>
      </c>
    </row>
    <row r="7327">
      <c r="A7327" s="2" t="s">
        <v>4879</v>
      </c>
      <c r="B7327" s="3" t="str">
        <f>IFERROR(__xludf.DUMMYFUNCTION("GOOGLETRANSLATE(A7327, ""ar"", ""bn"")"),"অনিচ্ছায়")</f>
        <v>অনিচ্ছায়</v>
      </c>
    </row>
    <row r="7328">
      <c r="A7328" s="2" t="s">
        <v>8224</v>
      </c>
      <c r="B7328" s="3" t="str">
        <f>IFERROR(__xludf.DUMMYFUNCTION("GOOGLETRANSLATE(A7328, ""ar"", ""bn"")"),"আগ্রহী নই")</f>
        <v>আগ্রহী নই</v>
      </c>
    </row>
    <row r="7329">
      <c r="A7329" s="2" t="s">
        <v>8225</v>
      </c>
      <c r="B7329" s="3" t="str">
        <f>IFERROR(__xludf.DUMMYFUNCTION("GOOGLETRANSLATE(A7329, ""ar"", ""bn"")"),"মূর্খতাপূর্ণ")</f>
        <v>মূর্খতাপূর্ণ</v>
      </c>
    </row>
    <row r="7330">
      <c r="A7330" s="2" t="s">
        <v>8225</v>
      </c>
      <c r="B7330" s="3" t="str">
        <f>IFERROR(__xludf.DUMMYFUNCTION("GOOGLETRANSLATE(A7330, ""ar"", ""bn"")"),"মূর্খতাপূর্ণ")</f>
        <v>মূর্খতাপূর্ণ</v>
      </c>
    </row>
    <row r="7331">
      <c r="A7331" s="2" t="s">
        <v>8226</v>
      </c>
      <c r="B7331" s="3" t="str">
        <f>IFERROR(__xludf.DUMMYFUNCTION("GOOGLETRANSLATE(A7331, ""ar"", ""bn"")"),"অযোগ্য")</f>
        <v>অযোগ্য</v>
      </c>
    </row>
    <row r="7332">
      <c r="A7332" s="2" t="s">
        <v>2174</v>
      </c>
      <c r="B7332" s="3" t="str">
        <f>IFERROR(__xludf.DUMMYFUNCTION("GOOGLETRANSLATE(A7332, ""ar"", ""bn"")"),"বিপ্লব")</f>
        <v>বিপ্লব</v>
      </c>
    </row>
    <row r="7333">
      <c r="A7333" s="2" t="s">
        <v>4082</v>
      </c>
      <c r="B7333" s="3" t="str">
        <f>IFERROR(__xludf.DUMMYFUNCTION("GOOGLETRANSLATE(A7333, ""ar"", ""bn"")"),"ডিসঅর্ডারস")</f>
        <v>ডিসঅর্ডারস</v>
      </c>
    </row>
    <row r="7334">
      <c r="A7334" s="2" t="s">
        <v>2174</v>
      </c>
      <c r="B7334" s="3" t="str">
        <f>IFERROR(__xludf.DUMMYFUNCTION("GOOGLETRANSLATE(A7334, ""ar"", ""bn"")"),"বিপ্লব")</f>
        <v>বিপ্লব</v>
      </c>
    </row>
    <row r="7335">
      <c r="A7335" s="2" t="s">
        <v>8227</v>
      </c>
      <c r="B7335" s="3" t="str">
        <f>IFERROR(__xludf.DUMMYFUNCTION("GOOGLETRANSLATE(A7335, ""ar"", ""bn"")"),"গণজাগরণের")</f>
        <v>গণজাগরণের</v>
      </c>
    </row>
    <row r="7336">
      <c r="A7336" s="2" t="s">
        <v>5850</v>
      </c>
      <c r="B7336" s="3" t="str">
        <f>IFERROR(__xludf.DUMMYFUNCTION("GOOGLETRANSLATE(A7336, ""ar"", ""bn"")"),"তাড়াহুড়া করা")</f>
        <v>তাড়াহুড়া করা</v>
      </c>
    </row>
    <row r="7337">
      <c r="A7337" s="2" t="s">
        <v>8228</v>
      </c>
      <c r="B7337" s="3" t="str">
        <f>IFERROR(__xludf.DUMMYFUNCTION("GOOGLETRANSLATE(A7337, ""ar"", ""bn"")"),"কর্কশ")</f>
        <v>কর্কশ</v>
      </c>
    </row>
    <row r="7338">
      <c r="A7338" s="2" t="s">
        <v>3735</v>
      </c>
      <c r="B7338" s="3" t="str">
        <f>IFERROR(__xludf.DUMMYFUNCTION("GOOGLETRANSLATE(A7338, ""ar"", ""bn"")"),"সশব্দে")</f>
        <v>সশব্দে</v>
      </c>
    </row>
    <row r="7339">
      <c r="A7339" s="2" t="s">
        <v>8229</v>
      </c>
      <c r="B7339" s="3" t="str">
        <f>IFERROR(__xludf.DUMMYFUNCTION("GOOGLETRANSLATE(A7339, ""ar"", ""bn"")"),"উত্পাটন")</f>
        <v>উত্পাটন</v>
      </c>
    </row>
    <row r="7340">
      <c r="A7340" s="2" t="s">
        <v>8230</v>
      </c>
      <c r="B7340" s="3" t="str">
        <f>IFERROR(__xludf.DUMMYFUNCTION("GOOGLETRANSLATE(A7340, ""ar"", ""bn"")"),"ঋক্ষমণ্ডল")</f>
        <v>ঋক্ষমণ্ডল</v>
      </c>
    </row>
    <row r="7341">
      <c r="A7341" s="2" t="s">
        <v>8229</v>
      </c>
      <c r="B7341" s="3" t="str">
        <f>IFERROR(__xludf.DUMMYFUNCTION("GOOGLETRANSLATE(A7341, ""ar"", ""bn"")"),"উত্পাটন")</f>
        <v>উত্পাটন</v>
      </c>
    </row>
    <row r="7342">
      <c r="A7342" s="2" t="s">
        <v>8231</v>
      </c>
      <c r="B7342" s="3" t="str">
        <f>IFERROR(__xludf.DUMMYFUNCTION("GOOGLETRANSLATE(A7342, ""ar"", ""bn"")"),"Uproots")</f>
        <v>Uproots</v>
      </c>
    </row>
    <row r="7343">
      <c r="A7343" s="2" t="s">
        <v>4893</v>
      </c>
      <c r="B7343" s="3" t="str">
        <f>IFERROR(__xludf.DUMMYFUNCTION("GOOGLETRANSLATE(A7343, ""ar"", ""bn"")"),"ঝামেলা")</f>
        <v>ঝামেলা</v>
      </c>
    </row>
    <row r="7344">
      <c r="A7344" s="2" t="s">
        <v>4896</v>
      </c>
      <c r="B7344" s="3" t="str">
        <f>IFERROR(__xludf.DUMMYFUNCTION("GOOGLETRANSLATE(A7344, ""ar"", ""bn"")"),"কষ্ট")</f>
        <v>কষ্ট</v>
      </c>
    </row>
    <row r="7345">
      <c r="A7345" s="2" t="s">
        <v>3386</v>
      </c>
      <c r="B7345" s="3" t="str">
        <f>IFERROR(__xludf.DUMMYFUNCTION("GOOGLETRANSLATE(A7345, ""ar"", ""bn"")"),"বিরক্তিকর")</f>
        <v>বিরক্তিকর</v>
      </c>
    </row>
    <row r="7346">
      <c r="A7346" s="2" t="s">
        <v>8232</v>
      </c>
      <c r="B7346" s="3" t="str">
        <f>IFERROR(__xludf.DUMMYFUNCTION("GOOGLETRANSLATE(A7346, ""ar"", ""bn"")"),"বেহুদা")</f>
        <v>বেহুদা</v>
      </c>
    </row>
    <row r="7347">
      <c r="A7347" s="2" t="s">
        <v>5486</v>
      </c>
      <c r="B7347" s="3" t="str">
        <f>IFERROR(__xludf.DUMMYFUNCTION("GOOGLETRANSLATE(A7347, ""ar"", ""bn"")"),"কোন উপকার")</f>
        <v>কোন উপকার</v>
      </c>
    </row>
    <row r="7348">
      <c r="A7348" s="2" t="s">
        <v>8233</v>
      </c>
      <c r="B7348" s="3" t="str">
        <f>IFERROR(__xludf.DUMMYFUNCTION("GOOGLETRANSLATE(A7348, ""ar"", ""bn"")"),"অপদার্থতা")</f>
        <v>অপদার্থতা</v>
      </c>
    </row>
    <row r="7349">
      <c r="A7349" s="2" t="s">
        <v>8234</v>
      </c>
      <c r="B7349" s="3" t="str">
        <f>IFERROR(__xludf.DUMMYFUNCTION("GOOGLETRANSLATE(A7349, ""ar"", ""bn"")"),"অন্যায়রূপে অধিকার করা")</f>
        <v>অন্যায়রূপে অধিকার করা</v>
      </c>
    </row>
    <row r="7350">
      <c r="A7350" s="2" t="s">
        <v>8235</v>
      </c>
      <c r="B7350" s="3" t="str">
        <f>IFERROR(__xludf.DUMMYFUNCTION("GOOGLETRANSLATE(A7350, ""ar"", ""bn"")"),"দখলের")</f>
        <v>দখলের</v>
      </c>
    </row>
    <row r="7351">
      <c r="A7351" s="2" t="s">
        <v>8236</v>
      </c>
      <c r="B7351" s="3" t="str">
        <f>IFERROR(__xludf.DUMMYFUNCTION("GOOGLETRANSLATE(A7351, ""ar"", ""bn"")"),"করায়ত্ত")</f>
        <v>করায়ত্ত</v>
      </c>
    </row>
    <row r="7352">
      <c r="A7352" s="2" t="s">
        <v>8237</v>
      </c>
      <c r="B7352" s="3" t="str">
        <f>IFERROR(__xludf.DUMMYFUNCTION("GOOGLETRANSLATE(A7352, ""ar"", ""bn"")"),"দখল")</f>
        <v>দখল</v>
      </c>
    </row>
    <row r="7353">
      <c r="A7353" s="2" t="s">
        <v>8238</v>
      </c>
      <c r="B7353" s="3" t="str">
        <f>IFERROR(__xludf.DUMMYFUNCTION("GOOGLETRANSLATE(A7353, ""ar"", ""bn"")"),"দখল")</f>
        <v>দখল</v>
      </c>
    </row>
    <row r="7354">
      <c r="A7354" s="2" t="s">
        <v>8048</v>
      </c>
      <c r="B7354" s="3" t="str">
        <f>IFERROR(__xludf.DUMMYFUNCTION("GOOGLETRANSLATE(A7354, ""ar"", ""bn"")"),"পদব্রজে ভ্রমণ")</f>
        <v>পদব্রজে ভ্রমণ</v>
      </c>
    </row>
    <row r="7355">
      <c r="A7355" s="2" t="s">
        <v>8239</v>
      </c>
      <c r="B7355" s="3" t="str">
        <f>IFERROR(__xludf.DUMMYFUNCTION("GOOGLETRANSLATE(A7355, ""ar"", ""bn"")"),"vagrants")</f>
        <v>vagrants</v>
      </c>
    </row>
    <row r="7356">
      <c r="A7356" s="2" t="s">
        <v>7796</v>
      </c>
      <c r="B7356" s="3" t="str">
        <f>IFERROR(__xludf.DUMMYFUNCTION("GOOGLETRANSLATE(A7356, ""ar"", ""bn"")"),"গৃহহীন")</f>
        <v>গৃহহীন</v>
      </c>
    </row>
    <row r="7357">
      <c r="A7357" s="2" t="s">
        <v>8239</v>
      </c>
      <c r="B7357" s="3" t="str">
        <f>IFERROR(__xludf.DUMMYFUNCTION("GOOGLETRANSLATE(A7357, ""ar"", ""bn"")"),"vagrants")</f>
        <v>vagrants</v>
      </c>
    </row>
    <row r="7358">
      <c r="A7358" s="2" t="s">
        <v>3354</v>
      </c>
      <c r="B7358" s="3" t="str">
        <f>IFERROR(__xludf.DUMMYFUNCTION("GOOGLETRANSLATE(A7358, ""ar"", ""bn"")"),"রহস্যময়")</f>
        <v>রহস্যময়</v>
      </c>
    </row>
    <row r="7359">
      <c r="A7359" s="2" t="s">
        <v>3355</v>
      </c>
      <c r="B7359" s="3" t="str">
        <f>IFERROR(__xludf.DUMMYFUNCTION("GOOGLETRANSLATE(A7359, ""ar"", ""bn"")"),"রহস্যময়")</f>
        <v>রহস্যময়</v>
      </c>
    </row>
    <row r="7360">
      <c r="A7360" s="2" t="s">
        <v>3353</v>
      </c>
      <c r="B7360" s="3" t="str">
        <f>IFERROR(__xludf.DUMMYFUNCTION("GOOGLETRANSLATE(A7360, ""ar"", ""bn"")"),"অস্পষ্টতা")</f>
        <v>অস্পষ্টতা</v>
      </c>
    </row>
    <row r="7361">
      <c r="A7361" s="2" t="s">
        <v>6636</v>
      </c>
      <c r="B7361" s="3" t="str">
        <f>IFERROR(__xludf.DUMMYFUNCTION("GOOGLETRANSLATE(A7361, ""ar"", ""bn"")"),"রহস্যময়")</f>
        <v>রহস্যময়</v>
      </c>
    </row>
    <row r="7362">
      <c r="A7362" s="2" t="s">
        <v>6636</v>
      </c>
      <c r="B7362" s="3" t="str">
        <f>IFERROR(__xludf.DUMMYFUNCTION("GOOGLETRANSLATE(A7362, ""ar"", ""bn"")"),"রহস্যময়")</f>
        <v>রহস্যময়</v>
      </c>
    </row>
    <row r="7363">
      <c r="A7363" s="2" t="s">
        <v>8240</v>
      </c>
      <c r="B7363" s="3" t="str">
        <f>IFERROR(__xludf.DUMMYFUNCTION("GOOGLETRANSLATE(A7363, ""ar"", ""bn"")"),"অনুর্বর")</f>
        <v>অনুর্বর</v>
      </c>
    </row>
    <row r="7364">
      <c r="A7364" s="2" t="s">
        <v>3728</v>
      </c>
      <c r="B7364" s="3" t="str">
        <f>IFERROR(__xludf.DUMMYFUNCTION("GOOGLETRANSLATE(A7364, ""ar"", ""bn"")"),"উদ্ধত")</f>
        <v>উদ্ধত</v>
      </c>
    </row>
    <row r="7365">
      <c r="A7365" s="2" t="s">
        <v>7645</v>
      </c>
      <c r="B7365" s="3" t="str">
        <f>IFERROR(__xludf.DUMMYFUNCTION("GOOGLETRANSLATE(A7365, ""ar"", ""bn"")"),"ঠেকার")</f>
        <v>ঠেকার</v>
      </c>
    </row>
    <row r="7366">
      <c r="A7366" s="2" t="s">
        <v>7401</v>
      </c>
      <c r="B7366" s="3" t="str">
        <f>IFERROR(__xludf.DUMMYFUNCTION("GOOGLETRANSLATE(A7366, ""ar"", ""bn"")"),"বৃথা")</f>
        <v>বৃথা</v>
      </c>
    </row>
    <row r="7367">
      <c r="A7367" s="2" t="s">
        <v>8241</v>
      </c>
      <c r="B7367" s="3" t="str">
        <f>IFERROR(__xludf.DUMMYFUNCTION("GOOGLETRANSLATE(A7367, ""ar"", ""bn"")"),"বিলীন করা")</f>
        <v>বিলীন করা</v>
      </c>
    </row>
    <row r="7368">
      <c r="A7368" s="2" t="s">
        <v>8242</v>
      </c>
      <c r="B7368" s="3" t="str">
        <f>IFERROR(__xludf.DUMMYFUNCTION("GOOGLETRANSLATE(A7368, ""ar"", ""bn"")"),"অদৃশ্য")</f>
        <v>অদৃশ্য</v>
      </c>
    </row>
    <row r="7369">
      <c r="A7369" s="2" t="s">
        <v>8243</v>
      </c>
      <c r="B7369" s="3" t="str">
        <f>IFERROR(__xludf.DUMMYFUNCTION("GOOGLETRANSLATE(A7369, ""ar"", ""bn"")"),"disappears")</f>
        <v>disappears</v>
      </c>
    </row>
    <row r="7370">
      <c r="A7370" s="2" t="s">
        <v>4554</v>
      </c>
      <c r="B7370" s="3" t="str">
        <f>IFERROR(__xludf.DUMMYFUNCTION("GOOGLETRANSLATE(A7370, ""ar"", ""bn"")"),"মরণ")</f>
        <v>মরণ</v>
      </c>
    </row>
    <row r="7371">
      <c r="A7371" s="2" t="s">
        <v>4074</v>
      </c>
      <c r="B7371" s="3" t="str">
        <f>IFERROR(__xludf.DUMMYFUNCTION("GOOGLETRANSLATE(A7371, ""ar"", ""bn"")"),"ধংসের")</f>
        <v>ধংসের</v>
      </c>
    </row>
    <row r="7372">
      <c r="A7372" s="2" t="s">
        <v>4106</v>
      </c>
      <c r="B7372" s="3" t="str">
        <f>IFERROR(__xludf.DUMMYFUNCTION("GOOGLETRANSLATE(A7372, ""ar"", ""bn"")"),"অহং")</f>
        <v>অহং</v>
      </c>
    </row>
    <row r="7373">
      <c r="A7373" s="2" t="s">
        <v>5385</v>
      </c>
      <c r="B7373" s="3" t="str">
        <f>IFERROR(__xludf.DUMMYFUNCTION("GOOGLETRANSLATE(A7373, ""ar"", ""bn"")"),"হিংসাত্মক")</f>
        <v>হিংসাত্মক</v>
      </c>
    </row>
    <row r="7374">
      <c r="A7374" s="2" t="s">
        <v>8244</v>
      </c>
      <c r="B7374" s="3" t="str">
        <f>IFERROR(__xludf.DUMMYFUNCTION("GOOGLETRANSLATE(A7374, ""ar"", ""bn"")"),"গভীরভাবে")</f>
        <v>গভীরভাবে</v>
      </c>
    </row>
    <row r="7375">
      <c r="A7375" s="2" t="s">
        <v>7156</v>
      </c>
      <c r="B7375" s="3" t="str">
        <f>IFERROR(__xludf.DUMMYFUNCTION("GOOGLETRANSLATE(A7375, ""ar"", ""bn"")"),"প্রতিশোধ")</f>
        <v>প্রতিশোধ</v>
      </c>
    </row>
    <row r="7376">
      <c r="A7376" s="2" t="s">
        <v>6839</v>
      </c>
      <c r="B7376" s="3" t="str">
        <f>IFERROR(__xludf.DUMMYFUNCTION("GOOGLETRANSLATE(A7376, ""ar"", ""bn"")"),"সেমি")</f>
        <v>সেমি</v>
      </c>
    </row>
    <row r="7377">
      <c r="A7377" s="2" t="s">
        <v>6844</v>
      </c>
      <c r="B7377" s="3" t="str">
        <f>IFERROR(__xludf.DUMMYFUNCTION("GOOGLETRANSLATE(A7377, ""ar"", ""bn"")"),"বিষাক্ত")</f>
        <v>বিষাক্ত</v>
      </c>
    </row>
    <row r="7378">
      <c r="A7378" s="2" t="s">
        <v>6845</v>
      </c>
      <c r="B7378" s="3" t="str">
        <f>IFERROR(__xludf.DUMMYFUNCTION("GOOGLETRANSLATE(A7378, ""ar"", ""bn"")"),"বিষ")</f>
        <v>বিষ</v>
      </c>
    </row>
    <row r="7379">
      <c r="A7379" s="2" t="s">
        <v>6844</v>
      </c>
      <c r="B7379" s="3" t="str">
        <f>IFERROR(__xludf.DUMMYFUNCTION("GOOGLETRANSLATE(A7379, ""ar"", ""bn"")"),"বিষাক্ত")</f>
        <v>বিষাক্ত</v>
      </c>
    </row>
    <row r="7380">
      <c r="A7380" s="2" t="s">
        <v>8245</v>
      </c>
      <c r="B7380" s="3" t="str">
        <f>IFERROR(__xludf.DUMMYFUNCTION("GOOGLETRANSLATE(A7380, ""ar"", ""bn"")"),"নিষেধ")</f>
        <v>নিষেধ</v>
      </c>
    </row>
    <row r="7381">
      <c r="A7381" s="2" t="s">
        <v>8246</v>
      </c>
      <c r="B7381" s="3" t="str">
        <f>IFERROR(__xludf.DUMMYFUNCTION("GOOGLETRANSLATE(A7381, ""ar"", ""bn"")"),"উদ্দেশ্য")</f>
        <v>উদ্দেশ্য</v>
      </c>
    </row>
    <row r="7382">
      <c r="A7382" s="2" t="s">
        <v>8247</v>
      </c>
      <c r="B7382" s="3" t="str">
        <f>IFERROR(__xludf.DUMMYFUNCTION("GOOGLETRANSLATE(A7382, ""ar"", ""bn"")"),"আপত্তি")</f>
        <v>আপত্তি</v>
      </c>
    </row>
    <row r="7383">
      <c r="A7383" s="2" t="s">
        <v>8108</v>
      </c>
      <c r="B7383" s="3" t="str">
        <f>IFERROR(__xludf.DUMMYFUNCTION("GOOGLETRANSLATE(A7383, ""ar"", ""bn"")"),"ক্রোধ")</f>
        <v>ক্রোধ</v>
      </c>
    </row>
    <row r="7384">
      <c r="A7384" s="2" t="s">
        <v>8248</v>
      </c>
      <c r="B7384" s="3" t="str">
        <f>IFERROR(__xludf.DUMMYFUNCTION("GOOGLETRANSLATE(A7384, ""ar"", ""bn"")"),"টিজিং")</f>
        <v>টিজিং</v>
      </c>
    </row>
    <row r="7385">
      <c r="A7385" s="2" t="s">
        <v>3383</v>
      </c>
      <c r="B7385" s="3" t="str">
        <f>IFERROR(__xludf.DUMMYFUNCTION("GOOGLETRANSLATE(A7385, ""ar"", ""bn"")"),"হয়রানি")</f>
        <v>হয়রানি</v>
      </c>
    </row>
    <row r="7386">
      <c r="A7386" s="2" t="s">
        <v>3385</v>
      </c>
      <c r="B7386" s="3" t="str">
        <f>IFERROR(__xludf.DUMMYFUNCTION("GOOGLETRANSLATE(A7386, ""ar"", ""bn"")"),"কষ্টকর")</f>
        <v>কষ্টকর</v>
      </c>
    </row>
    <row r="7387">
      <c r="A7387" s="2" t="s">
        <v>8249</v>
      </c>
      <c r="B7387" s="3" t="str">
        <f>IFERROR(__xludf.DUMMYFUNCTION("GOOGLETRANSLATE(A7387, ""ar"", ""bn"")"),"জালাতন")</f>
        <v>জালাতন</v>
      </c>
    </row>
    <row r="7388">
      <c r="A7388" s="2" t="s">
        <v>8250</v>
      </c>
      <c r="B7388" s="3" t="str">
        <f>IFERROR(__xludf.DUMMYFUNCTION("GOOGLETRANSLATE(A7388, ""ar"", ""bn"")"),"Vexes")</f>
        <v>Vexes</v>
      </c>
    </row>
    <row r="7389">
      <c r="A7389" s="2" t="s">
        <v>3386</v>
      </c>
      <c r="B7389" s="3" t="str">
        <f>IFERROR(__xludf.DUMMYFUNCTION("GOOGLETRANSLATE(A7389, ""ar"", ""bn"")"),"বিরক্তিকর")</f>
        <v>বিরক্তিকর</v>
      </c>
    </row>
    <row r="7390">
      <c r="A7390" s="2" t="s">
        <v>8251</v>
      </c>
      <c r="B7390" s="3" t="str">
        <f>IFERROR(__xludf.DUMMYFUNCTION("GOOGLETRANSLATE(A7390, ""ar"", ""bn"")"),"ভাইস")</f>
        <v>ভাইস</v>
      </c>
    </row>
    <row r="7391">
      <c r="A7391" s="2" t="s">
        <v>8252</v>
      </c>
      <c r="B7391" s="3" t="str">
        <f>IFERROR(__xludf.DUMMYFUNCTION("GOOGLETRANSLATE(A7391, ""ar"", ""bn"")"),"রাজপ্রতিনিধি")</f>
        <v>রাজপ্রতিনিধি</v>
      </c>
    </row>
    <row r="7392">
      <c r="A7392" s="2" t="s">
        <v>8253</v>
      </c>
      <c r="B7392" s="3" t="str">
        <f>IFERROR(__xludf.DUMMYFUNCTION("GOOGLETRANSLATE(A7392, ""ar"", ""bn"")"),"উত্তরাধিকারী")</f>
        <v>উত্তরাধিকারী</v>
      </c>
    </row>
    <row r="7393">
      <c r="A7393" s="2" t="s">
        <v>8254</v>
      </c>
      <c r="B7393" s="3" t="str">
        <f>IFERROR(__xludf.DUMMYFUNCTION("GOOGLETRANSLATE(A7393, ""ar"", ""bn"")"),"vices")</f>
        <v>vices</v>
      </c>
    </row>
    <row r="7394">
      <c r="A7394" s="2" t="s">
        <v>7528</v>
      </c>
      <c r="B7394" s="3" t="str">
        <f>IFERROR(__xludf.DUMMYFUNCTION("GOOGLETRANSLATE(A7394, ""ar"", ""bn"")"),"মন্দ")</f>
        <v>মন্দ</v>
      </c>
    </row>
    <row r="7395">
      <c r="A7395" s="2" t="s">
        <v>5369</v>
      </c>
      <c r="B7395" s="3" t="str">
        <f>IFERROR(__xludf.DUMMYFUNCTION("GOOGLETRANSLATE(A7395, ""ar"", ""bn"")"),"তীব্র")</f>
        <v>তীব্র</v>
      </c>
    </row>
    <row r="7396">
      <c r="A7396" s="2" t="s">
        <v>3496</v>
      </c>
      <c r="B7396" s="3" t="str">
        <f>IFERROR(__xludf.DUMMYFUNCTION("GOOGLETRANSLATE(A7396, ""ar"", ""bn"")"),"আক্রোশ")</f>
        <v>আক্রোশ</v>
      </c>
    </row>
    <row r="7397">
      <c r="A7397" s="2" t="s">
        <v>2592</v>
      </c>
      <c r="B7397" s="3" t="str">
        <f>IFERROR(__xludf.DUMMYFUNCTION("GOOGLETRANSLATE(A7397, ""ar"", ""bn"")"),"শিকার")</f>
        <v>শিকার</v>
      </c>
    </row>
    <row r="7398">
      <c r="A7398" s="2" t="s">
        <v>6617</v>
      </c>
      <c r="B7398" s="3" t="str">
        <f>IFERROR(__xludf.DUMMYFUNCTION("GOOGLETRANSLATE(A7398, ""ar"", ""bn"")"),"অপব্যবহার")</f>
        <v>অপব্যবহার</v>
      </c>
    </row>
    <row r="7399">
      <c r="A7399" s="2" t="s">
        <v>8255</v>
      </c>
      <c r="B7399" s="3" t="str">
        <f>IFERROR(__xludf.DUMMYFUNCTION("GOOGLETRANSLATE(A7399, ""ar"", ""bn"")"),"কৌতুক")</f>
        <v>কৌতুক</v>
      </c>
    </row>
    <row r="7400">
      <c r="A7400" s="2" t="s">
        <v>2592</v>
      </c>
      <c r="B7400" s="3" t="str">
        <f>IFERROR(__xludf.DUMMYFUNCTION("GOOGLETRANSLATE(A7400, ""ar"", ""bn"")"),"শিকার")</f>
        <v>শিকার</v>
      </c>
    </row>
    <row r="7401">
      <c r="A7401" s="2" t="s">
        <v>8256</v>
      </c>
      <c r="B7401" s="3" t="str">
        <f>IFERROR(__xludf.DUMMYFUNCTION("GOOGLETRANSLATE(A7401, ""ar"", ""bn"")"),"পীড়ক")</f>
        <v>পীড়ক</v>
      </c>
    </row>
    <row r="7402">
      <c r="A7402" s="2" t="s">
        <v>8257</v>
      </c>
      <c r="B7402" s="3" t="str">
        <f>IFERROR(__xludf.DUMMYFUNCTION("GOOGLETRANSLATE(A7402, ""ar"", ""bn"")"),"কোন ক্ষতিগ্রস্তদের")</f>
        <v>কোন ক্ষতিগ্রস্তদের</v>
      </c>
    </row>
    <row r="7403">
      <c r="A7403" s="2" t="s">
        <v>8258</v>
      </c>
      <c r="B7403" s="3" t="str">
        <f>IFERROR(__xludf.DUMMYFUNCTION("GOOGLETRANSLATE(A7403, ""ar"", ""bn"")"),"ক্ষতিগ্রস্তদের")</f>
        <v>ক্ষতিগ্রস্তদের</v>
      </c>
    </row>
    <row r="7404">
      <c r="A7404" s="2" t="s">
        <v>4187</v>
      </c>
      <c r="B7404" s="3" t="str">
        <f>IFERROR(__xludf.DUMMYFUNCTION("GOOGLETRANSLATE(A7404, ""ar"", ""bn"")"),"প্রতিযোগিতা করা")</f>
        <v>প্রতিযোগিতা করা</v>
      </c>
    </row>
    <row r="7405">
      <c r="A7405" s="2" t="s">
        <v>8259</v>
      </c>
      <c r="B7405" s="3" t="str">
        <f>IFERROR(__xludf.DUMMYFUNCTION("GOOGLETRANSLATE(A7405, ""ar"", ""bn"")"),"প্রতিযোগিতায়")</f>
        <v>প্রতিযোগিতায়</v>
      </c>
    </row>
    <row r="7406">
      <c r="A7406" s="2" t="s">
        <v>8260</v>
      </c>
      <c r="B7406" s="3" t="str">
        <f>IFERROR(__xludf.DUMMYFUNCTION("GOOGLETRANSLATE(A7406, ""ar"", ""bn"")"),"ভিএনা")</f>
        <v>ভিএনা</v>
      </c>
    </row>
    <row r="7407">
      <c r="A7407" s="2" t="s">
        <v>8261</v>
      </c>
      <c r="B7407" s="3" t="str">
        <f>IFERROR(__xludf.DUMMYFUNCTION("GOOGLETRANSLATE(A7407, ""ar"", ""bn"")"),"ভিলার")</f>
        <v>ভিলার</v>
      </c>
    </row>
    <row r="7408">
      <c r="A7408" s="2" t="s">
        <v>8262</v>
      </c>
      <c r="B7408" s="3" t="str">
        <f>IFERROR(__xludf.DUMMYFUNCTION("GOOGLETRANSLATE(A7408, ""ar"", ""bn"")"),"প্রতিযোগিতা করা")</f>
        <v>প্রতিযোগিতা করা</v>
      </c>
    </row>
    <row r="7409">
      <c r="A7409" s="2" t="s">
        <v>8263</v>
      </c>
      <c r="B7409" s="3" t="str">
        <f>IFERROR(__xludf.DUMMYFUNCTION("GOOGLETRANSLATE(A7409, ""ar"", ""bn"")"),"অভিমত")</f>
        <v>অভিমত</v>
      </c>
    </row>
    <row r="7410">
      <c r="A7410" s="2" t="s">
        <v>8264</v>
      </c>
      <c r="B7410" s="3" t="str">
        <f>IFERROR(__xludf.DUMMYFUNCTION("GOOGLETRANSLATE(A7410, ""ar"", ""bn"")"),"প্রদর্শন")</f>
        <v>প্রদর্শন</v>
      </c>
    </row>
    <row r="7411">
      <c r="A7411" s="2" t="s">
        <v>8265</v>
      </c>
      <c r="B7411" s="3" t="str">
        <f>IFERROR(__xludf.DUMMYFUNCTION("GOOGLETRANSLATE(A7411, ""ar"", ""bn"")"),"দেখা")</f>
        <v>দেখা</v>
      </c>
    </row>
    <row r="7412">
      <c r="A7412" s="2" t="s">
        <v>8266</v>
      </c>
      <c r="B7412" s="3" t="str">
        <f>IFERROR(__xludf.DUMMYFUNCTION("GOOGLETRANSLATE(A7412, ""ar"", ""bn"")"),"দৃশ্য")</f>
        <v>দৃশ্য</v>
      </c>
    </row>
    <row r="7413">
      <c r="A7413" s="2" t="s">
        <v>8267</v>
      </c>
      <c r="B7413" s="3" t="str">
        <f>IFERROR(__xludf.DUMMYFUNCTION("GOOGLETRANSLATE(A7413, ""ar"", ""bn"")"),"দর্শকরা")</f>
        <v>দর্শকরা</v>
      </c>
    </row>
    <row r="7414">
      <c r="A7414" s="2" t="s">
        <v>8268</v>
      </c>
      <c r="B7414" s="3" t="str">
        <f>IFERROR(__xludf.DUMMYFUNCTION("GOOGLETRANSLATE(A7414, ""ar"", ""bn"")"),"ক্যামেরা লেন্স")</f>
        <v>ক্যামেরা লেন্স</v>
      </c>
    </row>
    <row r="7415">
      <c r="A7415" s="2" t="s">
        <v>8269</v>
      </c>
      <c r="B7415" s="3" t="str">
        <f>IFERROR(__xludf.DUMMYFUNCTION("GOOGLETRANSLATE(A7415, ""ar"", ""bn"")"),"ঘড়ি")</f>
        <v>ঘড়ি</v>
      </c>
    </row>
    <row r="7416">
      <c r="A7416" s="2" t="s">
        <v>8270</v>
      </c>
      <c r="B7416" s="3" t="str">
        <f>IFERROR(__xludf.DUMMYFUNCTION("GOOGLETRANSLATE(A7416, ""ar"", ""bn"")"),"পরিদর্শকঃ")</f>
        <v>পরিদর্শকঃ</v>
      </c>
    </row>
    <row r="7417">
      <c r="A7417" s="2" t="s">
        <v>8271</v>
      </c>
      <c r="B7417" s="3" t="str">
        <f>IFERROR(__xludf.DUMMYFUNCTION("GOOGLETRANSLATE(A7417, ""ar"", ""bn"")"),"দৃষ্টিকোণ")</f>
        <v>দৃষ্টিকোণ</v>
      </c>
    </row>
    <row r="7418">
      <c r="A7418" s="2" t="s">
        <v>8272</v>
      </c>
      <c r="B7418" s="3" t="str">
        <f>IFERROR(__xludf.DUMMYFUNCTION("GOOGLETRANSLATE(A7418, ""ar"", ""bn"")"),"মতামত পয়েন্ট")</f>
        <v>মতামত পয়েন্ট</v>
      </c>
    </row>
    <row r="7419">
      <c r="A7419" s="2" t="s">
        <v>8272</v>
      </c>
      <c r="B7419" s="3" t="str">
        <f>IFERROR(__xludf.DUMMYFUNCTION("GOOGLETRANSLATE(A7419, ""ar"", ""bn"")"),"মতামত পয়েন্ট")</f>
        <v>মতামত পয়েন্ট</v>
      </c>
    </row>
    <row r="7420">
      <c r="A7420" s="2" t="s">
        <v>3567</v>
      </c>
      <c r="B7420" s="3" t="str">
        <f>IFERROR(__xludf.DUMMYFUNCTION("GOOGLETRANSLATE(A7420, ""ar"", ""bn"")"),"আঠাল")</f>
        <v>আঠাল</v>
      </c>
    </row>
    <row r="7421">
      <c r="A7421" s="2" t="s">
        <v>8273</v>
      </c>
      <c r="B7421" s="3" t="str">
        <f>IFERROR(__xludf.DUMMYFUNCTION("GOOGLETRANSLATE(A7421, ""ar"", ""bn"")"),"নিকৃষ্টতা")</f>
        <v>নিকৃষ্টতা</v>
      </c>
    </row>
    <row r="7422">
      <c r="A7422" s="2" t="s">
        <v>8274</v>
      </c>
      <c r="B7422" s="3" t="str">
        <f>IFERROR(__xludf.DUMMYFUNCTION("GOOGLETRANSLATE(A7422, ""ar"", ""bn"")"),"যথেষ্ট অপমানিত")</f>
        <v>যথেষ্ট অপমানিত</v>
      </c>
    </row>
    <row r="7423">
      <c r="A7423" s="2" t="s">
        <v>7006</v>
      </c>
      <c r="B7423" s="3" t="str">
        <f>IFERROR(__xludf.DUMMYFUNCTION("GOOGLETRANSLATE(A7423, ""ar"", ""bn"")"),"দুর্জন")</f>
        <v>দুর্জন</v>
      </c>
    </row>
    <row r="7424">
      <c r="A7424" s="2" t="s">
        <v>4184</v>
      </c>
      <c r="B7424" s="3" t="str">
        <f>IFERROR(__xludf.DUMMYFUNCTION("GOOGLETRANSLATE(A7424, ""ar"", ""bn"")"),"দুর্বৃত্ত")</f>
        <v>দুর্বৃত্ত</v>
      </c>
    </row>
    <row r="7425">
      <c r="A7425" s="2" t="s">
        <v>8275</v>
      </c>
      <c r="B7425" s="3" t="str">
        <f>IFERROR(__xludf.DUMMYFUNCTION("GOOGLETRANSLATE(A7425, ""ar"", ""bn"")"),"ভিলেন")</f>
        <v>ভিলেন</v>
      </c>
    </row>
    <row r="7426">
      <c r="A7426" s="2" t="s">
        <v>6265</v>
      </c>
      <c r="B7426" s="3" t="str">
        <f>IFERROR(__xludf.DUMMYFUNCTION("GOOGLETRANSLATE(A7426, ""ar"", ""bn"")"),"চরম দুর্বৃত্তি")</f>
        <v>চরম দুর্বৃত্তি</v>
      </c>
    </row>
    <row r="7427">
      <c r="A7427" s="2" t="s">
        <v>8276</v>
      </c>
      <c r="B7427" s="3" t="str">
        <f>IFERROR(__xludf.DUMMYFUNCTION("GOOGLETRANSLATE(A7427, ""ar"", ""bn"")"),"অতিক্রান্ত")</f>
        <v>অতিক্রান্ত</v>
      </c>
    </row>
    <row r="7428">
      <c r="A7428" s="2" t="s">
        <v>8277</v>
      </c>
      <c r="B7428" s="3" t="str">
        <f>IFERROR(__xludf.DUMMYFUNCTION("GOOGLETRANSLATE(A7428, ""ar"", ""bn"")"),"অতিক্রান্ত")</f>
        <v>অতিক্রান্ত</v>
      </c>
    </row>
    <row r="7429">
      <c r="A7429" s="2" t="s">
        <v>8278</v>
      </c>
      <c r="B7429" s="3" t="str">
        <f>IFERROR(__xludf.DUMMYFUNCTION("GOOGLETRANSLATE(A7429, ""ar"", ""bn"")"),"লঙ্ঘন করে")</f>
        <v>লঙ্ঘন করে</v>
      </c>
    </row>
    <row r="7430">
      <c r="A7430" s="2" t="s">
        <v>5115</v>
      </c>
      <c r="B7430" s="3" t="str">
        <f>IFERROR(__xludf.DUMMYFUNCTION("GOOGLETRANSLATE(A7430, ""ar"", ""bn"")"),"ভঙ্গ")</f>
        <v>ভঙ্গ</v>
      </c>
    </row>
    <row r="7431">
      <c r="A7431" s="2" t="s">
        <v>5115</v>
      </c>
      <c r="B7431" s="3" t="str">
        <f>IFERROR(__xludf.DUMMYFUNCTION("GOOGLETRANSLATE(A7431, ""ar"", ""bn"")"),"ভঙ্গ")</f>
        <v>ভঙ্গ</v>
      </c>
    </row>
    <row r="7432">
      <c r="A7432" s="2" t="s">
        <v>3221</v>
      </c>
      <c r="B7432" s="3" t="str">
        <f>IFERROR(__xludf.DUMMYFUNCTION("GOOGLETRANSLATE(A7432, ""ar"", ""bn"")"),"অমান্যকারীদের")</f>
        <v>অমান্যকারীদের</v>
      </c>
    </row>
    <row r="7433">
      <c r="A7433" s="2" t="s">
        <v>6661</v>
      </c>
      <c r="B7433" s="3" t="str">
        <f>IFERROR(__xludf.DUMMYFUNCTION("GOOGLETRANSLATE(A7433, ""ar"", ""bn"")"),"বলাত্কারী")</f>
        <v>বলাত্কারী</v>
      </c>
    </row>
    <row r="7434">
      <c r="A7434" s="2" t="s">
        <v>8279</v>
      </c>
      <c r="B7434" s="3" t="str">
        <f>IFERROR(__xludf.DUMMYFUNCTION("GOOGLETRANSLATE(A7434, ""ar"", ""bn"")"),"অপরাধীদের")</f>
        <v>অপরাধীদের</v>
      </c>
    </row>
    <row r="7435">
      <c r="A7435" s="2" t="s">
        <v>8276</v>
      </c>
      <c r="B7435" s="3" t="str">
        <f>IFERROR(__xludf.DUMMYFUNCTION("GOOGLETRANSLATE(A7435, ""ar"", ""bn"")"),"অতিক্রান্ত")</f>
        <v>অতিক্রান্ত</v>
      </c>
    </row>
    <row r="7436">
      <c r="A7436" s="2" t="s">
        <v>8277</v>
      </c>
      <c r="B7436" s="3" t="str">
        <f>IFERROR(__xludf.DUMMYFUNCTION("GOOGLETRANSLATE(A7436, ""ar"", ""bn"")"),"অতিক্রান্ত")</f>
        <v>অতিক্রান্ত</v>
      </c>
    </row>
    <row r="7437">
      <c r="A7437" s="2" t="s">
        <v>8278</v>
      </c>
      <c r="B7437" s="3" t="str">
        <f>IFERROR(__xludf.DUMMYFUNCTION("GOOGLETRANSLATE(A7437, ""ar"", ""bn"")"),"লঙ্ঘন করে")</f>
        <v>লঙ্ঘন করে</v>
      </c>
    </row>
    <row r="7438">
      <c r="A7438" s="2" t="s">
        <v>5115</v>
      </c>
      <c r="B7438" s="3" t="str">
        <f>IFERROR(__xludf.DUMMYFUNCTION("GOOGLETRANSLATE(A7438, ""ar"", ""bn"")"),"ভঙ্গ")</f>
        <v>ভঙ্গ</v>
      </c>
    </row>
    <row r="7439">
      <c r="A7439" s="2" t="s">
        <v>3221</v>
      </c>
      <c r="B7439" s="3" t="str">
        <f>IFERROR(__xludf.DUMMYFUNCTION("GOOGLETRANSLATE(A7439, ""ar"", ""bn"")"),"অমান্যকারীদের")</f>
        <v>অমান্যকারীদের</v>
      </c>
    </row>
    <row r="7440">
      <c r="A7440" s="2" t="s">
        <v>8280</v>
      </c>
      <c r="B7440" s="3" t="str">
        <f>IFERROR(__xludf.DUMMYFUNCTION("GOOGLETRANSLATE(A7440, ""ar"", ""bn"")"),"হিংস্রতা")</f>
        <v>হিংস্রতা</v>
      </c>
    </row>
    <row r="7441">
      <c r="A7441" s="2" t="s">
        <v>5385</v>
      </c>
      <c r="B7441" s="3" t="str">
        <f>IFERROR(__xludf.DUMMYFUNCTION("GOOGLETRANSLATE(A7441, ""ar"", ""bn"")"),"হিংসাত্মক")</f>
        <v>হিংসাত্মক</v>
      </c>
    </row>
    <row r="7442">
      <c r="A7442" s="2" t="s">
        <v>8281</v>
      </c>
      <c r="B7442" s="3" t="str">
        <f>IFERROR(__xludf.DUMMYFUNCTION("GOOGLETRANSLATE(A7442, ""ar"", ""bn"")"),"আবেগপূর্নভাবে")</f>
        <v>আবেগপূর্নভাবে</v>
      </c>
    </row>
    <row r="7443">
      <c r="A7443" s="2" t="s">
        <v>8282</v>
      </c>
      <c r="B7443" s="3" t="str">
        <f>IFERROR(__xludf.DUMMYFUNCTION("GOOGLETRANSLATE(A7443, ""ar"", ""bn"")"),"বিষাক্ত সাপ")</f>
        <v>বিষাক্ত সাপ</v>
      </c>
    </row>
    <row r="7444">
      <c r="A7444" s="2" t="s">
        <v>8283</v>
      </c>
      <c r="B7444" s="3" t="str">
        <f>IFERROR(__xludf.DUMMYFUNCTION("GOOGLETRANSLATE(A7444, ""ar"", ""bn"")"),"সাপ")</f>
        <v>সাপ</v>
      </c>
    </row>
    <row r="7445">
      <c r="A7445" s="2" t="s">
        <v>6095</v>
      </c>
      <c r="B7445" s="3" t="str">
        <f>IFERROR(__xludf.DUMMYFUNCTION("GOOGLETRANSLATE(A7445, ""ar"", ""bn"")"),"অকার্যকর")</f>
        <v>অকার্যকর</v>
      </c>
    </row>
    <row r="7446">
      <c r="A7446" s="2" t="s">
        <v>8284</v>
      </c>
      <c r="B7446" s="3" t="str">
        <f>IFERROR(__xludf.DUMMYFUNCTION("GOOGLETRANSLATE(A7446, ""ar"", ""bn"")"),"বাতিলযোগ্য")</f>
        <v>বাতিলযোগ্য</v>
      </c>
    </row>
    <row r="7447">
      <c r="A7447" s="2" t="s">
        <v>8285</v>
      </c>
      <c r="B7447" s="3" t="str">
        <f>IFERROR(__xludf.DUMMYFUNCTION("GOOGLETRANSLATE(A7447, ""ar"", ""bn"")"),"অকার্যকর")</f>
        <v>অকার্যকর</v>
      </c>
    </row>
    <row r="7448">
      <c r="A7448" s="2" t="s">
        <v>5107</v>
      </c>
      <c r="B7448" s="3" t="str">
        <f>IFERROR(__xludf.DUMMYFUNCTION("GOOGLETRANSLATE(A7448, ""ar"", ""bn"")"),"বাঁধিবার জিনিসপত্র")</f>
        <v>বাঁধিবার জিনিসপত্র</v>
      </c>
    </row>
    <row r="7449">
      <c r="A7449" s="2" t="s">
        <v>8286</v>
      </c>
      <c r="B7449" s="3" t="str">
        <f>IFERROR(__xludf.DUMMYFUNCTION("GOOGLETRANSLATE(A7449, ""ar"", ""bn"")"),"শূন্যস্থানের")</f>
        <v>শূন্যস্থানের</v>
      </c>
    </row>
    <row r="7450">
      <c r="A7450" s="2" t="s">
        <v>5170</v>
      </c>
      <c r="B7450" s="3" t="str">
        <f>IFERROR(__xludf.DUMMYFUNCTION("GOOGLETRANSLATE(A7450, ""ar"", ""bn"")"),"উদ্বায়ী")</f>
        <v>উদ্বায়ী</v>
      </c>
    </row>
    <row r="7451">
      <c r="A7451" s="2" t="s">
        <v>8287</v>
      </c>
      <c r="B7451" s="3" t="str">
        <f>IFERROR(__xludf.DUMMYFUNCTION("GOOGLETRANSLATE(A7451, ""ar"", ""bn"")"),"উদ্বায়ী")</f>
        <v>উদ্বায়ী</v>
      </c>
    </row>
    <row r="7452">
      <c r="A7452" s="2" t="s">
        <v>8288</v>
      </c>
      <c r="B7452" s="3" t="str">
        <f>IFERROR(__xludf.DUMMYFUNCTION("GOOGLETRANSLATE(A7452, ""ar"", ""bn"")"),"অবিশ্বাস")</f>
        <v>অবিশ্বাস</v>
      </c>
    </row>
    <row r="7453">
      <c r="A7453" s="2" t="s">
        <v>8289</v>
      </c>
      <c r="B7453" s="3" t="str">
        <f>IFERROR(__xludf.DUMMYFUNCTION("GOOGLETRANSLATE(A7453, ""ar"", ""bn"")"),"বমি")</f>
        <v>বমি</v>
      </c>
    </row>
    <row r="7454">
      <c r="A7454" s="2" t="s">
        <v>7161</v>
      </c>
      <c r="B7454" s="3" t="str">
        <f>IFERROR(__xludf.DUMMYFUNCTION("GOOGLETRANSLATE(A7454, ""ar"", ""bn"")"),"বমি")</f>
        <v>বমি</v>
      </c>
    </row>
    <row r="7455">
      <c r="A7455" s="2" t="s">
        <v>8289</v>
      </c>
      <c r="B7455" s="3" t="str">
        <f>IFERROR(__xludf.DUMMYFUNCTION("GOOGLETRANSLATE(A7455, ""ar"", ""bn"")"),"বমি")</f>
        <v>বমি</v>
      </c>
    </row>
    <row r="7456">
      <c r="A7456" s="2" t="s">
        <v>8290</v>
      </c>
      <c r="B7456" s="3" t="str">
        <f>IFERROR(__xludf.DUMMYFUNCTION("GOOGLETRANSLATE(A7456, ""ar"", ""bn"")"),"বমি")</f>
        <v>বমি</v>
      </c>
    </row>
    <row r="7457">
      <c r="A7457" s="2" t="s">
        <v>8289</v>
      </c>
      <c r="B7457" s="3" t="str">
        <f>IFERROR(__xludf.DUMMYFUNCTION("GOOGLETRANSLATE(A7457, ""ar"", ""bn"")"),"বমি")</f>
        <v>বমি</v>
      </c>
    </row>
    <row r="7458">
      <c r="A7458" s="2" t="s">
        <v>7161</v>
      </c>
      <c r="B7458" s="3" t="str">
        <f>IFERROR(__xludf.DUMMYFUNCTION("GOOGLETRANSLATE(A7458, ""ar"", ""bn"")"),"বমি")</f>
        <v>বমি</v>
      </c>
    </row>
    <row r="7459">
      <c r="A7459" s="2" t="s">
        <v>8289</v>
      </c>
      <c r="B7459" s="3" t="str">
        <f>IFERROR(__xludf.DUMMYFUNCTION("GOOGLETRANSLATE(A7459, ""ar"", ""bn"")"),"বমি")</f>
        <v>বমি</v>
      </c>
    </row>
    <row r="7460">
      <c r="A7460" s="2" t="s">
        <v>8290</v>
      </c>
      <c r="B7460" s="3" t="str">
        <f>IFERROR(__xludf.DUMMYFUNCTION("GOOGLETRANSLATE(A7460, ""ar"", ""bn"")"),"বমি")</f>
        <v>বমি</v>
      </c>
    </row>
    <row r="7461">
      <c r="A7461" s="2" t="s">
        <v>5679</v>
      </c>
      <c r="B7461" s="3" t="str">
        <f>IFERROR(__xludf.DUMMYFUNCTION("GOOGLETRANSLATE(A7461, ""ar"", ""bn"")"),"আঠাল")</f>
        <v>আঠাল</v>
      </c>
    </row>
    <row r="7462">
      <c r="A7462" s="2" t="s">
        <v>8291</v>
      </c>
      <c r="B7462" s="3" t="str">
        <f>IFERROR(__xludf.DUMMYFUNCTION("GOOGLETRANSLATE(A7462, ""ar"", ""bn"")"),"Vulgarities")</f>
        <v>Vulgarities</v>
      </c>
    </row>
    <row r="7463">
      <c r="A7463" s="2" t="s">
        <v>8292</v>
      </c>
      <c r="B7463" s="3" t="str">
        <f>IFERROR(__xludf.DUMMYFUNCTION("GOOGLETRANSLATE(A7463, ""ar"", ""bn"")"),"অপভাষা")</f>
        <v>অপভাষা</v>
      </c>
    </row>
    <row r="7464">
      <c r="A7464" s="2" t="s">
        <v>3816</v>
      </c>
      <c r="B7464" s="3" t="str">
        <f>IFERROR(__xludf.DUMMYFUNCTION("GOOGLETRANSLATE(A7464, ""ar"", ""bn"")"),"অভদ্র")</f>
        <v>অভদ্র</v>
      </c>
    </row>
    <row r="7465">
      <c r="A7465" s="2" t="s">
        <v>8293</v>
      </c>
      <c r="B7465" s="3" t="str">
        <f>IFERROR(__xludf.DUMMYFUNCTION("GOOGLETRANSLATE(A7465, ""ar"", ""bn"")"),"দুর্বলতা")</f>
        <v>দুর্বলতা</v>
      </c>
    </row>
    <row r="7466">
      <c r="A7466" s="2" t="s">
        <v>8294</v>
      </c>
      <c r="B7466" s="3" t="str">
        <f>IFERROR(__xludf.DUMMYFUNCTION("GOOGLETRANSLATE(A7466, ""ar"", ""bn"")"),"সংবেদনশীলতা")</f>
        <v>সংবেদনশীলতা</v>
      </c>
    </row>
    <row r="7467">
      <c r="A7467" s="2" t="s">
        <v>8295</v>
      </c>
      <c r="B7467" s="3" t="str">
        <f>IFERROR(__xludf.DUMMYFUNCTION("GOOGLETRANSLATE(A7467, ""ar"", ""bn"")"),"দুর্বল")</f>
        <v>দুর্বল</v>
      </c>
    </row>
    <row r="7468">
      <c r="A7468" s="2" t="s">
        <v>8296</v>
      </c>
      <c r="B7468" s="3" t="str">
        <f>IFERROR(__xludf.DUMMYFUNCTION("GOOGLETRANSLATE(A7468, ""ar"", ""bn"")"),"গল")</f>
        <v>গল</v>
      </c>
    </row>
    <row r="7469">
      <c r="A7469" s="2" t="s">
        <v>8297</v>
      </c>
      <c r="B7469" s="3" t="str">
        <f>IFERROR(__xludf.DUMMYFUNCTION("GOOGLETRANSLATE(A7469, ""ar"", ""bn"")"),"ঈগল")</f>
        <v>ঈগল</v>
      </c>
    </row>
    <row r="7470">
      <c r="A7470" s="2" t="s">
        <v>5434</v>
      </c>
      <c r="B7470" s="3" t="str">
        <f>IFERROR(__xludf.DUMMYFUNCTION("GOOGLETRANSLATE(A7470, ""ar"", ""bn"")"),"নির্বোধ")</f>
        <v>নির্বোধ</v>
      </c>
    </row>
    <row r="7471">
      <c r="A7471" s="2" t="s">
        <v>8298</v>
      </c>
      <c r="B7471" s="3" t="str">
        <f>IFERROR(__xludf.DUMMYFUNCTION("GOOGLETRANSLATE(A7471, ""ar"", ""bn"")"),"হাহাকার")</f>
        <v>হাহাকার</v>
      </c>
    </row>
    <row r="7472">
      <c r="A7472" s="2" t="s">
        <v>7358</v>
      </c>
      <c r="B7472" s="3" t="str">
        <f>IFERROR(__xludf.DUMMYFUNCTION("GOOGLETRANSLATE(A7472, ""ar"", ""bn"")"),"চিৎকার")</f>
        <v>চিৎকার</v>
      </c>
    </row>
    <row r="7473">
      <c r="A7473" s="2" t="s">
        <v>8299</v>
      </c>
      <c r="B7473" s="3" t="str">
        <f>IFERROR(__xludf.DUMMYFUNCTION("GOOGLETRANSLATE(A7473, ""ar"", ""bn"")"),"Wailer")</f>
        <v>Wailer</v>
      </c>
    </row>
    <row r="7474">
      <c r="A7474" s="2" t="s">
        <v>8300</v>
      </c>
      <c r="B7474" s="3" t="str">
        <f>IFERROR(__xludf.DUMMYFUNCTION("GOOGLETRANSLATE(A7474, ""ar"", ""bn"")"),"হাহাকার")</f>
        <v>হাহাকার</v>
      </c>
    </row>
    <row r="7475">
      <c r="A7475" s="2" t="s">
        <v>8301</v>
      </c>
      <c r="B7475" s="3" t="str">
        <f>IFERROR(__xludf.DUMMYFUNCTION("GOOGLETRANSLATE(A7475, ""ar"", ""bn"")"),"Wapping")</f>
        <v>Wapping</v>
      </c>
    </row>
    <row r="7476">
      <c r="A7476" s="2" t="s">
        <v>3705</v>
      </c>
      <c r="B7476" s="3" t="str">
        <f>IFERROR(__xludf.DUMMYFUNCTION("GOOGLETRANSLATE(A7476, ""ar"", ""bn"")"),"অধ: পতন")</f>
        <v>অধ: পতন</v>
      </c>
    </row>
    <row r="7477">
      <c r="A7477" s="2" t="s">
        <v>8302</v>
      </c>
      <c r="B7477" s="3" t="str">
        <f>IFERROR(__xludf.DUMMYFUNCTION("GOOGLETRANSLATE(A7477, ""ar"", ""bn"")"),"Wallowed")</f>
        <v>Wallowed</v>
      </c>
    </row>
    <row r="7478">
      <c r="A7478" s="2" t="s">
        <v>8302</v>
      </c>
      <c r="B7478" s="3" t="str">
        <f>IFERROR(__xludf.DUMMYFUNCTION("GOOGLETRANSLATE(A7478, ""ar"", ""bn"")"),"Wallowed")</f>
        <v>Wallowed</v>
      </c>
    </row>
    <row r="7479">
      <c r="A7479" s="2" t="s">
        <v>8302</v>
      </c>
      <c r="B7479" s="3" t="str">
        <f>IFERROR(__xludf.DUMMYFUNCTION("GOOGLETRANSLATE(A7479, ""ar"", ""bn"")"),"Wallowed")</f>
        <v>Wallowed</v>
      </c>
    </row>
    <row r="7480">
      <c r="A7480" s="2" t="s">
        <v>8303</v>
      </c>
      <c r="B7480" s="3" t="str">
        <f>IFERROR(__xludf.DUMMYFUNCTION("GOOGLETRANSLATE(A7480, ""ar"", ""bn"")"),"ক্ষয়")</f>
        <v>ক্ষয়</v>
      </c>
    </row>
    <row r="7481">
      <c r="A7481" s="2" t="s">
        <v>5082</v>
      </c>
      <c r="B7481" s="3" t="str">
        <f>IFERROR(__xludf.DUMMYFUNCTION("GOOGLETRANSLATE(A7481, ""ar"", ""bn"")"),"ক্ষীণ হত্তয়া")</f>
        <v>ক্ষীণ হত্তয়া</v>
      </c>
    </row>
    <row r="7482">
      <c r="A7482" s="2" t="s">
        <v>8304</v>
      </c>
      <c r="B7482" s="3" t="str">
        <f>IFERROR(__xludf.DUMMYFUNCTION("GOOGLETRANSLATE(A7482, ""ar"", ""bn"")"),"দাবি পরিত্যাগ করা")</f>
        <v>দাবি পরিত্যাগ করা</v>
      </c>
    </row>
    <row r="7483">
      <c r="A7483" s="2" t="s">
        <v>3818</v>
      </c>
      <c r="B7483" s="3" t="str">
        <f>IFERROR(__xludf.DUMMYFUNCTION("GOOGLETRANSLATE(A7483, ""ar"", ""bn"")"),"পাশবিক")</f>
        <v>পাশবিক</v>
      </c>
    </row>
    <row r="7484">
      <c r="A7484" s="2" t="s">
        <v>8305</v>
      </c>
      <c r="B7484" s="3" t="str">
        <f>IFERROR(__xludf.DUMMYFUNCTION("GOOGLETRANSLATE(A7484, ""ar"", ""bn"")"),"ইচ্ছামত")</f>
        <v>ইচ্ছামত</v>
      </c>
    </row>
    <row r="7485">
      <c r="A7485" s="2" t="s">
        <v>8306</v>
      </c>
      <c r="B7485" s="3" t="str">
        <f>IFERROR(__xludf.DUMMYFUNCTION("GOOGLETRANSLATE(A7485, ""ar"", ""bn"")"),"লাম্পট্য")</f>
        <v>লাম্পট্য</v>
      </c>
    </row>
    <row r="7486">
      <c r="A7486" s="2" t="s">
        <v>8307</v>
      </c>
      <c r="B7486" s="3" t="str">
        <f>IFERROR(__xludf.DUMMYFUNCTION("GOOGLETRANSLATE(A7486, ""ar"", ""bn"")"),"যুদ্ধ")</f>
        <v>যুদ্ধ</v>
      </c>
    </row>
    <row r="7487">
      <c r="A7487" s="2" t="s">
        <v>8308</v>
      </c>
      <c r="B7487" s="3" t="str">
        <f>IFERROR(__xludf.DUMMYFUNCTION("GOOGLETRANSLATE(A7487, ""ar"", ""bn"")"),"কূজন")</f>
        <v>কূজন</v>
      </c>
    </row>
    <row r="7488">
      <c r="A7488" s="2" t="s">
        <v>8309</v>
      </c>
      <c r="B7488" s="3" t="str">
        <f>IFERROR(__xludf.DUMMYFUNCTION("GOOGLETRANSLATE(A7488, ""ar"", ""bn"")"),"Songstress")</f>
        <v>Songstress</v>
      </c>
    </row>
    <row r="7489">
      <c r="A7489" s="2" t="s">
        <v>8310</v>
      </c>
      <c r="B7489" s="3" t="str">
        <f>IFERROR(__xludf.DUMMYFUNCTION("GOOGLETRANSLATE(A7489, ""ar"", ""bn"")"),"songbirds")</f>
        <v>songbirds</v>
      </c>
    </row>
    <row r="7490">
      <c r="A7490" s="2" t="s">
        <v>8111</v>
      </c>
      <c r="B7490" s="3" t="str">
        <f>IFERROR(__xludf.DUMMYFUNCTION("GOOGLETRANSLATE(A7490, ""ar"", ""bn"")"),"টুইটার")</f>
        <v>টুইটার</v>
      </c>
    </row>
    <row r="7491">
      <c r="A7491" s="2" t="s">
        <v>8311</v>
      </c>
      <c r="B7491" s="3" t="str">
        <f>IFERROR(__xludf.DUMMYFUNCTION("GOOGLETRANSLATE(A7491, ""ar"", ""bn"")"),"Warbles")</f>
        <v>Warbles</v>
      </c>
    </row>
    <row r="7492">
      <c r="A7492" s="2" t="s">
        <v>8312</v>
      </c>
      <c r="B7492" s="3" t="str">
        <f>IFERROR(__xludf.DUMMYFUNCTION("GOOGLETRANSLATE(A7492, ""ar"", ""bn"")"),"সুইট")</f>
        <v>সুইট</v>
      </c>
    </row>
    <row r="7493">
      <c r="A7493" s="2" t="s">
        <v>8313</v>
      </c>
      <c r="B7493" s="3" t="str">
        <f>IFERROR(__xludf.DUMMYFUNCTION("GOOGLETRANSLATE(A7493, ""ar"", ""bn"")"),"প্রতিহত করা")</f>
        <v>প্রতিহত করা</v>
      </c>
    </row>
    <row r="7494">
      <c r="A7494" s="2" t="s">
        <v>8314</v>
      </c>
      <c r="B7494" s="3" t="str">
        <f>IFERROR(__xludf.DUMMYFUNCTION("GOOGLETRANSLATE(A7494, ""ar"", ""bn"")"),"পর্যবেক্ষক")</f>
        <v>পর্যবেক্ষক</v>
      </c>
    </row>
    <row r="7495">
      <c r="A7495" s="2" t="s">
        <v>6410</v>
      </c>
      <c r="B7495" s="3" t="str">
        <f>IFERROR(__xludf.DUMMYFUNCTION("GOOGLETRANSLATE(A7495, ""ar"", ""bn"")"),"রক্ষিবাহিনী")</f>
        <v>রক্ষিবাহিনী</v>
      </c>
    </row>
    <row r="7496">
      <c r="A7496" s="2" t="s">
        <v>5540</v>
      </c>
      <c r="B7496" s="3" t="str">
        <f>IFERROR(__xludf.DUMMYFUNCTION("GOOGLETRANSLATE(A7496, ""ar"", ""bn"")"),"জেলার")</f>
        <v>জেলার</v>
      </c>
    </row>
    <row r="7497">
      <c r="A7497" s="2" t="s">
        <v>8315</v>
      </c>
      <c r="B7497" s="3" t="str">
        <f>IFERROR(__xludf.DUMMYFUNCTION("GOOGLETRANSLATE(A7497, ""ar"", ""bn"")"),"রক্ষিবাহিনী")</f>
        <v>রক্ষিবাহিনী</v>
      </c>
    </row>
    <row r="7498">
      <c r="A7498" s="2" t="s">
        <v>8316</v>
      </c>
      <c r="B7498" s="3" t="str">
        <f>IFERROR(__xludf.DUMMYFUNCTION("GOOGLETRANSLATE(A7498, ""ar"", ""bn"")"),"কারারোধ")</f>
        <v>কারারোধ</v>
      </c>
    </row>
    <row r="7499">
      <c r="A7499" s="2" t="s">
        <v>8317</v>
      </c>
      <c r="B7499" s="3" t="str">
        <f>IFERROR(__xludf.DUMMYFUNCTION("GOOGLETRANSLATE(A7499, ""ar"", ""bn"")"),"আলমারি")</f>
        <v>আলমারি</v>
      </c>
    </row>
    <row r="7500">
      <c r="A7500" s="2" t="s">
        <v>8318</v>
      </c>
      <c r="B7500" s="3" t="str">
        <f>IFERROR(__xludf.DUMMYFUNCTION("GOOGLETRANSLATE(A7500, ""ar"", ""bn"")"),"ক্যাবিনেটের")</f>
        <v>ক্যাবিনেটের</v>
      </c>
    </row>
    <row r="7501">
      <c r="A7501" s="2" t="s">
        <v>8319</v>
      </c>
      <c r="B7501" s="3" t="str">
        <f>IFERROR(__xludf.DUMMYFUNCTION("GOOGLETRANSLATE(A7501, ""ar"", ""bn"")"),"ওয়ার্ড")</f>
        <v>ওয়ার্ড</v>
      </c>
    </row>
    <row r="7502">
      <c r="A7502" s="2" t="s">
        <v>8320</v>
      </c>
      <c r="B7502" s="3" t="str">
        <f>IFERROR(__xludf.DUMMYFUNCTION("GOOGLETRANSLATE(A7502, ""ar"", ""bn"")"),"প্রহরী")</f>
        <v>প্রহরী</v>
      </c>
    </row>
    <row r="7503">
      <c r="A7503" s="2" t="s">
        <v>8321</v>
      </c>
      <c r="B7503" s="3" t="str">
        <f>IFERROR(__xludf.DUMMYFUNCTION("GOOGLETRANSLATE(A7503, ""ar"", ""bn"")"),"পণ্য")</f>
        <v>পণ্য</v>
      </c>
    </row>
    <row r="7504">
      <c r="A7504" s="2" t="s">
        <v>8322</v>
      </c>
      <c r="B7504" s="3" t="str">
        <f>IFERROR(__xludf.DUMMYFUNCTION("GOOGLETRANSLATE(A7504, ""ar"", ""bn"")"),"গুদাম")</f>
        <v>গুদাম</v>
      </c>
    </row>
    <row r="7505">
      <c r="A7505" s="2" t="s">
        <v>8323</v>
      </c>
      <c r="B7505" s="3" t="str">
        <f>IFERROR(__xludf.DUMMYFUNCTION("GOOGLETRANSLATE(A7505, ""ar"", ""bn"")"),"সঞ্চিত")</f>
        <v>সঞ্চিত</v>
      </c>
    </row>
    <row r="7506">
      <c r="A7506" s="2" t="s">
        <v>8324</v>
      </c>
      <c r="B7506" s="3" t="str">
        <f>IFERROR(__xludf.DUMMYFUNCTION("GOOGLETRANSLATE(A7506, ""ar"", ""bn"")"),"গুদামরক্ষক")</f>
        <v>গুদামরক্ষক</v>
      </c>
    </row>
    <row r="7507">
      <c r="A7507" s="2" t="s">
        <v>8325</v>
      </c>
      <c r="B7507" s="3" t="str">
        <f>IFERROR(__xludf.DUMMYFUNCTION("GOOGLETRANSLATE(A7507, ""ar"", ""bn"")"),"গুদাম")</f>
        <v>গুদাম</v>
      </c>
    </row>
    <row r="7508">
      <c r="A7508" s="2" t="s">
        <v>8325</v>
      </c>
      <c r="B7508" s="3" t="str">
        <f>IFERROR(__xludf.DUMMYFUNCTION("GOOGLETRANSLATE(A7508, ""ar"", ""bn"")"),"গুদাম")</f>
        <v>গুদাম</v>
      </c>
    </row>
    <row r="7509">
      <c r="A7509" s="2" t="s">
        <v>8326</v>
      </c>
      <c r="B7509" s="3" t="str">
        <f>IFERROR(__xludf.DUMMYFUNCTION("GOOGLETRANSLATE(A7509, ""ar"", ""bn"")"),"সংগ্রহস্থল")</f>
        <v>সংগ্রহস্থল</v>
      </c>
    </row>
    <row r="7510">
      <c r="A7510" s="2" t="s">
        <v>136</v>
      </c>
      <c r="B7510" s="3" t="str">
        <f>IFERROR(__xludf.DUMMYFUNCTION("GOOGLETRANSLATE(A7510, ""ar"", ""bn"")"),"সামগ্রী")</f>
        <v>সামগ্রী</v>
      </c>
    </row>
    <row r="7511">
      <c r="A7511" s="2" t="s">
        <v>8307</v>
      </c>
      <c r="B7511" s="3" t="str">
        <f>IFERROR(__xludf.DUMMYFUNCTION("GOOGLETRANSLATE(A7511, ""ar"", ""bn"")"),"যুদ্ধ")</f>
        <v>যুদ্ধ</v>
      </c>
    </row>
    <row r="7512">
      <c r="A7512" s="2" t="s">
        <v>8327</v>
      </c>
      <c r="B7512" s="3" t="str">
        <f>IFERROR(__xludf.DUMMYFUNCTION("GOOGLETRANSLATE(A7512, ""ar"", ""bn"")"),"টরপেডো")</f>
        <v>টরপেডো</v>
      </c>
    </row>
    <row r="7513">
      <c r="A7513" s="2" t="s">
        <v>8328</v>
      </c>
      <c r="B7513" s="3" t="str">
        <f>IFERROR(__xludf.DUMMYFUNCTION("GOOGLETRANSLATE(A7513, ""ar"", ""bn"")"),"warheads")</f>
        <v>warheads</v>
      </c>
    </row>
    <row r="7514">
      <c r="A7514" s="2" t="s">
        <v>8329</v>
      </c>
      <c r="B7514" s="3" t="str">
        <f>IFERROR(__xludf.DUMMYFUNCTION("GOOGLETRANSLATE(A7514, ""ar"", ""bn"")"),"যোদ্ধা")</f>
        <v>যোদ্ধা</v>
      </c>
    </row>
    <row r="7515">
      <c r="A7515" s="2" t="s">
        <v>8330</v>
      </c>
      <c r="B7515" s="3" t="str">
        <f>IFERROR(__xludf.DUMMYFUNCTION("GOOGLETRANSLATE(A7515, ""ar"", ""bn"")"),"আরো সতর্ক")</f>
        <v>আরো সতর্ক</v>
      </c>
    </row>
    <row r="7516">
      <c r="A7516" s="2" t="s">
        <v>8331</v>
      </c>
      <c r="B7516" s="3" t="str">
        <f>IFERROR(__xludf.DUMMYFUNCTION("GOOGLETRANSLATE(A7516, ""ar"", ""bn"")"),"সাবধানভাবে")</f>
        <v>সাবধানভাবে</v>
      </c>
    </row>
    <row r="7517">
      <c r="A7517" s="2" t="s">
        <v>8332</v>
      </c>
      <c r="B7517" s="3" t="str">
        <f>IFERROR(__xludf.DUMMYFUNCTION("GOOGLETRANSLATE(A7517, ""ar"", ""bn"")"),"সাবধান")</f>
        <v>সাবধান</v>
      </c>
    </row>
    <row r="7518">
      <c r="A7518" s="2" t="s">
        <v>8333</v>
      </c>
      <c r="B7518" s="3" t="str">
        <f>IFERROR(__xludf.DUMMYFUNCTION("GOOGLETRANSLATE(A7518, ""ar"", ""bn"")"),"Waring")</f>
        <v>Waring</v>
      </c>
    </row>
    <row r="7519">
      <c r="A7519" s="2" t="s">
        <v>8334</v>
      </c>
      <c r="B7519" s="3" t="str">
        <f>IFERROR(__xludf.DUMMYFUNCTION("GOOGLETRANSLATE(A7519, ""ar"", ""bn"")"),"সামরিক")</f>
        <v>সামরিক</v>
      </c>
    </row>
    <row r="7520">
      <c r="A7520" s="2" t="s">
        <v>8335</v>
      </c>
      <c r="B7520" s="3" t="str">
        <f>IFERROR(__xludf.DUMMYFUNCTION("GOOGLETRANSLATE(A7520, ""ar"", ""bn"")"),"প্রতারক")</f>
        <v>প্রতারক</v>
      </c>
    </row>
    <row r="7521">
      <c r="A7521" s="2" t="s">
        <v>5899</v>
      </c>
      <c r="B7521" s="3" t="str">
        <f>IFERROR(__xludf.DUMMYFUNCTION("GOOGLETRANSLATE(A7521, ""ar"", ""bn"")"),"ডাইনিরা")</f>
        <v>ডাইনিরা</v>
      </c>
    </row>
    <row r="7522">
      <c r="A7522" s="2" t="s">
        <v>8336</v>
      </c>
      <c r="B7522" s="3" t="str">
        <f>IFERROR(__xludf.DUMMYFUNCTION("GOOGLETRANSLATE(A7522, ""ar"", ""bn"")"),"warlords")</f>
        <v>warlords</v>
      </c>
    </row>
    <row r="7523">
      <c r="A7523" s="2" t="s">
        <v>8336</v>
      </c>
      <c r="B7523" s="3" t="str">
        <f>IFERROR(__xludf.DUMMYFUNCTION("GOOGLETRANSLATE(A7523, ""ar"", ""bn"")"),"warlords")</f>
        <v>warlords</v>
      </c>
    </row>
    <row r="7524">
      <c r="A7524" s="2" t="s">
        <v>8337</v>
      </c>
      <c r="B7524" s="3" t="str">
        <f>IFERROR(__xludf.DUMMYFUNCTION("GOOGLETRANSLATE(A7524, ""ar"", ""bn"")"),"উষ্ণ")</f>
        <v>উষ্ণ</v>
      </c>
    </row>
    <row r="7525">
      <c r="A7525" s="2" t="s">
        <v>8338</v>
      </c>
      <c r="B7525" s="3" t="str">
        <f>IFERROR(__xludf.DUMMYFUNCTION("GOOGLETRANSLATE(A7525, ""ar"", ""bn"")"),"প্রস্তুত হও")</f>
        <v>প্রস্তুত হও</v>
      </c>
    </row>
    <row r="7526">
      <c r="A7526" s="2" t="s">
        <v>8339</v>
      </c>
      <c r="B7526" s="3" t="str">
        <f>IFERROR(__xludf.DUMMYFUNCTION("GOOGLETRANSLATE(A7526, ""ar"", ""bn"")"),"উত্তপ্ত")</f>
        <v>উত্তপ্ত</v>
      </c>
    </row>
    <row r="7527">
      <c r="A7527" s="2" t="s">
        <v>8340</v>
      </c>
      <c r="B7527" s="3" t="str">
        <f>IFERROR(__xludf.DUMMYFUNCTION("GOOGLETRANSLATE(A7527, ""ar"", ""bn"")"),"গরম করার")</f>
        <v>গরম করার</v>
      </c>
    </row>
    <row r="7528">
      <c r="A7528" s="2" t="s">
        <v>8341</v>
      </c>
      <c r="B7528" s="3" t="str">
        <f>IFERROR(__xludf.DUMMYFUNCTION("GOOGLETRANSLATE(A7528, ""ar"", ""bn"")"),"হটেস্ট")</f>
        <v>হটেস্ট</v>
      </c>
    </row>
    <row r="7529">
      <c r="A7529" s="2" t="s">
        <v>6828</v>
      </c>
      <c r="B7529" s="3" t="str">
        <f>IFERROR(__xludf.DUMMYFUNCTION("GOOGLETRANSLATE(A7529, ""ar"", ""bn"")"),"সদয়")</f>
        <v>সদয়</v>
      </c>
    </row>
    <row r="7530">
      <c r="A7530" s="2" t="s">
        <v>8342</v>
      </c>
      <c r="B7530" s="3" t="str">
        <f>IFERROR(__xludf.DUMMYFUNCTION("GOOGLETRANSLATE(A7530, ""ar"", ""bn"")"),"মোড়")</f>
        <v>মোড়</v>
      </c>
    </row>
    <row r="7531">
      <c r="A7531" s="2" t="s">
        <v>8340</v>
      </c>
      <c r="B7531" s="3" t="str">
        <f>IFERROR(__xludf.DUMMYFUNCTION("GOOGLETRANSLATE(A7531, ""ar"", ""bn"")"),"গরম করার")</f>
        <v>গরম করার</v>
      </c>
    </row>
    <row r="7532">
      <c r="A7532" s="2" t="s">
        <v>8343</v>
      </c>
      <c r="B7532" s="3" t="str">
        <f>IFERROR(__xludf.DUMMYFUNCTION("GOOGLETRANSLATE(A7532, ""ar"", ""bn"")"),"উষ্ণভাবে")</f>
        <v>উষ্ণভাবে</v>
      </c>
    </row>
    <row r="7533">
      <c r="A7533" s="2" t="s">
        <v>8344</v>
      </c>
      <c r="B7533" s="3" t="str">
        <f>IFERROR(__xludf.DUMMYFUNCTION("GOOGLETRANSLATE(A7533, ""ar"", ""bn"")"),"উত্তাপ")</f>
        <v>উত্তাপ</v>
      </c>
    </row>
    <row r="7534">
      <c r="A7534" s="2" t="s">
        <v>8345</v>
      </c>
      <c r="B7534" s="3" t="str">
        <f>IFERROR(__xludf.DUMMYFUNCTION("GOOGLETRANSLATE(A7534, ""ar"", ""bn"")"),"ভাড়াটে নৈকি")</f>
        <v>ভাড়াটে নৈকি</v>
      </c>
    </row>
    <row r="7535">
      <c r="A7535" s="2" t="s">
        <v>8346</v>
      </c>
      <c r="B7535" s="3" t="str">
        <f>IFERROR(__xludf.DUMMYFUNCTION("GOOGLETRANSLATE(A7535, ""ar"", ""bn"")"),"উচ্চ তাপমাত্রা স্থল")</f>
        <v>উচ্চ তাপমাত্রা স্থল</v>
      </c>
    </row>
    <row r="7536">
      <c r="A7536" s="2" t="s">
        <v>8347</v>
      </c>
      <c r="B7536" s="3" t="str">
        <f>IFERROR(__xludf.DUMMYFUNCTION("GOOGLETRANSLATE(A7536, ""ar"", ""bn"")"),"উত্তাপ")</f>
        <v>উত্তাপ</v>
      </c>
    </row>
    <row r="7537">
      <c r="A7537" s="2" t="s">
        <v>8348</v>
      </c>
      <c r="B7537" s="3" t="str">
        <f>IFERROR(__xludf.DUMMYFUNCTION("GOOGLETRANSLATE(A7537, ""ar"", ""bn"")"),"বন্ধুত্বপূর্ণ")</f>
        <v>বন্ধুত্বপূর্ণ</v>
      </c>
    </row>
    <row r="7538">
      <c r="A7538" s="2" t="s">
        <v>8332</v>
      </c>
      <c r="B7538" s="3" t="str">
        <f>IFERROR(__xludf.DUMMYFUNCTION("GOOGLETRANSLATE(A7538, ""ar"", ""bn"")"),"সাবধান")</f>
        <v>সাবধান</v>
      </c>
    </row>
    <row r="7539">
      <c r="A7539" s="2" t="s">
        <v>8332</v>
      </c>
      <c r="B7539" s="3" t="str">
        <f>IFERROR(__xludf.DUMMYFUNCTION("GOOGLETRANSLATE(A7539, ""ar"", ""bn"")"),"সাবধান")</f>
        <v>সাবধান</v>
      </c>
    </row>
    <row r="7540">
      <c r="A7540" s="2" t="s">
        <v>8349</v>
      </c>
      <c r="B7540" s="3" t="str">
        <f>IFERROR(__xludf.DUMMYFUNCTION("GOOGLETRANSLATE(A7540, ""ar"", ""bn"")"),"সতর্ককারীদের")</f>
        <v>সতর্ককারীদের</v>
      </c>
    </row>
    <row r="7541">
      <c r="A7541" s="2" t="s">
        <v>8350</v>
      </c>
      <c r="B7541" s="3" t="str">
        <f>IFERROR(__xludf.DUMMYFUNCTION("GOOGLETRANSLATE(A7541, ""ar"", ""bn"")"),"সতর্কতা")</f>
        <v>সতর্কতা</v>
      </c>
    </row>
    <row r="7542">
      <c r="A7542" s="2" t="s">
        <v>8351</v>
      </c>
      <c r="B7542" s="3" t="str">
        <f>IFERROR(__xludf.DUMMYFUNCTION("GOOGLETRANSLATE(A7542, ""ar"", ""bn"")"),"সতর্কবাণী")</f>
        <v>সতর্কবাণী</v>
      </c>
    </row>
    <row r="7543">
      <c r="A7543" s="2" t="s">
        <v>8352</v>
      </c>
      <c r="B7543" s="3" t="str">
        <f>IFERROR(__xludf.DUMMYFUNCTION("GOOGLETRANSLATE(A7543, ""ar"", ""bn"")"),"সাবধান করুন")</f>
        <v>সাবধান করুন</v>
      </c>
    </row>
    <row r="7544">
      <c r="A7544" s="2" t="s">
        <v>8353</v>
      </c>
      <c r="B7544" s="3" t="str">
        <f>IFERROR(__xludf.DUMMYFUNCTION("GOOGLETRANSLATE(A7544, ""ar"", ""bn"")"),"টানা")</f>
        <v>টানা</v>
      </c>
    </row>
    <row r="7545">
      <c r="A7545" s="2" t="s">
        <v>8354</v>
      </c>
      <c r="B7545" s="3" t="str">
        <f>IFERROR(__xludf.DUMMYFUNCTION("GOOGLETRANSLATE(A7545, ""ar"", ""bn"")"),"যুদ্ধের মাধ্যমে")</f>
        <v>যুদ্ধের মাধ্যমে</v>
      </c>
    </row>
    <row r="7546">
      <c r="A7546" s="2" t="s">
        <v>4941</v>
      </c>
      <c r="B7546" s="3" t="str">
        <f>IFERROR(__xludf.DUMMYFUNCTION("GOOGLETRANSLATE(A7546, ""ar"", ""bn"")"),"বিকৃত")</f>
        <v>বিকৃত</v>
      </c>
    </row>
    <row r="7547">
      <c r="A7547" s="2" t="s">
        <v>8355</v>
      </c>
      <c r="B7547" s="3" t="str">
        <f>IFERROR(__xludf.DUMMYFUNCTION("GOOGLETRANSLATE(A7547, ""ar"", ""bn"")"),"ভেজালযুক্ত")</f>
        <v>ভেজালযুক্ত</v>
      </c>
    </row>
    <row r="7548">
      <c r="A7548" s="2" t="s">
        <v>8356</v>
      </c>
      <c r="B7548" s="3" t="str">
        <f>IFERROR(__xludf.DUMMYFUNCTION("GOOGLETRANSLATE(A7548, ""ar"", ""bn"")"),"বিমান")</f>
        <v>বিমান</v>
      </c>
    </row>
    <row r="7549">
      <c r="A7549" s="2" t="s">
        <v>8357</v>
      </c>
      <c r="B7549" s="3" t="str">
        <f>IFERROR(__xludf.DUMMYFUNCTION("GOOGLETRANSLATE(A7549, ""ar"", ""bn"")"),"টানা")</f>
        <v>টানা</v>
      </c>
    </row>
    <row r="7550">
      <c r="A7550" s="2" t="s">
        <v>8358</v>
      </c>
      <c r="B7550" s="3" t="str">
        <f>IFERROR(__xludf.DUMMYFUNCTION("GOOGLETRANSLATE(A7550, ""ar"", ""bn"")"),"বিঃদ্রঃ")</f>
        <v>বিঃদ্রঃ</v>
      </c>
    </row>
    <row r="7551">
      <c r="A7551" s="2" t="s">
        <v>8359</v>
      </c>
      <c r="B7551" s="3" t="str">
        <f>IFERROR(__xludf.DUMMYFUNCTION("GOOGLETRANSLATE(A7551, ""ar"", ""bn"")"),"সন্তুষ্ট")</f>
        <v>সন্তুষ্ট</v>
      </c>
    </row>
    <row r="7552">
      <c r="A7552" s="2" t="s">
        <v>8360</v>
      </c>
      <c r="B7552" s="3" t="str">
        <f>IFERROR(__xludf.DUMMYFUNCTION("GOOGLETRANSLATE(A7552, ""ar"", ""bn"")"),"নিশ্চয়তা")</f>
        <v>নিশ্চয়তা</v>
      </c>
    </row>
    <row r="7553">
      <c r="A7553" s="2" t="s">
        <v>8361</v>
      </c>
      <c r="B7553" s="3" t="str">
        <f>IFERROR(__xludf.DUMMYFUNCTION("GOOGLETRANSLATE(A7553, ""ar"", ""bn"")"),"কল")</f>
        <v>কল</v>
      </c>
    </row>
    <row r="7554">
      <c r="A7554" s="2" t="s">
        <v>8362</v>
      </c>
      <c r="B7554" s="3" t="str">
        <f>IFERROR(__xludf.DUMMYFUNCTION("GOOGLETRANSLATE(A7554, ""ar"", ""bn"")"),"দিনলিপি")</f>
        <v>দিনলিপি</v>
      </c>
    </row>
    <row r="7555">
      <c r="A7555" s="2" t="s">
        <v>8363</v>
      </c>
      <c r="B7555" s="3" t="str">
        <f>IFERROR(__xludf.DUMMYFUNCTION("GOOGLETRANSLATE(A7555, ""ar"", ""bn"")"),"জামিন")</f>
        <v>জামিন</v>
      </c>
    </row>
    <row r="7556">
      <c r="A7556" s="2" t="s">
        <v>8364</v>
      </c>
      <c r="B7556" s="3" t="str">
        <f>IFERROR(__xludf.DUMMYFUNCTION("GOOGLETRANSLATE(A7556, ""ar"", ""bn"")"),"মারামারি")</f>
        <v>মারামারি</v>
      </c>
    </row>
    <row r="7557">
      <c r="A7557" s="2" t="s">
        <v>8365</v>
      </c>
      <c r="B7557" s="3" t="str">
        <f>IFERROR(__xludf.DUMMYFUNCTION("GOOGLETRANSLATE(A7557, ""ar"", ""bn"")"),"ঘনবসতিপূর্ণ বস্তি")</f>
        <v>ঘনবসতিপূর্ণ বস্তি</v>
      </c>
    </row>
    <row r="7558">
      <c r="A7558" s="2" t="s">
        <v>8366</v>
      </c>
      <c r="B7558" s="3" t="str">
        <f>IFERROR(__xludf.DUMMYFUNCTION("GOOGLETRANSLATE(A7558, ""ar"", ""bn"")"),"বারোজ")</f>
        <v>বারোজ</v>
      </c>
    </row>
    <row r="7559">
      <c r="A7559" s="2" t="s">
        <v>8367</v>
      </c>
      <c r="B7559" s="3" t="str">
        <f>IFERROR(__xludf.DUMMYFUNCTION("GOOGLETRANSLATE(A7559, ""ar"", ""bn"")"),"যুদ্ধরত")</f>
        <v>যুদ্ধরত</v>
      </c>
    </row>
    <row r="7560">
      <c r="A7560" s="2" t="s">
        <v>3612</v>
      </c>
      <c r="B7560" s="3" t="str">
        <f>IFERROR(__xludf.DUMMYFUNCTION("GOOGLETRANSLATE(A7560, ""ar"", ""bn"")"),"সৈনিক")</f>
        <v>সৈনিক</v>
      </c>
    </row>
    <row r="7561">
      <c r="A7561" s="2" t="s">
        <v>8368</v>
      </c>
      <c r="B7561" s="3" t="str">
        <f>IFERROR(__xludf.DUMMYFUNCTION("GOOGLETRANSLATE(A7561, ""ar"", ""bn"")"),"ওয়ারিয়র্স")</f>
        <v>ওয়ারিয়র্স</v>
      </c>
    </row>
    <row r="7562">
      <c r="A7562" s="2" t="s">
        <v>8369</v>
      </c>
      <c r="B7562" s="3" t="str">
        <f>IFERROR(__xludf.DUMMYFUNCTION("GOOGLETRANSLATE(A7562, ""ar"", ""bn"")"),"যুদ্ধ")</f>
        <v>যুদ্ধ</v>
      </c>
    </row>
    <row r="7563">
      <c r="A7563" s="2" t="s">
        <v>8370</v>
      </c>
      <c r="B7563" s="3" t="str">
        <f>IFERROR(__xludf.DUMMYFUNCTION("GOOGLETRANSLATE(A7563, ""ar"", ""bn"")"),"ওয়ারশ")</f>
        <v>ওয়ারশ</v>
      </c>
    </row>
    <row r="7564">
      <c r="A7564" s="2" t="s">
        <v>3555</v>
      </c>
      <c r="B7564" s="3" t="str">
        <f>IFERROR(__xludf.DUMMYFUNCTION("GOOGLETRANSLATE(A7564, ""ar"", ""bn"")"),"রণতরী")</f>
        <v>রণতরী</v>
      </c>
    </row>
    <row r="7565">
      <c r="A7565" s="2" t="s">
        <v>8371</v>
      </c>
      <c r="B7565" s="3" t="str">
        <f>IFERROR(__xludf.DUMMYFUNCTION("GOOGLETRANSLATE(A7565, ""ar"", ""bn"")"),"যুদ্ধজাহাজ")</f>
        <v>যুদ্ধজাহাজ</v>
      </c>
    </row>
    <row r="7566">
      <c r="A7566" s="2" t="s">
        <v>8372</v>
      </c>
      <c r="B7566" s="3" t="str">
        <f>IFERROR(__xludf.DUMMYFUNCTION("GOOGLETRANSLATE(A7566, ""ar"", ""bn"")"),"আঁচিল")</f>
        <v>আঁচিল</v>
      </c>
    </row>
    <row r="7567">
      <c r="A7567" s="2" t="s">
        <v>8373</v>
      </c>
      <c r="B7567" s="3" t="str">
        <f>IFERROR(__xludf.DUMMYFUNCTION("GOOGLETRANSLATE(A7567, ""ar"", ""bn"")"),"শূকর")</f>
        <v>শূকর</v>
      </c>
    </row>
    <row r="7568">
      <c r="A7568" s="2" t="s">
        <v>8374</v>
      </c>
      <c r="B7568" s="3" t="str">
        <f>IFERROR(__xludf.DUMMYFUNCTION("GOOGLETRANSLATE(A7568, ""ar"", ""bn"")"),"শূকর")</f>
        <v>শূকর</v>
      </c>
    </row>
    <row r="7569">
      <c r="A7569" s="2" t="s">
        <v>8375</v>
      </c>
      <c r="B7569" s="3" t="str">
        <f>IFERROR(__xludf.DUMMYFUNCTION("GOOGLETRANSLATE(A7569, ""ar"", ""bn"")"),"যুদ্ধকালীন")</f>
        <v>যুদ্ধকালীন</v>
      </c>
    </row>
    <row r="7570">
      <c r="A7570" s="2" t="s">
        <v>8376</v>
      </c>
      <c r="B7570" s="3" t="str">
        <f>IFERROR(__xludf.DUMMYFUNCTION("GOOGLETRANSLATE(A7570, ""ar"", ""bn"")"),"warts")</f>
        <v>warts</v>
      </c>
    </row>
    <row r="7571">
      <c r="A7571" s="2" t="s">
        <v>8377</v>
      </c>
      <c r="B7571" s="3" t="str">
        <f>IFERROR(__xludf.DUMMYFUNCTION("GOOGLETRANSLATE(A7571, ""ar"", ""bn"")"),"গড়ুময়")</f>
        <v>গড়ুময়</v>
      </c>
    </row>
    <row r="7572">
      <c r="A7572" s="2" t="s">
        <v>8332</v>
      </c>
      <c r="B7572" s="3" t="str">
        <f>IFERROR(__xludf.DUMMYFUNCTION("GOOGLETRANSLATE(A7572, ""ar"", ""bn"")"),"সাবধান")</f>
        <v>সাবধান</v>
      </c>
    </row>
    <row r="7573">
      <c r="A7573" s="2" t="s">
        <v>8307</v>
      </c>
      <c r="B7573" s="3" t="str">
        <f>IFERROR(__xludf.DUMMYFUNCTION("GOOGLETRANSLATE(A7573, ""ar"", ""bn"")"),"যুদ্ধ")</f>
        <v>যুদ্ধ</v>
      </c>
    </row>
    <row r="7574">
      <c r="A7574" s="2" t="s">
        <v>8334</v>
      </c>
      <c r="B7574" s="3" t="str">
        <f>IFERROR(__xludf.DUMMYFUNCTION("GOOGLETRANSLATE(A7574, ""ar"", ""bn"")"),"সামরিক")</f>
        <v>সামরিক</v>
      </c>
    </row>
    <row r="7575">
      <c r="A7575" s="2" t="s">
        <v>8353</v>
      </c>
      <c r="B7575" s="3" t="str">
        <f>IFERROR(__xludf.DUMMYFUNCTION("GOOGLETRANSLATE(A7575, ""ar"", ""bn"")"),"টানা")</f>
        <v>টানা</v>
      </c>
    </row>
    <row r="7576">
      <c r="A7576" s="2" t="s">
        <v>8354</v>
      </c>
      <c r="B7576" s="3" t="str">
        <f>IFERROR(__xludf.DUMMYFUNCTION("GOOGLETRANSLATE(A7576, ""ar"", ""bn"")"),"যুদ্ধের মাধ্যমে")</f>
        <v>যুদ্ধের মাধ্যমে</v>
      </c>
    </row>
    <row r="7577">
      <c r="A7577" s="2" t="s">
        <v>4941</v>
      </c>
      <c r="B7577" s="3" t="str">
        <f>IFERROR(__xludf.DUMMYFUNCTION("GOOGLETRANSLATE(A7577, ""ar"", ""bn"")"),"বিকৃত")</f>
        <v>বিকৃত</v>
      </c>
    </row>
    <row r="7578">
      <c r="A7578" s="2" t="s">
        <v>8355</v>
      </c>
      <c r="B7578" s="3" t="str">
        <f>IFERROR(__xludf.DUMMYFUNCTION("GOOGLETRANSLATE(A7578, ""ar"", ""bn"")"),"ভেজালযুক্ত")</f>
        <v>ভেজালযুক্ত</v>
      </c>
    </row>
    <row r="7579">
      <c r="A7579" s="2" t="s">
        <v>8356</v>
      </c>
      <c r="B7579" s="3" t="str">
        <f>IFERROR(__xludf.DUMMYFUNCTION("GOOGLETRANSLATE(A7579, ""ar"", ""bn"")"),"বিমান")</f>
        <v>বিমান</v>
      </c>
    </row>
    <row r="7580">
      <c r="A7580" s="2" t="s">
        <v>8357</v>
      </c>
      <c r="B7580" s="3" t="str">
        <f>IFERROR(__xludf.DUMMYFUNCTION("GOOGLETRANSLATE(A7580, ""ar"", ""bn"")"),"টানা")</f>
        <v>টানা</v>
      </c>
    </row>
    <row r="7581">
      <c r="A7581" s="2" t="s">
        <v>8364</v>
      </c>
      <c r="B7581" s="3" t="str">
        <f>IFERROR(__xludf.DUMMYFUNCTION("GOOGLETRANSLATE(A7581, ""ar"", ""bn"")"),"মারামারি")</f>
        <v>মারামারি</v>
      </c>
    </row>
    <row r="7582">
      <c r="A7582" s="2" t="s">
        <v>8367</v>
      </c>
      <c r="B7582" s="3" t="str">
        <f>IFERROR(__xludf.DUMMYFUNCTION("GOOGLETRANSLATE(A7582, ""ar"", ""bn"")"),"যুদ্ধরত")</f>
        <v>যুদ্ধরত</v>
      </c>
    </row>
    <row r="7583">
      <c r="A7583" s="2" t="s">
        <v>8369</v>
      </c>
      <c r="B7583" s="3" t="str">
        <f>IFERROR(__xludf.DUMMYFUNCTION("GOOGLETRANSLATE(A7583, ""ar"", ""bn"")"),"যুদ্ধ")</f>
        <v>যুদ্ধ</v>
      </c>
    </row>
    <row r="7584">
      <c r="A7584" s="2" t="s">
        <v>8370</v>
      </c>
      <c r="B7584" s="3" t="str">
        <f>IFERROR(__xludf.DUMMYFUNCTION("GOOGLETRANSLATE(A7584, ""ar"", ""bn"")"),"ওয়ারশ")</f>
        <v>ওয়ারশ</v>
      </c>
    </row>
    <row r="7585">
      <c r="A7585" s="2" t="s">
        <v>3555</v>
      </c>
      <c r="B7585" s="3" t="str">
        <f>IFERROR(__xludf.DUMMYFUNCTION("GOOGLETRANSLATE(A7585, ""ar"", ""bn"")"),"রণতরী")</f>
        <v>রণতরী</v>
      </c>
    </row>
    <row r="7586">
      <c r="A7586" s="2" t="s">
        <v>8371</v>
      </c>
      <c r="B7586" s="3" t="str">
        <f>IFERROR(__xludf.DUMMYFUNCTION("GOOGLETRANSLATE(A7586, ""ar"", ""bn"")"),"যুদ্ধজাহাজ")</f>
        <v>যুদ্ধজাহাজ</v>
      </c>
    </row>
    <row r="7587">
      <c r="A7587" s="2" t="s">
        <v>8332</v>
      </c>
      <c r="B7587" s="3" t="str">
        <f>IFERROR(__xludf.DUMMYFUNCTION("GOOGLETRANSLATE(A7587, ""ar"", ""bn"")"),"সাবধান")</f>
        <v>সাবধান</v>
      </c>
    </row>
    <row r="7588">
      <c r="A7588" s="2" t="s">
        <v>5065</v>
      </c>
      <c r="B7588" s="3" t="str">
        <f>IFERROR(__xludf.DUMMYFUNCTION("GOOGLETRANSLATE(A7588, ""ar"", ""bn"")"),"অপচয়")</f>
        <v>অপচয়</v>
      </c>
    </row>
    <row r="7589">
      <c r="A7589" s="2" t="s">
        <v>8378</v>
      </c>
      <c r="B7589" s="3" t="str">
        <f>IFERROR(__xludf.DUMMYFUNCTION("GOOGLETRANSLATE(A7589, ""ar"", ""bn"")"),"নিখোঁজ")</f>
        <v>নিখোঁজ</v>
      </c>
    </row>
    <row r="7590">
      <c r="A7590" s="2" t="s">
        <v>6514</v>
      </c>
      <c r="B7590" s="3" t="str">
        <f>IFERROR(__xludf.DUMMYFUNCTION("GOOGLETRANSLATE(A7590, ""ar"", ""bn"")"),"অপব্যয়ী")</f>
        <v>অপব্যয়ী</v>
      </c>
    </row>
    <row r="7591">
      <c r="A7591" s="2" t="s">
        <v>8379</v>
      </c>
      <c r="B7591" s="3" t="str">
        <f>IFERROR(__xludf.DUMMYFUNCTION("GOOGLETRANSLATE(A7591, ""ar"", ""bn"")"),"অযথা")</f>
        <v>অযথা</v>
      </c>
    </row>
    <row r="7592">
      <c r="A7592" s="2" t="s">
        <v>6907</v>
      </c>
      <c r="B7592" s="3" t="str">
        <f>IFERROR(__xludf.DUMMYFUNCTION("GOOGLETRANSLATE(A7592, ""ar"", ""bn"")"),"উড়নচড়ে")</f>
        <v>উড়নচড়ে</v>
      </c>
    </row>
    <row r="7593">
      <c r="A7593" s="2" t="s">
        <v>8380</v>
      </c>
      <c r="B7593" s="3" t="str">
        <f>IFERROR(__xludf.DUMMYFUNCTION("GOOGLETRANSLATE(A7593, ""ar"", ""bn"")"),"উপবন")</f>
        <v>উপবন</v>
      </c>
    </row>
    <row r="7594">
      <c r="A7594" s="2" t="s">
        <v>8381</v>
      </c>
      <c r="B7594" s="3" t="str">
        <f>IFERROR(__xludf.DUMMYFUNCTION("GOOGLETRANSLATE(A7594, ""ar"", ""bn"")"),"পতিত জমি")</f>
        <v>পতিত জমি</v>
      </c>
    </row>
    <row r="7595">
      <c r="A7595" s="2" t="s">
        <v>8382</v>
      </c>
      <c r="B7595" s="3" t="str">
        <f>IFERROR(__xludf.DUMMYFUNCTION("GOOGLETRANSLATE(A7595, ""ar"", ""bn"")"),"বর্জ্য কাগজ")</f>
        <v>বর্জ্য কাগজ</v>
      </c>
    </row>
    <row r="7596">
      <c r="A7596" s="2" t="s">
        <v>6514</v>
      </c>
      <c r="B7596" s="3" t="str">
        <f>IFERROR(__xludf.DUMMYFUNCTION("GOOGLETRANSLATE(A7596, ""ar"", ""bn"")"),"অপব্যয়ী")</f>
        <v>অপব্যয়ী</v>
      </c>
    </row>
    <row r="7597">
      <c r="A7597" s="2" t="s">
        <v>8383</v>
      </c>
      <c r="B7597" s="3" t="str">
        <f>IFERROR(__xludf.DUMMYFUNCTION("GOOGLETRANSLATE(A7597, ""ar"", ""bn"")"),"অপচয়কারিদের")</f>
        <v>অপচয়কারিদের</v>
      </c>
    </row>
    <row r="7598">
      <c r="A7598" s="2" t="s">
        <v>8384</v>
      </c>
      <c r="B7598" s="3" t="str">
        <f>IFERROR(__xludf.DUMMYFUNCTION("GOOGLETRANSLATE(A7598, ""ar"", ""bn"")"),"অপব্যয়")</f>
        <v>অপব্যয়</v>
      </c>
    </row>
    <row r="7599">
      <c r="A7599" s="2" t="s">
        <v>4892</v>
      </c>
      <c r="B7599" s="3" t="str">
        <f>IFERROR(__xludf.DUMMYFUNCTION("GOOGLETRANSLATE(A7599, ""ar"", ""bn"")"),"অবাধ্য")</f>
        <v>অবাধ্য</v>
      </c>
    </row>
    <row r="7600">
      <c r="A7600" s="2" t="s">
        <v>7066</v>
      </c>
      <c r="B7600" s="3" t="str">
        <f>IFERROR(__xludf.DUMMYFUNCTION("GOOGLETRANSLATE(A7600, ""ar"", ""bn"")"),"বিদ্রোহ")</f>
        <v>বিদ্রোহ</v>
      </c>
    </row>
    <row r="7601">
      <c r="A7601" s="2" t="s">
        <v>5360</v>
      </c>
      <c r="B7601" s="3" t="str">
        <f>IFERROR(__xludf.DUMMYFUNCTION("GOOGLETRANSLATE(A7601, ""ar"", ""bn"")"),"দুর্বল")</f>
        <v>দুর্বল</v>
      </c>
    </row>
    <row r="7602">
      <c r="A7602" s="2" t="s">
        <v>8385</v>
      </c>
      <c r="B7602" s="3" t="str">
        <f>IFERROR(__xludf.DUMMYFUNCTION("GOOGLETRANSLATE(A7602, ""ar"", ""bn"")"),"ডবল")</f>
        <v>ডবল</v>
      </c>
    </row>
    <row r="7603">
      <c r="A7603" s="2" t="s">
        <v>5360</v>
      </c>
      <c r="B7603" s="3" t="str">
        <f>IFERROR(__xludf.DUMMYFUNCTION("GOOGLETRANSLATE(A7603, ""ar"", ""bn"")"),"দুর্বল")</f>
        <v>দুর্বল</v>
      </c>
    </row>
    <row r="7604">
      <c r="A7604" s="2" t="s">
        <v>5362</v>
      </c>
      <c r="B7604" s="3" t="str">
        <f>IFERROR(__xludf.DUMMYFUNCTION("GOOGLETRANSLATE(A7604, ""ar"", ""bn"")"),"দুর্বলতা")</f>
        <v>দুর্বলতা</v>
      </c>
    </row>
    <row r="7605">
      <c r="A7605" s="2" t="s">
        <v>5914</v>
      </c>
      <c r="B7605" s="3" t="str">
        <f>IFERROR(__xludf.DUMMYFUNCTION("GOOGLETRANSLATE(A7605, ""ar"", ""bn"")"),"Weakens")</f>
        <v>Weakens</v>
      </c>
    </row>
    <row r="7606">
      <c r="A7606" s="2" t="s">
        <v>5281</v>
      </c>
      <c r="B7606" s="3" t="str">
        <f>IFERROR(__xludf.DUMMYFUNCTION("GOOGLETRANSLATE(A7606, ""ar"", ""bn"")"),"দুর্বল")</f>
        <v>দুর্বল</v>
      </c>
    </row>
    <row r="7607">
      <c r="A7607" s="2" t="s">
        <v>5281</v>
      </c>
      <c r="B7607" s="3" t="str">
        <f>IFERROR(__xludf.DUMMYFUNCTION("GOOGLETRANSLATE(A7607, ""ar"", ""bn"")"),"দুর্বল")</f>
        <v>দুর্বল</v>
      </c>
    </row>
    <row r="7608">
      <c r="A7608" s="2" t="s">
        <v>8386</v>
      </c>
      <c r="B7608" s="3" t="str">
        <f>IFERROR(__xludf.DUMMYFUNCTION("GOOGLETRANSLATE(A7608, ""ar"", ""bn"")"),"কেবলরাম")</f>
        <v>কেবলরাম</v>
      </c>
    </row>
    <row r="7609">
      <c r="A7609" s="2" t="s">
        <v>8387</v>
      </c>
      <c r="B7609" s="3" t="str">
        <f>IFERROR(__xludf.DUMMYFUNCTION("GOOGLETRANSLATE(A7609, ""ar"", ""bn"")"),"তারা")</f>
        <v>তারা</v>
      </c>
    </row>
    <row r="7610">
      <c r="A7610" s="2" t="s">
        <v>5360</v>
      </c>
      <c r="B7610" s="3" t="str">
        <f>IFERROR(__xludf.DUMMYFUNCTION("GOOGLETRANSLATE(A7610, ""ar"", ""bn"")"),"দুর্বল")</f>
        <v>দুর্বল</v>
      </c>
    </row>
    <row r="7611">
      <c r="A7611" s="2" t="s">
        <v>5362</v>
      </c>
      <c r="B7611" s="3" t="str">
        <f>IFERROR(__xludf.DUMMYFUNCTION("GOOGLETRANSLATE(A7611, ""ar"", ""bn"")"),"দুর্বলতা")</f>
        <v>দুর্বলতা</v>
      </c>
    </row>
    <row r="7612">
      <c r="A7612" s="2" t="s">
        <v>8293</v>
      </c>
      <c r="B7612" s="3" t="str">
        <f>IFERROR(__xludf.DUMMYFUNCTION("GOOGLETRANSLATE(A7612, ""ar"", ""bn"")"),"দুর্বলতা")</f>
        <v>দুর্বলতা</v>
      </c>
    </row>
    <row r="7613">
      <c r="A7613" s="2" t="s">
        <v>8388</v>
      </c>
      <c r="B7613" s="3" t="str">
        <f>IFERROR(__xludf.DUMMYFUNCTION("GOOGLETRANSLATE(A7613, ""ar"", ""bn"")"),"একটি অস্ত্র")</f>
        <v>একটি অস্ত্র</v>
      </c>
    </row>
    <row r="7614">
      <c r="A7614" s="2" t="s">
        <v>2654</v>
      </c>
      <c r="B7614" s="3" t="str">
        <f>IFERROR(__xludf.DUMMYFUNCTION("GOOGLETRANSLATE(A7614, ""ar"", ""bn"")"),"অস্ত্র")</f>
        <v>অস্ত্র</v>
      </c>
    </row>
    <row r="7615">
      <c r="A7615" s="2" t="s">
        <v>2654</v>
      </c>
      <c r="B7615" s="3" t="str">
        <f>IFERROR(__xludf.DUMMYFUNCTION("GOOGLETRANSLATE(A7615, ""ar"", ""bn"")"),"অস্ত্র")</f>
        <v>অস্ত্র</v>
      </c>
    </row>
    <row r="7616">
      <c r="A7616" s="2" t="s">
        <v>3757</v>
      </c>
      <c r="B7616" s="3" t="str">
        <f>IFERROR(__xludf.DUMMYFUNCTION("GOOGLETRANSLATE(A7616, ""ar"", ""bn"")"),"একঘেয়েমি")</f>
        <v>একঘেয়েমি</v>
      </c>
    </row>
    <row r="7617">
      <c r="A7617" s="2" t="s">
        <v>8008</v>
      </c>
      <c r="B7617" s="3" t="str">
        <f>IFERROR(__xludf.DUMMYFUNCTION("GOOGLETRANSLATE(A7617, ""ar"", ""bn"")"),"ক্লান্ত")</f>
        <v>ক্লান্ত</v>
      </c>
    </row>
    <row r="7618">
      <c r="A7618" s="2" t="s">
        <v>8389</v>
      </c>
      <c r="B7618" s="3" t="str">
        <f>IFERROR(__xludf.DUMMYFUNCTION("GOOGLETRANSLATE(A7618, ""ar"", ""bn"")"),"প্রস্রাব")</f>
        <v>প্রস্রাব</v>
      </c>
    </row>
    <row r="7619">
      <c r="A7619" s="2" t="s">
        <v>8390</v>
      </c>
      <c r="B7619" s="3" t="str">
        <f>IFERROR(__xludf.DUMMYFUNCTION("GOOGLETRANSLATE(A7619, ""ar"", ""bn"")"),"গাঁজা")</f>
        <v>গাঁজা</v>
      </c>
    </row>
    <row r="7620">
      <c r="A7620" s="2" t="s">
        <v>8391</v>
      </c>
      <c r="B7620" s="3" t="str">
        <f>IFERROR(__xludf.DUMMYFUNCTION("GOOGLETRANSLATE(A7620, ""ar"", ""bn"")"),"আগাছামুক্ত")</f>
        <v>আগাছামুক্ত</v>
      </c>
    </row>
    <row r="7621">
      <c r="A7621" s="2" t="s">
        <v>8392</v>
      </c>
      <c r="B7621" s="3" t="str">
        <f>IFERROR(__xludf.DUMMYFUNCTION("GOOGLETRANSLATE(A7621, ""ar"", ""bn"")"),"আগাছা পরিষ্কার")</f>
        <v>আগাছা পরিষ্কার</v>
      </c>
    </row>
    <row r="7622">
      <c r="A7622" s="2" t="s">
        <v>8393</v>
      </c>
      <c r="B7622" s="3" t="str">
        <f>IFERROR(__xludf.DUMMYFUNCTION("GOOGLETRANSLATE(A7622, ""ar"", ""bn"")"),"ভেষজ উন্মুলয়িতা")</f>
        <v>ভেষজ উন্মুলয়িতা</v>
      </c>
    </row>
    <row r="7623">
      <c r="A7623" s="2" t="s">
        <v>8394</v>
      </c>
      <c r="B7623" s="3" t="str">
        <f>IFERROR(__xludf.DUMMYFUNCTION("GOOGLETRANSLATE(A7623, ""ar"", ""bn"")"),"আজ")</f>
        <v>আজ</v>
      </c>
    </row>
    <row r="7624">
      <c r="A7624" s="2" t="s">
        <v>8395</v>
      </c>
      <c r="B7624" s="3" t="str">
        <f>IFERROR(__xludf.DUMMYFUNCTION("GOOGLETRANSLATE(A7624, ""ar"", ""bn"")"),"জবুথবু")</f>
        <v>জবুথবু</v>
      </c>
    </row>
    <row r="7625">
      <c r="A7625" s="2" t="s">
        <v>8396</v>
      </c>
      <c r="B7625" s="3" t="str">
        <f>IFERROR(__xludf.DUMMYFUNCTION("GOOGLETRANSLATE(A7625, ""ar"", ""bn"")"),"একটা সপ্তাহ")</f>
        <v>একটা সপ্তাহ</v>
      </c>
    </row>
    <row r="7626">
      <c r="A7626" s="2" t="s">
        <v>8397</v>
      </c>
      <c r="B7626" s="3" t="str">
        <f>IFERROR(__xludf.DUMMYFUNCTION("GOOGLETRANSLATE(A7626, ""ar"", ""bn"")"),"সপ্তাহের দিন")</f>
        <v>সপ্তাহের দিন</v>
      </c>
    </row>
    <row r="7627">
      <c r="A7627" s="2" t="s">
        <v>8398</v>
      </c>
      <c r="B7627" s="3" t="str">
        <f>IFERROR(__xludf.DUMMYFUNCTION("GOOGLETRANSLATE(A7627, ""ar"", ""bn"")"),"সপ্তাহে দিন")</f>
        <v>সপ্তাহে দিন</v>
      </c>
    </row>
    <row r="7628">
      <c r="A7628" s="2" t="s">
        <v>8399</v>
      </c>
      <c r="B7628" s="3" t="str">
        <f>IFERROR(__xludf.DUMMYFUNCTION("GOOGLETRANSLATE(A7628, ""ar"", ""bn"")"),"সপ্তাহান্তিক কাল")</f>
        <v>সপ্তাহান্তিক কাল</v>
      </c>
    </row>
    <row r="7629">
      <c r="A7629" s="2" t="s">
        <v>8400</v>
      </c>
      <c r="B7629" s="3" t="str">
        <f>IFERROR(__xludf.DUMMYFUNCTION("GOOGLETRANSLATE(A7629, ""ar"", ""bn"")"),"দর্শকরা সপ্তাহান্তে")</f>
        <v>দর্শকরা সপ্তাহান্তে</v>
      </c>
    </row>
    <row r="7630">
      <c r="A7630" s="2" t="s">
        <v>8401</v>
      </c>
      <c r="B7630" s="3" t="str">
        <f>IFERROR(__xludf.DUMMYFUNCTION("GOOGLETRANSLATE(A7630, ""ar"", ""bn"")"),"সপ্তাহান্তিক কাল")</f>
        <v>সপ্তাহান্তিক কাল</v>
      </c>
    </row>
    <row r="7631">
      <c r="A7631" s="2" t="s">
        <v>8402</v>
      </c>
      <c r="B7631" s="3" t="str">
        <f>IFERROR(__xludf.DUMMYFUNCTION("GOOGLETRANSLATE(A7631, ""ar"", ""bn"")"),"সাপ্তাহিক সংবাদপত্র")</f>
        <v>সাপ্তাহিক সংবাদপত্র</v>
      </c>
    </row>
    <row r="7632">
      <c r="A7632" s="2" t="s">
        <v>8403</v>
      </c>
      <c r="B7632" s="3" t="str">
        <f>IFERROR(__xludf.DUMMYFUNCTION("GOOGLETRANSLATE(A7632, ""ar"", ""bn"")"),"সাপ্তাহিক")</f>
        <v>সাপ্তাহিক</v>
      </c>
    </row>
    <row r="7633">
      <c r="A7633" s="2" t="s">
        <v>8404</v>
      </c>
      <c r="B7633" s="3" t="str">
        <f>IFERROR(__xludf.DUMMYFUNCTION("GOOGLETRANSLATE(A7633, ""ar"", ""bn"")"),"সপ্তাহ")</f>
        <v>সপ্তাহ</v>
      </c>
    </row>
    <row r="7634">
      <c r="A7634" s="2" t="s">
        <v>8405</v>
      </c>
      <c r="B7634" s="3" t="str">
        <f>IFERROR(__xludf.DUMMYFUNCTION("GOOGLETRANSLATE(A7634, ""ar"", ""bn"")"),"ওয়েন")</f>
        <v>ওয়েন</v>
      </c>
    </row>
    <row r="7635">
      <c r="A7635" s="2" t="s">
        <v>8406</v>
      </c>
      <c r="B7635" s="3" t="str">
        <f>IFERROR(__xludf.DUMMYFUNCTION("GOOGLETRANSLATE(A7635, ""ar"", ""bn"")"),"উইনি")</f>
        <v>উইনি</v>
      </c>
    </row>
    <row r="7636">
      <c r="A7636" s="2" t="s">
        <v>4270</v>
      </c>
      <c r="B7636" s="3" t="str">
        <f>IFERROR(__xludf.DUMMYFUNCTION("GOOGLETRANSLATE(A7636, ""ar"", ""bn"")"),"জ্বালাতন")</f>
        <v>জ্বালাতন</v>
      </c>
    </row>
    <row r="7637">
      <c r="A7637" s="2" t="s">
        <v>8407</v>
      </c>
      <c r="B7637" s="3" t="str">
        <f>IFERROR(__xludf.DUMMYFUNCTION("GOOGLETRANSLATE(A7637, ""ar"", ""bn"")"),"পাক")</f>
        <v>পাক</v>
      </c>
    </row>
    <row r="7638">
      <c r="A7638" s="2" t="s">
        <v>4352</v>
      </c>
      <c r="B7638" s="3" t="str">
        <f>IFERROR(__xludf.DUMMYFUNCTION("GOOGLETRANSLATE(A7638, ""ar"", ""bn"")"),"ক্রন্দিত")</f>
        <v>ক্রন্দিত</v>
      </c>
    </row>
    <row r="7639">
      <c r="A7639" s="2" t="s">
        <v>8408</v>
      </c>
      <c r="B7639" s="3" t="str">
        <f>IFERROR(__xludf.DUMMYFUNCTION("GOOGLETRANSLATE(A7639, ""ar"", ""bn"")"),"কান্না")</f>
        <v>কান্না</v>
      </c>
    </row>
    <row r="7640">
      <c r="A7640" s="2" t="s">
        <v>4352</v>
      </c>
      <c r="B7640" s="3" t="str">
        <f>IFERROR(__xludf.DUMMYFUNCTION("GOOGLETRANSLATE(A7640, ""ar"", ""bn"")"),"ক্রন্দিত")</f>
        <v>ক্রন্দিত</v>
      </c>
    </row>
    <row r="7641">
      <c r="A7641" s="2" t="s">
        <v>8409</v>
      </c>
      <c r="B7641" s="3" t="str">
        <f>IFERROR(__xludf.DUMMYFUNCTION("GOOGLETRANSLATE(A7641, ""ar"", ""bn"")"),"উইভিল")</f>
        <v>উইভিল</v>
      </c>
    </row>
    <row r="7642">
      <c r="A7642" s="2" t="s">
        <v>8410</v>
      </c>
      <c r="B7642" s="3" t="str">
        <f>IFERROR(__xludf.DUMMYFUNCTION("GOOGLETRANSLATE(A7642, ""ar"", ""bn"")"),"যষ্টিমধু")</f>
        <v>যষ্টিমধু</v>
      </c>
    </row>
    <row r="7643">
      <c r="A7643" s="2" t="s">
        <v>8390</v>
      </c>
      <c r="B7643" s="3" t="str">
        <f>IFERROR(__xludf.DUMMYFUNCTION("GOOGLETRANSLATE(A7643, ""ar"", ""bn"")"),"গাঁজা")</f>
        <v>গাঁজা</v>
      </c>
    </row>
    <row r="7644">
      <c r="A7644" s="2" t="s">
        <v>8391</v>
      </c>
      <c r="B7644" s="3" t="str">
        <f>IFERROR(__xludf.DUMMYFUNCTION("GOOGLETRANSLATE(A7644, ""ar"", ""bn"")"),"আগাছামুক্ত")</f>
        <v>আগাছামুক্ত</v>
      </c>
    </row>
    <row r="7645">
      <c r="A7645" s="2" t="s">
        <v>8392</v>
      </c>
      <c r="B7645" s="3" t="str">
        <f>IFERROR(__xludf.DUMMYFUNCTION("GOOGLETRANSLATE(A7645, ""ar"", ""bn"")"),"আগাছা পরিষ্কার")</f>
        <v>আগাছা পরিষ্কার</v>
      </c>
    </row>
    <row r="7646">
      <c r="A7646" s="2" t="s">
        <v>8393</v>
      </c>
      <c r="B7646" s="3" t="str">
        <f>IFERROR(__xludf.DUMMYFUNCTION("GOOGLETRANSLATE(A7646, ""ar"", ""bn"")"),"ভেষজ উন্মুলয়িতা")</f>
        <v>ভেষজ উন্মুলয়িতা</v>
      </c>
    </row>
    <row r="7647">
      <c r="A7647" s="2" t="s">
        <v>8394</v>
      </c>
      <c r="B7647" s="3" t="str">
        <f>IFERROR(__xludf.DUMMYFUNCTION("GOOGLETRANSLATE(A7647, ""ar"", ""bn"")"),"আজ")</f>
        <v>আজ</v>
      </c>
    </row>
    <row r="7648">
      <c r="A7648" s="2" t="s">
        <v>8395</v>
      </c>
      <c r="B7648" s="3" t="str">
        <f>IFERROR(__xludf.DUMMYFUNCTION("GOOGLETRANSLATE(A7648, ""ar"", ""bn"")"),"জবুথবু")</f>
        <v>জবুথবু</v>
      </c>
    </row>
    <row r="7649">
      <c r="A7649" s="2" t="s">
        <v>4270</v>
      </c>
      <c r="B7649" s="3" t="str">
        <f>IFERROR(__xludf.DUMMYFUNCTION("GOOGLETRANSLATE(A7649, ""ar"", ""bn"")"),"জ্বালাতন")</f>
        <v>জ্বালাতন</v>
      </c>
    </row>
    <row r="7650">
      <c r="A7650" s="2" t="s">
        <v>8407</v>
      </c>
      <c r="B7650" s="3" t="str">
        <f>IFERROR(__xludf.DUMMYFUNCTION("GOOGLETRANSLATE(A7650, ""ar"", ""bn"")"),"পাক")</f>
        <v>পাক</v>
      </c>
    </row>
    <row r="7651">
      <c r="A7651" s="2" t="s">
        <v>4352</v>
      </c>
      <c r="B7651" s="3" t="str">
        <f>IFERROR(__xludf.DUMMYFUNCTION("GOOGLETRANSLATE(A7651, ""ar"", ""bn"")"),"ক্রন্দিত")</f>
        <v>ক্রন্দিত</v>
      </c>
    </row>
    <row r="7652">
      <c r="A7652" s="2" t="s">
        <v>8408</v>
      </c>
      <c r="B7652" s="3" t="str">
        <f>IFERROR(__xludf.DUMMYFUNCTION("GOOGLETRANSLATE(A7652, ""ar"", ""bn"")"),"কান্না")</f>
        <v>কান্না</v>
      </c>
    </row>
    <row r="7653">
      <c r="A7653" s="2" t="s">
        <v>4352</v>
      </c>
      <c r="B7653" s="3" t="str">
        <f>IFERROR(__xludf.DUMMYFUNCTION("GOOGLETRANSLATE(A7653, ""ar"", ""bn"")"),"ক্রন্দিত")</f>
        <v>ক্রন্দিত</v>
      </c>
    </row>
    <row r="7654">
      <c r="A7654" s="2" t="s">
        <v>5467</v>
      </c>
      <c r="B7654" s="3" t="str">
        <f>IFERROR(__xludf.DUMMYFUNCTION("GOOGLETRANSLATE(A7654, ""ar"", ""bn"")"),"বিস্ময়কর")</f>
        <v>বিস্ময়কর</v>
      </c>
    </row>
    <row r="7655">
      <c r="A7655" s="2" t="s">
        <v>7806</v>
      </c>
      <c r="B7655" s="3" t="str">
        <f>IFERROR(__xludf.DUMMYFUNCTION("GOOGLETRANSLATE(A7655, ""ar"", ""bn"")"),"দীর্ঘতম")</f>
        <v>দীর্ঘতম</v>
      </c>
    </row>
    <row r="7656">
      <c r="A7656" s="2" t="s">
        <v>7806</v>
      </c>
      <c r="B7656" s="3" t="str">
        <f>IFERROR(__xludf.DUMMYFUNCTION("GOOGLETRANSLATE(A7656, ""ar"", ""bn"")"),"দীর্ঘতম")</f>
        <v>দীর্ঘতম</v>
      </c>
    </row>
    <row r="7657">
      <c r="A7657" s="2" t="s">
        <v>8411</v>
      </c>
      <c r="B7657" s="3" t="str">
        <f>IFERROR(__xludf.DUMMYFUNCTION("GOOGLETRANSLATE(A7657, ""ar"", ""bn"")"),"বেশ ভাল")</f>
        <v>বেশ ভাল</v>
      </c>
    </row>
    <row r="7658">
      <c r="A7658" s="2" t="s">
        <v>7805</v>
      </c>
      <c r="B7658" s="3" t="str">
        <f>IFERROR(__xludf.DUMMYFUNCTION("GOOGLETRANSLATE(A7658, ""ar"", ""bn"")"),"Strangeness")</f>
        <v>Strangeness</v>
      </c>
    </row>
    <row r="7659">
      <c r="A7659" s="2" t="s">
        <v>4250</v>
      </c>
      <c r="B7659" s="3" t="str">
        <f>IFERROR(__xludf.DUMMYFUNCTION("GOOGLETRANSLATE(A7659, ""ar"", ""bn"")"),"অদ্ভুত")</f>
        <v>অদ্ভুত</v>
      </c>
    </row>
    <row r="7660">
      <c r="A7660" s="2" t="s">
        <v>8412</v>
      </c>
      <c r="B7660" s="3" t="str">
        <f>IFERROR(__xludf.DUMMYFUNCTION("GOOGLETRANSLATE(A7660, ""ar"", ""bn"")"),"দাসী")</f>
        <v>দাসী</v>
      </c>
    </row>
    <row r="7661">
      <c r="A7661" s="2" t="s">
        <v>8413</v>
      </c>
      <c r="B7661" s="3" t="str">
        <f>IFERROR(__xludf.DUMMYFUNCTION("GOOGLETRANSLATE(A7661, ""ar"", ""bn"")"),"নারী")</f>
        <v>নারী</v>
      </c>
    </row>
    <row r="7662">
      <c r="A7662" s="2" t="s">
        <v>4270</v>
      </c>
      <c r="B7662" s="3" t="str">
        <f>IFERROR(__xludf.DUMMYFUNCTION("GOOGLETRANSLATE(A7662, ""ar"", ""bn"")"),"জ্বালাতন")</f>
        <v>জ্বালাতন</v>
      </c>
    </row>
    <row r="7663">
      <c r="A7663" s="2" t="s">
        <v>8414</v>
      </c>
      <c r="B7663" s="3" t="str">
        <f>IFERROR(__xludf.DUMMYFUNCTION("GOOGLETRANSLATE(A7663, ""ar"", ""bn"")"),"অংশ")</f>
        <v>অংশ</v>
      </c>
    </row>
    <row r="7664">
      <c r="A7664" s="2" t="s">
        <v>8415</v>
      </c>
      <c r="B7664" s="3" t="str">
        <f>IFERROR(__xludf.DUMMYFUNCTION("GOOGLETRANSLATE(A7664, ""ar"", ""bn"")"),"গৌণিক")</f>
        <v>গৌণিক</v>
      </c>
    </row>
    <row r="7665">
      <c r="A7665" s="2" t="s">
        <v>8416</v>
      </c>
      <c r="B7665" s="3" t="str">
        <f>IFERROR(__xludf.DUMMYFUNCTION("GOOGLETRANSLATE(A7665, ""ar"", ""bn"")"),"হিটার")</f>
        <v>হিটার</v>
      </c>
    </row>
    <row r="7666">
      <c r="A7666" s="2" t="s">
        <v>5629</v>
      </c>
      <c r="B7666" s="3" t="str">
        <f>IFERROR(__xludf.DUMMYFUNCTION("GOOGLETRANSLATE(A7666, ""ar"", ""bn"")"),"টাট্টু ঘোড়া")</f>
        <v>টাট্টু ঘোড়া</v>
      </c>
    </row>
    <row r="7667">
      <c r="A7667" s="2" t="s">
        <v>8417</v>
      </c>
      <c r="B7667" s="3" t="str">
        <f>IFERROR(__xludf.DUMMYFUNCTION("GOOGLETRANSLATE(A7667, ""ar"", ""bn"")"),"Whimpered")</f>
        <v>Whimpered</v>
      </c>
    </row>
    <row r="7668">
      <c r="A7668" s="2" t="s">
        <v>8418</v>
      </c>
      <c r="B7668" s="3" t="str">
        <f>IFERROR(__xludf.DUMMYFUNCTION("GOOGLETRANSLATE(A7668, ""ar"", ""bn"")"),"ঘেনঘেন")</f>
        <v>ঘেনঘেন</v>
      </c>
    </row>
    <row r="7669">
      <c r="A7669" s="2" t="s">
        <v>8419</v>
      </c>
      <c r="B7669" s="3" t="str">
        <f>IFERROR(__xludf.DUMMYFUNCTION("GOOGLETRANSLATE(A7669, ""ar"", ""bn"")"),"Whimpers")</f>
        <v>Whimpers</v>
      </c>
    </row>
    <row r="7670">
      <c r="A7670" s="2" t="s">
        <v>6528</v>
      </c>
      <c r="B7670" s="3" t="str">
        <f>IFERROR(__xludf.DUMMYFUNCTION("GOOGLETRANSLATE(A7670, ""ar"", ""bn"")"),"ঘেনঘেন")</f>
        <v>ঘেনঘেন</v>
      </c>
    </row>
    <row r="7671">
      <c r="A7671" s="2" t="s">
        <v>8420</v>
      </c>
      <c r="B7671" s="3" t="str">
        <f>IFERROR(__xludf.DUMMYFUNCTION("GOOGLETRANSLATE(A7671, ""ar"", ""bn"")"),"Whined")</f>
        <v>Whined</v>
      </c>
    </row>
    <row r="7672">
      <c r="A7672" s="2" t="s">
        <v>6531</v>
      </c>
      <c r="B7672" s="3" t="str">
        <f>IFERROR(__xludf.DUMMYFUNCTION("GOOGLETRANSLATE(A7672, ""ar"", ""bn"")"),"ক্রঁদ")</f>
        <v>ক্রঁদ</v>
      </c>
    </row>
    <row r="7673">
      <c r="A7673" s="2" t="s">
        <v>8421</v>
      </c>
      <c r="B7673" s="3" t="str">
        <f>IFERROR(__xludf.DUMMYFUNCTION("GOOGLETRANSLATE(A7673, ""ar"", ""bn"")"),"ঘেঙানি")</f>
        <v>ঘেঙানি</v>
      </c>
    </row>
    <row r="7674">
      <c r="A7674" s="2" t="s">
        <v>8422</v>
      </c>
      <c r="B7674" s="3" t="str">
        <f>IFERROR(__xludf.DUMMYFUNCTION("GOOGLETRANSLATE(A7674, ""ar"", ""bn"")"),"চাবুক")</f>
        <v>চাবুক</v>
      </c>
    </row>
    <row r="7675">
      <c r="A7675" s="2" t="s">
        <v>8423</v>
      </c>
      <c r="B7675" s="3" t="str">
        <f>IFERROR(__xludf.DUMMYFUNCTION("GOOGLETRANSLATE(A7675, ""ar"", ""bn"")"),"কাণ্ড")</f>
        <v>কাণ্ড</v>
      </c>
    </row>
    <row r="7676">
      <c r="A7676" s="2" t="s">
        <v>8424</v>
      </c>
      <c r="B7676" s="3" t="str">
        <f>IFERROR(__xludf.DUMMYFUNCTION("GOOGLETRANSLATE(A7676, ""ar"", ""bn"")"),"কশা")</f>
        <v>কশা</v>
      </c>
    </row>
    <row r="7677">
      <c r="A7677" s="2" t="s">
        <v>7990</v>
      </c>
      <c r="B7677" s="3" t="str">
        <f>IFERROR(__xludf.DUMMYFUNCTION("GOOGLETRANSLATE(A7677, ""ar"", ""bn"")"),"চামড়া")</f>
        <v>চামড়া</v>
      </c>
    </row>
    <row r="7678">
      <c r="A7678" s="2" t="s">
        <v>8425</v>
      </c>
      <c r="B7678" s="3" t="str">
        <f>IFERROR(__xludf.DUMMYFUNCTION("GOOGLETRANSLATE(A7678, ""ar"", ""bn"")"),"জ্যাঠা")</f>
        <v>জ্যাঠা</v>
      </c>
    </row>
    <row r="7679">
      <c r="A7679" s="2" t="s">
        <v>8426</v>
      </c>
      <c r="B7679" s="3" t="str">
        <f>IFERROR(__xludf.DUMMYFUNCTION("GOOGLETRANSLATE(A7679, ""ar"", ""bn"")"),"বর্ণসঙ্কর কুকুরবিশেষ")</f>
        <v>বর্ণসঙ্কর কুকুরবিশেষ</v>
      </c>
    </row>
    <row r="7680">
      <c r="A7680" s="2" t="s">
        <v>8427</v>
      </c>
      <c r="B7680" s="3" t="str">
        <f>IFERROR(__xludf.DUMMYFUNCTION("GOOGLETRANSLATE(A7680, ""ar"", ""bn"")"),"Greyhounds")</f>
        <v>Greyhounds</v>
      </c>
    </row>
    <row r="7681">
      <c r="A7681" s="2" t="s">
        <v>7990</v>
      </c>
      <c r="B7681" s="3" t="str">
        <f>IFERROR(__xludf.DUMMYFUNCTION("GOOGLETRANSLATE(A7681, ""ar"", ""bn"")"),"চামড়া")</f>
        <v>চামড়া</v>
      </c>
    </row>
    <row r="7682">
      <c r="A7682" s="2" t="s">
        <v>8428</v>
      </c>
      <c r="B7682" s="3" t="str">
        <f>IFERROR(__xludf.DUMMYFUNCTION("GOOGLETRANSLATE(A7682, ""ar"", ""bn"")"),"চট্পটে")</f>
        <v>চট্পটে</v>
      </c>
    </row>
    <row r="7683">
      <c r="A7683" s="2" t="s">
        <v>8429</v>
      </c>
      <c r="B7683" s="3" t="str">
        <f>IFERROR(__xludf.DUMMYFUNCTION("GOOGLETRANSLATE(A7683, ""ar"", ""bn"")"),"সদস্য")</f>
        <v>সদস্য</v>
      </c>
    </row>
    <row r="7684">
      <c r="A7684" s="2" t="s">
        <v>8430</v>
      </c>
      <c r="B7684" s="3" t="str">
        <f>IFERROR(__xludf.DUMMYFUNCTION("GOOGLETRANSLATE(A7684, ""ar"", ""bn"")"),"বেশ্যা")</f>
        <v>বেশ্যা</v>
      </c>
    </row>
    <row r="7685">
      <c r="A7685" s="2" t="s">
        <v>8431</v>
      </c>
      <c r="B7685" s="3" t="str">
        <f>IFERROR(__xludf.DUMMYFUNCTION("GOOGLETRANSLATE(A7685, ""ar"", ""bn"")"),"বেশ্যাখানা")</f>
        <v>বেশ্যাখানা</v>
      </c>
    </row>
    <row r="7686">
      <c r="A7686" s="2" t="s">
        <v>8432</v>
      </c>
      <c r="B7686" s="3" t="str">
        <f>IFERROR(__xludf.DUMMYFUNCTION("GOOGLETRANSLATE(A7686, ""ar"", ""bn"")"),"বেশ্যা")</f>
        <v>বেশ্যা</v>
      </c>
    </row>
    <row r="7687">
      <c r="A7687" s="2" t="s">
        <v>5188</v>
      </c>
      <c r="B7687" s="3" t="str">
        <f>IFERROR(__xludf.DUMMYFUNCTION("GOOGLETRANSLATE(A7687, ""ar"", ""bn"")"),"মন্দ")</f>
        <v>মন্দ</v>
      </c>
    </row>
    <row r="7688">
      <c r="A7688" s="2" t="s">
        <v>8433</v>
      </c>
      <c r="B7688" s="3" t="str">
        <f>IFERROR(__xludf.DUMMYFUNCTION("GOOGLETRANSLATE(A7688, ""ar"", ""bn"")"),"ইচ্ছাই পূর্ণ হোক")</f>
        <v>ইচ্ছাই পূর্ণ হোক</v>
      </c>
    </row>
    <row r="7689">
      <c r="A7689" s="2" t="s">
        <v>7482</v>
      </c>
      <c r="B7689" s="3" t="str">
        <f>IFERROR(__xludf.DUMMYFUNCTION("GOOGLETRANSLATE(A7689, ""ar"", ""bn"")"),"কোঁচকান")</f>
        <v>কোঁচকান</v>
      </c>
    </row>
    <row r="7690">
      <c r="A7690" s="2" t="s">
        <v>8433</v>
      </c>
      <c r="B7690" s="3" t="str">
        <f>IFERROR(__xludf.DUMMYFUNCTION("GOOGLETRANSLATE(A7690, ""ar"", ""bn"")"),"ইচ্ছাই পূর্ণ হোক")</f>
        <v>ইচ্ছাই পূর্ণ হোক</v>
      </c>
    </row>
    <row r="7691">
      <c r="A7691" s="2" t="s">
        <v>8434</v>
      </c>
      <c r="B7691" s="3" t="str">
        <f>IFERROR(__xludf.DUMMYFUNCTION("GOOGLETRANSLATE(A7691, ""ar"", ""bn"")"),"Wilts")</f>
        <v>Wilts</v>
      </c>
    </row>
    <row r="7692">
      <c r="A7692" s="2" t="s">
        <v>8435</v>
      </c>
      <c r="B7692" s="3" t="str">
        <f>IFERROR(__xludf.DUMMYFUNCTION("GOOGLETRANSLATE(A7692, ""ar"", ""bn"")"),"অধরা")</f>
        <v>অধরা</v>
      </c>
    </row>
    <row r="7693">
      <c r="A7693" s="2" t="s">
        <v>6178</v>
      </c>
      <c r="B7693" s="3" t="str">
        <f>IFERROR(__xludf.DUMMYFUNCTION("GOOGLETRANSLATE(A7693, ""ar"", ""bn"")"),"অ্যাটোনাল")</f>
        <v>অ্যাটোনাল</v>
      </c>
    </row>
    <row r="7694">
      <c r="A7694" s="2" t="s">
        <v>4236</v>
      </c>
      <c r="B7694" s="3" t="str">
        <f>IFERROR(__xludf.DUMMYFUNCTION("GOOGLETRANSLATE(A7694, ""ar"", ""bn"")"),"ভীরু")</f>
        <v>ভীরু</v>
      </c>
    </row>
    <row r="7695">
      <c r="A7695" s="2" t="s">
        <v>7749</v>
      </c>
      <c r="B7695" s="3" t="str">
        <f>IFERROR(__xludf.DUMMYFUNCTION("GOOGLETRANSLATE(A7695, ""ar"", ""bn"")"),"সঙ্কুচিত হত্তয়া")</f>
        <v>সঙ্কুচিত হত্তয়া</v>
      </c>
    </row>
    <row r="7696">
      <c r="A7696" s="2" t="s">
        <v>8436</v>
      </c>
      <c r="B7696" s="3" t="str">
        <f>IFERROR(__xludf.DUMMYFUNCTION("GOOGLETRANSLATE(A7696, ""ar"", ""bn"")"),"চমকে")</f>
        <v>চমকে</v>
      </c>
    </row>
    <row r="7697">
      <c r="A7697" s="2" t="s">
        <v>8437</v>
      </c>
      <c r="B7697" s="3" t="str">
        <f>IFERROR(__xludf.DUMMYFUNCTION("GOOGLETRANSLATE(A7697, ""ar"", ""bn"")"),"সঙ্কুচিত হত্তয়া")</f>
        <v>সঙ্কুচিত হত্তয়া</v>
      </c>
    </row>
    <row r="7698">
      <c r="A7698" s="2" t="s">
        <v>8438</v>
      </c>
      <c r="B7698" s="3" t="str">
        <f>IFERROR(__xludf.DUMMYFUNCTION("GOOGLETRANSLATE(A7698, ""ar"", ""bn"")"),"জাদুকরী")</f>
        <v>জাদুকরী</v>
      </c>
    </row>
    <row r="7699">
      <c r="A7699" s="2" t="s">
        <v>8439</v>
      </c>
      <c r="B7699" s="3" t="str">
        <f>IFERROR(__xludf.DUMMYFUNCTION("GOOGLETRANSLATE(A7699, ""ar"", ""bn"")"),"কবজ")</f>
        <v>কবজ</v>
      </c>
    </row>
    <row r="7700">
      <c r="A7700" s="2" t="s">
        <v>8440</v>
      </c>
      <c r="B7700" s="3" t="str">
        <f>IFERROR(__xludf.DUMMYFUNCTION("GOOGLETRANSLATE(A7700, ""ar"", ""bn"")"),"হাতুড়ে ডাক্তার")</f>
        <v>হাতুড়ে ডাক্তার</v>
      </c>
    </row>
    <row r="7701">
      <c r="A7701" s="2" t="s">
        <v>8441</v>
      </c>
      <c r="B7701" s="3" t="str">
        <f>IFERROR(__xludf.DUMMYFUNCTION("GOOGLETRANSLATE(A7701, ""ar"", ""bn"")"),"আকাশ গান")</f>
        <v>আকাশ গান</v>
      </c>
    </row>
    <row r="7702">
      <c r="A7702" s="2" t="s">
        <v>5899</v>
      </c>
      <c r="B7702" s="3" t="str">
        <f>IFERROR(__xludf.DUMMYFUNCTION("GOOGLETRANSLATE(A7702, ""ar"", ""bn"")"),"ডাইনিরা")</f>
        <v>ডাইনিরা</v>
      </c>
    </row>
    <row r="7703">
      <c r="A7703" s="2" t="s">
        <v>8442</v>
      </c>
      <c r="B7703" s="3" t="str">
        <f>IFERROR(__xludf.DUMMYFUNCTION("GOOGLETRANSLATE(A7703, ""ar"", ""bn"")"),"chases")</f>
        <v>chases</v>
      </c>
    </row>
    <row r="7704">
      <c r="A7704" s="2" t="s">
        <v>8439</v>
      </c>
      <c r="B7704" s="3" t="str">
        <f>IFERROR(__xludf.DUMMYFUNCTION("GOOGLETRANSLATE(A7704, ""ar"", ""bn"")"),"কবজ")</f>
        <v>কবজ</v>
      </c>
    </row>
    <row r="7705">
      <c r="A7705" s="2" t="s">
        <v>3699</v>
      </c>
      <c r="B7705" s="3" t="str">
        <f>IFERROR(__xludf.DUMMYFUNCTION("GOOGLETRANSLATE(A7705, ""ar"", ""bn"")"),"রোধক")</f>
        <v>রোধক</v>
      </c>
    </row>
    <row r="7706">
      <c r="A7706" s="2" t="s">
        <v>5207</v>
      </c>
      <c r="B7706" s="3" t="str">
        <f>IFERROR(__xludf.DUMMYFUNCTION("GOOGLETRANSLATE(A7706, ""ar"", ""bn"")"),"বাধা")</f>
        <v>বাধা</v>
      </c>
    </row>
    <row r="7707">
      <c r="A7707" s="2" t="s">
        <v>3699</v>
      </c>
      <c r="B7707" s="3" t="str">
        <f>IFERROR(__xludf.DUMMYFUNCTION("GOOGLETRANSLATE(A7707, ""ar"", ""bn"")"),"রোধক")</f>
        <v>রোধক</v>
      </c>
    </row>
    <row r="7708">
      <c r="A7708" s="2" t="s">
        <v>6637</v>
      </c>
      <c r="B7708" s="3" t="str">
        <f>IFERROR(__xludf.DUMMYFUNCTION("GOOGLETRANSLATE(A7708, ""ar"", ""bn"")"),"গ্রস্ত")</f>
        <v>গ্রস্ত</v>
      </c>
    </row>
    <row r="7709">
      <c r="A7709" s="2" t="s">
        <v>8443</v>
      </c>
      <c r="B7709" s="3" t="str">
        <f>IFERROR(__xludf.DUMMYFUNCTION("GOOGLETRANSLATE(A7709, ""ar"", ""bn"")"),"দুর্ভাগ্য")</f>
        <v>দুর্ভাগ্য</v>
      </c>
    </row>
    <row r="7710">
      <c r="A7710" s="2" t="s">
        <v>4609</v>
      </c>
      <c r="B7710" s="3" t="str">
        <f>IFERROR(__xludf.DUMMYFUNCTION("GOOGLETRANSLATE(A7710, ""ar"", ""bn"")"),"দূর্বল")</f>
        <v>দূর্বল</v>
      </c>
    </row>
    <row r="7711">
      <c r="A7711" s="2" t="s">
        <v>8444</v>
      </c>
      <c r="B7711" s="3" t="str">
        <f>IFERROR(__xludf.DUMMYFUNCTION("GOOGLETRANSLATE(A7711, ""ar"", ""bn"")"),"শোচনীয়ভাবে")</f>
        <v>শোচনীয়ভাবে</v>
      </c>
    </row>
    <row r="7712">
      <c r="A7712" s="2" t="s">
        <v>6896</v>
      </c>
      <c r="B7712" s="3" t="str">
        <f>IFERROR(__xludf.DUMMYFUNCTION("GOOGLETRANSLATE(A7712, ""ar"", ""bn"")"),"সমস্যা")</f>
        <v>সমস্যা</v>
      </c>
    </row>
    <row r="7713">
      <c r="A7713" s="2" t="s">
        <v>8445</v>
      </c>
      <c r="B7713" s="3" t="str">
        <f>IFERROR(__xludf.DUMMYFUNCTION("GOOGLETRANSLATE(A7713, ""ar"", ""bn"")"),"পরিধান")</f>
        <v>পরিধান</v>
      </c>
    </row>
    <row r="7714">
      <c r="A7714" s="2" t="s">
        <v>3324</v>
      </c>
      <c r="B7714" s="3" t="str">
        <f>IFERROR(__xludf.DUMMYFUNCTION("GOOGLETRANSLATE(A7714, ""ar"", ""bn"")"),"উদ্বেগ")</f>
        <v>উদ্বেগ</v>
      </c>
    </row>
    <row r="7715">
      <c r="A7715" s="2" t="s">
        <v>3398</v>
      </c>
      <c r="B7715" s="3" t="str">
        <f>IFERROR(__xludf.DUMMYFUNCTION("GOOGLETRANSLATE(A7715, ""ar"", ""bn"")"),"জোরে")</f>
        <v>জোরে</v>
      </c>
    </row>
    <row r="7716">
      <c r="A7716" s="2" t="s">
        <v>8446</v>
      </c>
      <c r="B7716" s="3" t="str">
        <f>IFERROR(__xludf.DUMMYFUNCTION("GOOGLETRANSLATE(A7716, ""ar"", ""bn"")"),"শৌখিন উদ্বেগ")</f>
        <v>শৌখিন উদ্বেগ</v>
      </c>
    </row>
    <row r="7717">
      <c r="A7717" s="2" t="s">
        <v>8447</v>
      </c>
      <c r="B7717" s="3" t="str">
        <f>IFERROR(__xludf.DUMMYFUNCTION("GOOGLETRANSLATE(A7717, ""ar"", ""bn"")"),"Worriers")</f>
        <v>Worriers</v>
      </c>
    </row>
    <row r="7718">
      <c r="A7718" s="2" t="s">
        <v>3328</v>
      </c>
      <c r="B7718" s="3" t="str">
        <f>IFERROR(__xludf.DUMMYFUNCTION("GOOGLETRANSLATE(A7718, ""ar"", ""bn"")"),"ভয়")</f>
        <v>ভয়</v>
      </c>
    </row>
    <row r="7719">
      <c r="A7719" s="2" t="s">
        <v>4961</v>
      </c>
      <c r="B7719" s="3" t="str">
        <f>IFERROR(__xludf.DUMMYFUNCTION("GOOGLETRANSLATE(A7719, ""ar"", ""bn"")"),"উদ্বেজক")</f>
        <v>উদ্বেজক</v>
      </c>
    </row>
    <row r="7720">
      <c r="A7720" s="2" t="s">
        <v>3324</v>
      </c>
      <c r="B7720" s="3" t="str">
        <f>IFERROR(__xludf.DUMMYFUNCTION("GOOGLETRANSLATE(A7720, ""ar"", ""bn"")"),"উদ্বেগ")</f>
        <v>উদ্বেগ</v>
      </c>
    </row>
    <row r="7721">
      <c r="A7721" s="2" t="s">
        <v>4961</v>
      </c>
      <c r="B7721" s="3" t="str">
        <f>IFERROR(__xludf.DUMMYFUNCTION("GOOGLETRANSLATE(A7721, ""ar"", ""bn"")"),"উদ্বেজক")</f>
        <v>উদ্বেজক</v>
      </c>
    </row>
    <row r="7722">
      <c r="A7722" s="2" t="s">
        <v>8448</v>
      </c>
      <c r="B7722" s="3" t="str">
        <f>IFERROR(__xludf.DUMMYFUNCTION("GOOGLETRANSLATE(A7722, ""ar"", ""bn"")"),"ভীতিকর")</f>
        <v>ভীতিকর</v>
      </c>
    </row>
    <row r="7723">
      <c r="A7723" s="2" t="s">
        <v>8449</v>
      </c>
      <c r="B7723" s="3" t="str">
        <f>IFERROR(__xludf.DUMMYFUNCTION("GOOGLETRANSLATE(A7723, ""ar"", ""bn"")"),"খারাপ")</f>
        <v>খারাপ</v>
      </c>
    </row>
    <row r="7724">
      <c r="A7724" s="2" t="s">
        <v>3289</v>
      </c>
      <c r="B7724" s="3" t="str">
        <f>IFERROR(__xludf.DUMMYFUNCTION("GOOGLETRANSLATE(A7724, ""ar"", ""bn"")"),"ঘটায়")</f>
        <v>ঘটায়</v>
      </c>
    </row>
    <row r="7725">
      <c r="A7725" s="2" t="s">
        <v>8450</v>
      </c>
      <c r="B7725" s="3" t="str">
        <f>IFERROR(__xludf.DUMMYFUNCTION("GOOGLETRANSLATE(A7725, ""ar"", ""bn"")"),"খারাপ")</f>
        <v>খারাপ</v>
      </c>
    </row>
    <row r="7726">
      <c r="A7726" s="2" t="s">
        <v>3288</v>
      </c>
      <c r="B7726" s="3" t="str">
        <f>IFERROR(__xludf.DUMMYFUNCTION("GOOGLETRANSLATE(A7726, ""ar"", ""bn"")"),"অধোগমন")</f>
        <v>অধোগমন</v>
      </c>
    </row>
    <row r="7727">
      <c r="A7727" s="2" t="s">
        <v>3288</v>
      </c>
      <c r="B7727" s="3" t="str">
        <f>IFERROR(__xludf.DUMMYFUNCTION("GOOGLETRANSLATE(A7727, ""ar"", ""bn"")"),"অধোগমন")</f>
        <v>অধোগমন</v>
      </c>
    </row>
    <row r="7728">
      <c r="A7728" s="2" t="s">
        <v>8449</v>
      </c>
      <c r="B7728" s="3" t="str">
        <f>IFERROR(__xludf.DUMMYFUNCTION("GOOGLETRANSLATE(A7728, ""ar"", ""bn"")"),"খারাপ")</f>
        <v>খারাপ</v>
      </c>
    </row>
    <row r="7729">
      <c r="A7729" s="2" t="s">
        <v>8451</v>
      </c>
      <c r="B7729" s="3" t="str">
        <f>IFERROR(__xludf.DUMMYFUNCTION("GOOGLETRANSLATE(A7729, ""ar"", ""bn"")"),"worsted")</f>
        <v>worsted</v>
      </c>
    </row>
    <row r="7730">
      <c r="A7730" s="2" t="s">
        <v>8452</v>
      </c>
      <c r="B7730" s="3" t="str">
        <f>IFERROR(__xludf.DUMMYFUNCTION("GOOGLETRANSLATE(A7730, ""ar"", ""bn"")"),"অমুল্য")</f>
        <v>অমুল্য</v>
      </c>
    </row>
    <row r="7731">
      <c r="A7731" s="2" t="s">
        <v>8453</v>
      </c>
      <c r="B7731" s="3" t="str">
        <f>IFERROR(__xludf.DUMMYFUNCTION("GOOGLETRANSLATE(A7731, ""ar"", ""bn"")"),"অপদার্থতা")</f>
        <v>অপদার্থতা</v>
      </c>
    </row>
    <row r="7732">
      <c r="A7732" s="2" t="s">
        <v>6030</v>
      </c>
      <c r="B7732" s="3" t="str">
        <f>IFERROR(__xludf.DUMMYFUNCTION("GOOGLETRANSLATE(A7732, ""ar"", ""bn"")"),"ক্ষত")</f>
        <v>ক্ষত</v>
      </c>
    </row>
    <row r="7733">
      <c r="A7733" s="2" t="s">
        <v>8454</v>
      </c>
      <c r="B7733" s="3" t="str">
        <f>IFERROR(__xludf.DUMMYFUNCTION("GOOGLETRANSLATE(A7733, ""ar"", ""bn"")"),"আহত")</f>
        <v>আহত</v>
      </c>
    </row>
    <row r="7734">
      <c r="A7734" s="2" t="s">
        <v>6030</v>
      </c>
      <c r="B7734" s="3" t="str">
        <f>IFERROR(__xludf.DUMMYFUNCTION("GOOGLETRANSLATE(A7734, ""ar"", ""bn"")"),"ক্ষত")</f>
        <v>ক্ষত</v>
      </c>
    </row>
    <row r="7735">
      <c r="A7735" s="2" t="s">
        <v>8455</v>
      </c>
      <c r="B7735" s="3" t="str">
        <f>IFERROR(__xludf.DUMMYFUNCTION("GOOGLETRANSLATE(A7735, ""ar"", ""bn"")"),"ঘা")</f>
        <v>ঘা</v>
      </c>
    </row>
    <row r="7736">
      <c r="A7736" s="2" t="s">
        <v>8108</v>
      </c>
      <c r="B7736" s="3" t="str">
        <f>IFERROR(__xludf.DUMMYFUNCTION("GOOGLETRANSLATE(A7736, ""ar"", ""bn"")"),"ক্রোধ")</f>
        <v>ক্রোধ</v>
      </c>
    </row>
    <row r="7737">
      <c r="A7737" s="2" t="s">
        <v>3374</v>
      </c>
      <c r="B7737" s="3" t="str">
        <f>IFERROR(__xludf.DUMMYFUNCTION("GOOGLETRANSLATE(A7737, ""ar"", ""bn"")"),"ক্রুদ্ধ")</f>
        <v>ক্রুদ্ধ</v>
      </c>
    </row>
    <row r="7738">
      <c r="A7738" s="2" t="s">
        <v>3373</v>
      </c>
      <c r="B7738" s="3" t="str">
        <f>IFERROR(__xludf.DUMMYFUNCTION("GOOGLETRANSLATE(A7738, ""ar"", ""bn"")"),"ক্রুদ্ধ")</f>
        <v>ক্রুদ্ধ</v>
      </c>
    </row>
    <row r="7739">
      <c r="A7739" s="1" t="s">
        <v>8456</v>
      </c>
      <c r="B7739" s="3" t="str">
        <f>IFERROR(__xludf.DUMMYFUNCTION("GOOGLETRANSLATE(A7739, ""ar"", ""bn"")"),"wraths")</f>
        <v>wraths</v>
      </c>
    </row>
    <row r="7740">
      <c r="A7740" s="2" t="s">
        <v>7435</v>
      </c>
      <c r="B7740" s="3" t="str">
        <f>IFERROR(__xludf.DUMMYFUNCTION("GOOGLETRANSLATE(A7740, ""ar"", ""bn"")"),"সর্বনাশ")</f>
        <v>সর্বনাশ</v>
      </c>
    </row>
    <row r="7741">
      <c r="A7741" s="2" t="s">
        <v>8457</v>
      </c>
      <c r="B7741" s="3" t="str">
        <f>IFERROR(__xludf.DUMMYFUNCTION("GOOGLETRANSLATE(A7741, ""ar"", ""bn"")"),"ধ্বংসাবশেষ")</f>
        <v>ধ্বংসাবশেষ</v>
      </c>
    </row>
    <row r="7742">
      <c r="A7742" s="2" t="s">
        <v>4640</v>
      </c>
      <c r="B7742" s="3" t="str">
        <f>IFERROR(__xludf.DUMMYFUNCTION("GOOGLETRANSLATE(A7742, ""ar"", ""bn"")"),"বিনষ্ট")</f>
        <v>বিনষ্ট</v>
      </c>
    </row>
    <row r="7743">
      <c r="A7743" s="2" t="s">
        <v>8458</v>
      </c>
      <c r="B7743" s="3" t="str">
        <f>IFERROR(__xludf.DUMMYFUNCTION("GOOGLETRANSLATE(A7743, ""ar"", ""bn"")"),"রেকার")</f>
        <v>রেকার</v>
      </c>
    </row>
    <row r="7744">
      <c r="A7744" s="2" t="s">
        <v>8459</v>
      </c>
      <c r="B7744" s="3" t="str">
        <f>IFERROR(__xludf.DUMMYFUNCTION("GOOGLETRANSLATE(A7744, ""ar"", ""bn"")"),"ধ্বংসাত্মক")</f>
        <v>ধ্বংসাত্মক</v>
      </c>
    </row>
    <row r="7745">
      <c r="A7745" s="2" t="s">
        <v>7259</v>
      </c>
      <c r="B7745" s="3" t="str">
        <f>IFERROR(__xludf.DUMMYFUNCTION("GOOGLETRANSLATE(A7745, ""ar"", ""bn"")"),"ধ্বংসাত্মক")</f>
        <v>ধ্বংসাত্মক</v>
      </c>
    </row>
    <row r="7746">
      <c r="A7746" s="2" t="s">
        <v>8457</v>
      </c>
      <c r="B7746" s="3" t="str">
        <f>IFERROR(__xludf.DUMMYFUNCTION("GOOGLETRANSLATE(A7746, ""ar"", ""bn"")"),"ধ্বংসাবশেষ")</f>
        <v>ধ্বংসাবশেষ</v>
      </c>
    </row>
    <row r="7747">
      <c r="A7747" s="2" t="s">
        <v>5584</v>
      </c>
      <c r="B7747" s="3" t="str">
        <f>IFERROR(__xludf.DUMMYFUNCTION("GOOGLETRANSLATE(A7747, ""ar"", ""bn"")"),"মল্লযুদ্ধ")</f>
        <v>মল্লযুদ্ধ</v>
      </c>
    </row>
    <row r="7748">
      <c r="A7748" s="2" t="s">
        <v>8460</v>
      </c>
      <c r="B7748" s="3" t="str">
        <f>IFERROR(__xludf.DUMMYFUNCTION("GOOGLETRANSLATE(A7748, ""ar"", ""bn"")"),"কুস্তি")</f>
        <v>কুস্তি</v>
      </c>
    </row>
    <row r="7749">
      <c r="A7749" s="2" t="s">
        <v>3079</v>
      </c>
      <c r="B7749" s="3" t="str">
        <f>IFERROR(__xludf.DUMMYFUNCTION("GOOGLETRANSLATE(A7749, ""ar"", ""bn"")"),"পালোয়ান")</f>
        <v>পালোয়ান</v>
      </c>
    </row>
    <row r="7750">
      <c r="A7750" s="2" t="s">
        <v>8461</v>
      </c>
      <c r="B7750" s="3" t="str">
        <f>IFERROR(__xludf.DUMMYFUNCTION("GOOGLETRANSLATE(A7750, ""ar"", ""bn"")"),"কুস্তিগীর")</f>
        <v>কুস্তিগীর</v>
      </c>
    </row>
    <row r="7751">
      <c r="A7751" s="2" t="s">
        <v>5584</v>
      </c>
      <c r="B7751" s="3" t="str">
        <f>IFERROR(__xludf.DUMMYFUNCTION("GOOGLETRANSLATE(A7751, ""ar"", ""bn"")"),"মল্লযুদ্ধ")</f>
        <v>মল্লযুদ্ধ</v>
      </c>
    </row>
    <row r="7752">
      <c r="A7752" s="2" t="s">
        <v>8462</v>
      </c>
      <c r="B7752" s="3" t="str">
        <f>IFERROR(__xludf.DUMMYFUNCTION("GOOGLETRANSLATE(A7752, ""ar"", ""bn"")"),"নরাধম")</f>
        <v>নরাধম</v>
      </c>
    </row>
    <row r="7753">
      <c r="A7753" s="2" t="s">
        <v>4595</v>
      </c>
      <c r="B7753" s="3" t="str">
        <f>IFERROR(__xludf.DUMMYFUNCTION("GOOGLETRANSLATE(A7753, ""ar"", ""bn"")"),"দু: স্থ")</f>
        <v>দু: স্থ</v>
      </c>
    </row>
    <row r="7754">
      <c r="A7754" s="2" t="s">
        <v>8463</v>
      </c>
      <c r="B7754" s="3" t="str">
        <f>IFERROR(__xludf.DUMMYFUNCTION("GOOGLETRANSLATE(A7754, ""ar"", ""bn"")"),"Mudug স্বাগতম")</f>
        <v>Mudug স্বাগতম</v>
      </c>
    </row>
    <row r="7755">
      <c r="A7755" s="2" t="s">
        <v>6485</v>
      </c>
      <c r="B7755" s="3" t="str">
        <f>IFERROR(__xludf.DUMMYFUNCTION("GOOGLETRANSLATE(A7755, ""ar"", ""bn"")"),"দুর্দশা")</f>
        <v>দুর্দশা</v>
      </c>
    </row>
    <row r="7756">
      <c r="A7756" s="2" t="s">
        <v>8464</v>
      </c>
      <c r="B7756" s="3" t="str">
        <f>IFERROR(__xludf.DUMMYFUNCTION("GOOGLETRANSLATE(A7756, ""ar"", ""bn"")"),"লোক,")</f>
        <v>লোক,</v>
      </c>
    </row>
    <row r="7757">
      <c r="A7757" s="2" t="s">
        <v>8465</v>
      </c>
      <c r="B7757" s="3" t="str">
        <f>IFERROR(__xludf.DUMMYFUNCTION("GOOGLETRANSLATE(A7757, ""ar"", ""bn"")"),"বলি")</f>
        <v>বলি</v>
      </c>
    </row>
    <row r="7758">
      <c r="A7758" s="2" t="s">
        <v>8466</v>
      </c>
      <c r="B7758" s="3" t="str">
        <f>IFERROR(__xludf.DUMMYFUNCTION("GOOGLETRANSLATE(A7758, ""ar"", ""bn"")"),"কুঞ্চিত")</f>
        <v>কুঞ্চিত</v>
      </c>
    </row>
    <row r="7759">
      <c r="A7759" s="2" t="s">
        <v>8467</v>
      </c>
      <c r="B7759" s="3" t="str">
        <f>IFERROR(__xludf.DUMMYFUNCTION("GOOGLETRANSLATE(A7759, ""ar"", ""bn"")"),"বলিরেখা")</f>
        <v>বলিরেখা</v>
      </c>
    </row>
    <row r="7760">
      <c r="A7760" s="2" t="s">
        <v>8468</v>
      </c>
      <c r="B7760" s="3" t="str">
        <f>IFERROR(__xludf.DUMMYFUNCTION("GOOGLETRANSLATE(A7760, ""ar"", ""bn"")"),"সুতা")</f>
        <v>সুতা</v>
      </c>
    </row>
    <row r="7761">
      <c r="A7761" s="2" t="s">
        <v>8468</v>
      </c>
      <c r="B7761" s="3" t="str">
        <f>IFERROR(__xludf.DUMMYFUNCTION("GOOGLETRANSLATE(A7761, ""ar"", ""bn"")"),"সুতা")</f>
        <v>সুতা</v>
      </c>
    </row>
    <row r="7762">
      <c r="A7762" s="2" t="s">
        <v>5613</v>
      </c>
      <c r="B7762" s="3" t="str">
        <f>IFERROR(__xludf.DUMMYFUNCTION("GOOGLETRANSLATE(A7762, ""ar"", ""bn"")"),"Wiggles ও")</f>
        <v>Wiggles ও</v>
      </c>
    </row>
    <row r="7763">
      <c r="A7763" s="2" t="s">
        <v>3361</v>
      </c>
      <c r="B7763" s="3" t="str">
        <f>IFERROR(__xludf.DUMMYFUNCTION("GOOGLETRANSLATE(A7763, ""ar"", ""bn"")"),"ভুল")</f>
        <v>ভুল</v>
      </c>
    </row>
    <row r="7764">
      <c r="A7764" s="2" t="s">
        <v>8469</v>
      </c>
      <c r="B7764" s="3" t="str">
        <f>IFERROR(__xludf.DUMMYFUNCTION("GOOGLETRANSLATE(A7764, ""ar"", ""bn"")"),"অপরাধী")</f>
        <v>অপরাধী</v>
      </c>
    </row>
    <row r="7765">
      <c r="A7765" s="2" t="s">
        <v>6683</v>
      </c>
      <c r="B7765" s="3" t="str">
        <f>IFERROR(__xludf.DUMMYFUNCTION("GOOGLETRANSLATE(A7765, ""ar"", ""bn"")"),"অত্যাচারী")</f>
        <v>অত্যাচারী</v>
      </c>
    </row>
    <row r="7766">
      <c r="A7766" s="2" t="s">
        <v>5641</v>
      </c>
      <c r="B7766" s="3" t="str">
        <f>IFERROR(__xludf.DUMMYFUNCTION("GOOGLETRANSLATE(A7766, ""ar"", ""bn"")"),"পাপ")</f>
        <v>পাপ</v>
      </c>
    </row>
    <row r="7767">
      <c r="A7767" s="2" t="s">
        <v>3786</v>
      </c>
      <c r="B7767" s="3" t="str">
        <f>IFERROR(__xludf.DUMMYFUNCTION("GOOGLETRANSLATE(A7767, ""ar"", ""bn"")"),"অমান্যকারীদের")</f>
        <v>অমান্যকারীদের</v>
      </c>
    </row>
    <row r="7768">
      <c r="A7768" s="2" t="s">
        <v>6675</v>
      </c>
      <c r="B7768" s="3" t="str">
        <f>IFERROR(__xludf.DUMMYFUNCTION("GOOGLETRANSLATE(A7768, ""ar"", ""bn"")"),"অত্যাচারিত")</f>
        <v>অত্যাচারিত</v>
      </c>
    </row>
    <row r="7769">
      <c r="A7769" s="2" t="s">
        <v>8470</v>
      </c>
      <c r="B7769" s="3" t="str">
        <f>IFERROR(__xludf.DUMMYFUNCTION("GOOGLETRANSLATE(A7769, ""ar"", ""bn"")"),"অবৈধ")</f>
        <v>অবৈধ</v>
      </c>
    </row>
    <row r="7770">
      <c r="A7770" s="2" t="s">
        <v>8184</v>
      </c>
      <c r="B7770" s="3" t="str">
        <f>IFERROR(__xludf.DUMMYFUNCTION("GOOGLETRANSLATE(A7770, ""ar"", ""bn"")"),"অযথা")</f>
        <v>অযথা</v>
      </c>
    </row>
    <row r="7771">
      <c r="A7771" s="2" t="s">
        <v>6674</v>
      </c>
      <c r="B7771" s="3" t="str">
        <f>IFERROR(__xludf.DUMMYFUNCTION("GOOGLETRANSLATE(A7771, ""ar"", ""bn"")"),"পক্ষপাতদুষ্টতা")</f>
        <v>পক্ষপাতদুষ্টতা</v>
      </c>
    </row>
    <row r="7772">
      <c r="A7772" s="2" t="s">
        <v>8471</v>
      </c>
      <c r="B7772" s="3" t="str">
        <f>IFERROR(__xludf.DUMMYFUNCTION("GOOGLETRANSLATE(A7772, ""ar"", ""bn"")"),"ভুল")</f>
        <v>ভুল</v>
      </c>
    </row>
    <row r="7773">
      <c r="A7773" s="2" t="s">
        <v>8472</v>
      </c>
      <c r="B7773" s="3" t="str">
        <f>IFERROR(__xludf.DUMMYFUNCTION("GOOGLETRANSLATE(A7773, ""ar"", ""bn"")"),"বা কোন ত্রুটির")</f>
        <v>বা কোন ত্রুটির</v>
      </c>
    </row>
    <row r="7774">
      <c r="A7774" s="2" t="s">
        <v>3708</v>
      </c>
      <c r="B7774" s="3" t="str">
        <f>IFERROR(__xludf.DUMMYFUNCTION("GOOGLETRANSLATE(A7774, ""ar"", ""bn"")"),"ত্রুটি")</f>
        <v>ত্রুটি</v>
      </c>
    </row>
    <row r="7775">
      <c r="A7775" s="2" t="s">
        <v>3361</v>
      </c>
      <c r="B7775" s="3" t="str">
        <f>IFERROR(__xludf.DUMMYFUNCTION("GOOGLETRANSLATE(A7775, ""ar"", ""bn"")"),"ভুল")</f>
        <v>ভুল</v>
      </c>
    </row>
    <row r="7776">
      <c r="A7776" s="2" t="s">
        <v>8469</v>
      </c>
      <c r="B7776" s="3" t="str">
        <f>IFERROR(__xludf.DUMMYFUNCTION("GOOGLETRANSLATE(A7776, ""ar"", ""bn"")"),"অপরাধী")</f>
        <v>অপরাধী</v>
      </c>
    </row>
    <row r="7777">
      <c r="A7777" s="2" t="s">
        <v>6683</v>
      </c>
      <c r="B7777" s="3" t="str">
        <f>IFERROR(__xludf.DUMMYFUNCTION("GOOGLETRANSLATE(A7777, ""ar"", ""bn"")"),"অত্যাচারী")</f>
        <v>অত্যাচারী</v>
      </c>
    </row>
    <row r="7778">
      <c r="A7778" s="2" t="s">
        <v>5641</v>
      </c>
      <c r="B7778" s="3" t="str">
        <f>IFERROR(__xludf.DUMMYFUNCTION("GOOGLETRANSLATE(A7778, ""ar"", ""bn"")"),"পাপ")</f>
        <v>পাপ</v>
      </c>
    </row>
    <row r="7779">
      <c r="A7779" s="2" t="s">
        <v>3786</v>
      </c>
      <c r="B7779" s="3" t="str">
        <f>IFERROR(__xludf.DUMMYFUNCTION("GOOGLETRANSLATE(A7779, ""ar"", ""bn"")"),"অমান্যকারীদের")</f>
        <v>অমান্যকারীদের</v>
      </c>
    </row>
    <row r="7780">
      <c r="A7780" s="2" t="s">
        <v>6675</v>
      </c>
      <c r="B7780" s="3" t="str">
        <f>IFERROR(__xludf.DUMMYFUNCTION("GOOGLETRANSLATE(A7780, ""ar"", ""bn"")"),"অত্যাচারিত")</f>
        <v>অত্যাচারিত</v>
      </c>
    </row>
    <row r="7781">
      <c r="A7781" s="2" t="s">
        <v>8470</v>
      </c>
      <c r="B7781" s="3" t="str">
        <f>IFERROR(__xludf.DUMMYFUNCTION("GOOGLETRANSLATE(A7781, ""ar"", ""bn"")"),"অবৈধ")</f>
        <v>অবৈধ</v>
      </c>
    </row>
    <row r="7782">
      <c r="A7782" s="2" t="s">
        <v>8184</v>
      </c>
      <c r="B7782" s="3" t="str">
        <f>IFERROR(__xludf.DUMMYFUNCTION("GOOGLETRANSLATE(A7782, ""ar"", ""bn"")"),"অযথা")</f>
        <v>অযথা</v>
      </c>
    </row>
    <row r="7783">
      <c r="A7783" s="2" t="s">
        <v>6674</v>
      </c>
      <c r="B7783" s="3" t="str">
        <f>IFERROR(__xludf.DUMMYFUNCTION("GOOGLETRANSLATE(A7783, ""ar"", ""bn"")"),"পক্ষপাতদুষ্টতা")</f>
        <v>পক্ষপাতদুষ্টতা</v>
      </c>
    </row>
    <row r="7784">
      <c r="A7784" s="2" t="s">
        <v>8471</v>
      </c>
      <c r="B7784" s="3" t="str">
        <f>IFERROR(__xludf.DUMMYFUNCTION("GOOGLETRANSLATE(A7784, ""ar"", ""bn"")"),"ভুল")</f>
        <v>ভুল</v>
      </c>
    </row>
    <row r="7785">
      <c r="A7785" s="2" t="s">
        <v>8472</v>
      </c>
      <c r="B7785" s="3" t="str">
        <f>IFERROR(__xludf.DUMMYFUNCTION("GOOGLETRANSLATE(A7785, ""ar"", ""bn"")"),"বা কোন ত্রুটির")</f>
        <v>বা কোন ত্রুটির</v>
      </c>
    </row>
    <row r="7786">
      <c r="A7786" s="2" t="s">
        <v>3708</v>
      </c>
      <c r="B7786" s="3" t="str">
        <f>IFERROR(__xludf.DUMMYFUNCTION("GOOGLETRANSLATE(A7786, ""ar"", ""bn"")"),"ত্রুটি")</f>
        <v>ত্রুটি</v>
      </c>
    </row>
    <row r="7787">
      <c r="A7787" s="2" t="s">
        <v>8473</v>
      </c>
      <c r="B7787" s="3" t="str">
        <f>IFERROR(__xludf.DUMMYFUNCTION("GOOGLETRANSLATE(A7787, ""ar"", ""bn"")"),"পেটা")</f>
        <v>পেটা</v>
      </c>
    </row>
    <row r="7788">
      <c r="A7788" s="2" t="s">
        <v>8474</v>
      </c>
      <c r="B7788" s="3" t="str">
        <f>IFERROR(__xludf.DUMMYFUNCTION("GOOGLETRANSLATE(A7788, ""ar"", ""bn"")"),"হাই তোলা")</f>
        <v>হাই তোলা</v>
      </c>
    </row>
    <row r="7789">
      <c r="A7789" s="2" t="s">
        <v>8474</v>
      </c>
      <c r="B7789" s="3" t="str">
        <f>IFERROR(__xludf.DUMMYFUNCTION("GOOGLETRANSLATE(A7789, ""ar"", ""bn"")"),"হাই তোলা")</f>
        <v>হাই তোলা</v>
      </c>
    </row>
    <row r="7790">
      <c r="A7790" s="2" t="s">
        <v>8475</v>
      </c>
      <c r="B7790" s="3" t="str">
        <f>IFERROR(__xludf.DUMMYFUNCTION("GOOGLETRANSLATE(A7790, ""ar"", ""bn"")"),"জৃম্ভমান")</f>
        <v>জৃম্ভমান</v>
      </c>
    </row>
    <row r="7791">
      <c r="A7791" s="2" t="s">
        <v>8476</v>
      </c>
      <c r="B7791" s="3" t="str">
        <f>IFERROR(__xludf.DUMMYFUNCTION("GOOGLETRANSLATE(A7791, ""ar"", ""bn"")"),"জৃম্ভমান")</f>
        <v>জৃম্ভমান</v>
      </c>
    </row>
    <row r="7792">
      <c r="A7792" s="2" t="s">
        <v>8477</v>
      </c>
      <c r="B7792" s="3" t="str">
        <f>IFERROR(__xludf.DUMMYFUNCTION("GOOGLETRANSLATE(A7792, ""ar"", ""bn"")"),"আকুল আকাঙ্ক্ষা")</f>
        <v>আকুল আকাঙ্ক্ষা</v>
      </c>
    </row>
    <row r="7793">
      <c r="A7793" s="2" t="s">
        <v>8477</v>
      </c>
      <c r="B7793" s="3" t="str">
        <f>IFERROR(__xludf.DUMMYFUNCTION("GOOGLETRANSLATE(A7793, ""ar"", ""bn"")"),"আকুল আকাঙ্ক্ষা")</f>
        <v>আকুল আকাঙ্ক্ষা</v>
      </c>
    </row>
    <row r="7794">
      <c r="A7794" s="2" t="s">
        <v>8478</v>
      </c>
      <c r="B7794" s="3" t="str">
        <f>IFERROR(__xludf.DUMMYFUNCTION("GOOGLETRANSLATE(A7794, ""ar"", ""bn"")"),"লিপ্সা")</f>
        <v>লিপ্সা</v>
      </c>
    </row>
    <row r="7795">
      <c r="A7795" s="2" t="s">
        <v>8479</v>
      </c>
      <c r="B7795" s="3" t="str">
        <f>IFERROR(__xludf.DUMMYFUNCTION("GOOGLETRANSLATE(A7795, ""ar"", ""bn"")"),"আকাঙ্ক্ষা")</f>
        <v>আকাঙ্ক্ষা</v>
      </c>
    </row>
    <row r="7796">
      <c r="A7796" s="2" t="s">
        <v>8480</v>
      </c>
      <c r="B7796" s="3" t="str">
        <f>IFERROR(__xludf.DUMMYFUNCTION("GOOGLETRANSLATE(A7796, ""ar"", ""bn"")"),"শটটি")</f>
        <v>শটটি</v>
      </c>
    </row>
    <row r="7797">
      <c r="A7797" s="2" t="s">
        <v>8481</v>
      </c>
      <c r="B7797" s="3" t="str">
        <f>IFERROR(__xludf.DUMMYFUNCTION("GOOGLETRANSLATE(A7797, ""ar"", ""bn"")"),"আর্তনাদ")</f>
        <v>আর্তনাদ</v>
      </c>
    </row>
    <row r="7798">
      <c r="A7798" s="2" t="s">
        <v>8482</v>
      </c>
      <c r="B7798" s="3" t="str">
        <f>IFERROR(__xludf.DUMMYFUNCTION("GOOGLETRANSLATE(A7798, ""ar"", ""bn"")"),"পেঁচার ডাক")</f>
        <v>পেঁচার ডাক</v>
      </c>
    </row>
    <row r="7799">
      <c r="A7799" s="2" t="s">
        <v>8483</v>
      </c>
      <c r="B7799" s="3" t="str">
        <f>IFERROR(__xludf.DUMMYFUNCTION("GOOGLETRANSLATE(A7799, ""ar"", ""bn"")"),"চিৎকার")</f>
        <v>চিৎকার</v>
      </c>
    </row>
    <row r="7800">
      <c r="A7800" s="2" t="s">
        <v>7479</v>
      </c>
      <c r="B7800" s="3" t="str">
        <f>IFERROR(__xludf.DUMMYFUNCTION("GOOGLETRANSLATE(A7800, ""ar"", ""bn"")"),"চিত্কার")</f>
        <v>চিত্কার</v>
      </c>
    </row>
  </sheetData>
  <drawing r:id="rId1"/>
</worksheet>
</file>